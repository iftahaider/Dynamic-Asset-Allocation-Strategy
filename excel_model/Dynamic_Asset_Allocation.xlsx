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les\Dynamic Asset Allocation\"/>
    </mc:Choice>
  </mc:AlternateContent>
  <xr:revisionPtr revIDLastSave="0" documentId="13_ncr:1_{B56A7435-FCFF-4A76-990A-38A04FD62304}" xr6:coauthVersionLast="47" xr6:coauthVersionMax="47" xr10:uidLastSave="{00000000-0000-0000-0000-000000000000}"/>
  <bookViews>
    <workbookView xWindow="-110" yWindow="-110" windowWidth="19420" windowHeight="10300" tabRatio="846" xr2:uid="{63043550-8907-43C9-B2D4-1E97097BB3C4}"/>
  </bookViews>
  <sheets>
    <sheet name="Profile and Overview" sheetId="1" r:id="rId1"/>
    <sheet name="Assumptions" sheetId="2" r:id="rId2"/>
    <sheet name="Stock Selection" sheetId="23" r:id="rId3"/>
    <sheet name="Data" sheetId="18" r:id="rId4"/>
    <sheet name="DSEX Data" sheetId="24" r:id="rId5"/>
    <sheet name="Returns" sheetId="4" r:id="rId6"/>
    <sheet name="Forcast 2025Q1" sheetId="19" r:id="rId7"/>
    <sheet name="Forcast 2025Q2" sheetId="20" r:id="rId8"/>
    <sheet name="Forcast 2025Q3" sheetId="21" r:id="rId9"/>
    <sheet name="91Day T-Bill" sheetId="5" r:id="rId10"/>
    <sheet name="Up &amp; Down Probability" sheetId="6" r:id="rId11"/>
    <sheet name="Put Option Dynamics" sheetId="7" r:id="rId12"/>
    <sheet name="100% Equity Portfolio" sheetId="8" r:id="rId13"/>
    <sheet name="Insured Portfolio" sheetId="10" r:id="rId14"/>
    <sheet name="Call Option Dynamics" sheetId="9" r:id="rId15"/>
    <sheet name="Delta 1" sheetId="11" r:id="rId16"/>
    <sheet name="Delta 2" sheetId="12" r:id="rId17"/>
    <sheet name="Dynamic Asset Allocation" sheetId="13" r:id="rId18"/>
    <sheet name="Static Asset Allocation" sheetId="14" r:id="rId19"/>
    <sheet name="100% Equity and DAA" sheetId="15" r:id="rId20"/>
    <sheet name="100% Equity Investments" sheetId="26" r:id="rId21"/>
    <sheet name="Actual Path and Others" sheetId="25" r:id="rId22"/>
    <sheet name="Comparisons" sheetId="17" r:id="rId23"/>
  </sheets>
  <definedNames>
    <definedName name="_xlnm._FilterDatabase" localSheetId="0" hidden="1">'Profile and Overview'!$Z$1:$AB$1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0" i="13" l="1"/>
  <c r="C121" i="13"/>
  <c r="C122" i="13"/>
  <c r="C119" i="13"/>
  <c r="I6" i="24"/>
  <c r="H6" i="24"/>
  <c r="H5" i="24"/>
  <c r="H4" i="24"/>
  <c r="H3" i="24"/>
  <c r="D193" i="24"/>
  <c r="D250" i="24"/>
  <c r="D304" i="24"/>
  <c r="E304" i="24" s="1"/>
  <c r="D366" i="24"/>
  <c r="C6" i="2"/>
  <c r="E366" i="24" l="1"/>
  <c r="I4" i="18"/>
  <c r="G3" i="18"/>
  <c r="B14" i="14" l="1"/>
  <c r="B12" i="15" s="1"/>
  <c r="B15" i="14"/>
  <c r="B13" i="15" s="1"/>
  <c r="B16" i="14"/>
  <c r="B14" i="15" s="1"/>
  <c r="B17" i="14"/>
  <c r="B15" i="15" s="1"/>
  <c r="B18" i="14"/>
  <c r="B16" i="15" s="1"/>
  <c r="B19" i="14"/>
  <c r="B17" i="15" s="1"/>
  <c r="B20" i="14"/>
  <c r="B32" i="14" s="1"/>
  <c r="B13" i="14"/>
  <c r="B11" i="15" s="1"/>
  <c r="B7" i="21"/>
  <c r="B8" i="21"/>
  <c r="B9" i="21"/>
  <c r="B10" i="21"/>
  <c r="B11" i="21"/>
  <c r="B12" i="21"/>
  <c r="B13" i="21"/>
  <c r="B6" i="21"/>
  <c r="B7" i="20"/>
  <c r="B8" i="20"/>
  <c r="B9" i="20"/>
  <c r="B10" i="20"/>
  <c r="B11" i="20"/>
  <c r="B12" i="20"/>
  <c r="B13" i="20"/>
  <c r="B6" i="20"/>
  <c r="B7" i="19"/>
  <c r="B8" i="19"/>
  <c r="B9" i="19"/>
  <c r="B10" i="19"/>
  <c r="B11" i="19"/>
  <c r="B12" i="19"/>
  <c r="B13" i="19"/>
  <c r="B6" i="19"/>
  <c r="C43" i="26"/>
  <c r="C42" i="26"/>
  <c r="C41" i="26"/>
  <c r="C40" i="26"/>
  <c r="C39" i="26"/>
  <c r="C38" i="26"/>
  <c r="C37" i="26"/>
  <c r="C36" i="26"/>
  <c r="C15" i="26"/>
  <c r="C14" i="26"/>
  <c r="C13" i="26"/>
  <c r="C12" i="26"/>
  <c r="C11" i="26"/>
  <c r="C10" i="26"/>
  <c r="C9" i="26"/>
  <c r="C8" i="26"/>
  <c r="F59" i="25"/>
  <c r="E59" i="25"/>
  <c r="D59" i="25"/>
  <c r="D14" i="14"/>
  <c r="D15" i="14"/>
  <c r="D16" i="14"/>
  <c r="D17" i="14"/>
  <c r="D18" i="14"/>
  <c r="D19" i="14"/>
  <c r="D20" i="14"/>
  <c r="D13" i="14"/>
  <c r="G237" i="18"/>
  <c r="C150" i="25"/>
  <c r="C149" i="25"/>
  <c r="C148" i="25"/>
  <c r="C147" i="25"/>
  <c r="C146" i="25"/>
  <c r="C145" i="25"/>
  <c r="C144" i="25"/>
  <c r="C143" i="25"/>
  <c r="P141" i="25"/>
  <c r="K141" i="25"/>
  <c r="P140" i="25"/>
  <c r="K140" i="25"/>
  <c r="C121" i="25"/>
  <c r="C120" i="25"/>
  <c r="C119" i="25"/>
  <c r="C118" i="25"/>
  <c r="C117" i="25"/>
  <c r="C116" i="25"/>
  <c r="C115" i="25"/>
  <c r="C114" i="25"/>
  <c r="C74" i="25"/>
  <c r="C73" i="25"/>
  <c r="C72" i="25"/>
  <c r="C71" i="25"/>
  <c r="C70" i="25"/>
  <c r="C69" i="25"/>
  <c r="C68" i="25"/>
  <c r="C67" i="25"/>
  <c r="C16" i="25"/>
  <c r="C15" i="25"/>
  <c r="C14" i="25"/>
  <c r="C13" i="25"/>
  <c r="C12" i="25"/>
  <c r="C11" i="25"/>
  <c r="C10" i="25"/>
  <c r="C9" i="25"/>
  <c r="D119" i="13"/>
  <c r="P119" i="13"/>
  <c r="E43" i="15" s="1"/>
  <c r="N119" i="13"/>
  <c r="D43" i="15" s="1"/>
  <c r="P6" i="21"/>
  <c r="J13" i="21"/>
  <c r="I12" i="21"/>
  <c r="H11" i="21"/>
  <c r="G10" i="21"/>
  <c r="F9" i="21"/>
  <c r="E8" i="21"/>
  <c r="D7" i="21"/>
  <c r="C6" i="21"/>
  <c r="J13" i="19"/>
  <c r="I12" i="19"/>
  <c r="H11" i="19"/>
  <c r="G10" i="19"/>
  <c r="F9" i="19"/>
  <c r="E8" i="19"/>
  <c r="D7" i="19"/>
  <c r="C6" i="20"/>
  <c r="J13" i="20"/>
  <c r="I12" i="20"/>
  <c r="H11" i="20"/>
  <c r="G10" i="20"/>
  <c r="F9" i="20"/>
  <c r="E8" i="20"/>
  <c r="D7" i="20"/>
  <c r="B12" i="26" l="1"/>
  <c r="B27" i="15"/>
  <c r="B26" i="15"/>
  <c r="B11" i="26"/>
  <c r="B14" i="26"/>
  <c r="B29" i="15"/>
  <c r="B10" i="26"/>
  <c r="B25" i="15"/>
  <c r="B8" i="26"/>
  <c r="B23" i="15"/>
  <c r="B13" i="26"/>
  <c r="B28" i="15"/>
  <c r="B9" i="26"/>
  <c r="B24" i="15"/>
  <c r="B29" i="14"/>
  <c r="B28" i="14"/>
  <c r="B18" i="15"/>
  <c r="B25" i="14"/>
  <c r="B31" i="14"/>
  <c r="B27" i="14"/>
  <c r="B30" i="14"/>
  <c r="B26" i="14"/>
  <c r="E250" i="24"/>
  <c r="D121" i="13"/>
  <c r="B14" i="25" l="1"/>
  <c r="B72" i="25" s="1"/>
  <c r="B119" i="25" s="1"/>
  <c r="B148" i="25" s="1"/>
  <c r="B41" i="26"/>
  <c r="B11" i="25"/>
  <c r="B69" i="25" s="1"/>
  <c r="B116" i="25" s="1"/>
  <c r="B145" i="25" s="1"/>
  <c r="B38" i="26"/>
  <c r="B12" i="25"/>
  <c r="B70" i="25" s="1"/>
  <c r="B117" i="25" s="1"/>
  <c r="B146" i="25" s="1"/>
  <c r="B39" i="26"/>
  <c r="B15" i="26"/>
  <c r="B30" i="15"/>
  <c r="B10" i="25"/>
  <c r="B68" i="25" s="1"/>
  <c r="B115" i="25" s="1"/>
  <c r="B144" i="25" s="1"/>
  <c r="B37" i="26"/>
  <c r="B9" i="25"/>
  <c r="B67" i="25" s="1"/>
  <c r="B114" i="25" s="1"/>
  <c r="B143" i="25" s="1"/>
  <c r="B36" i="26"/>
  <c r="B15" i="25"/>
  <c r="B73" i="25" s="1"/>
  <c r="B120" i="25" s="1"/>
  <c r="B149" i="25" s="1"/>
  <c r="B42" i="26"/>
  <c r="B40" i="26"/>
  <c r="B13" i="25"/>
  <c r="B71" i="25" s="1"/>
  <c r="B118" i="25" s="1"/>
  <c r="B147" i="25" s="1"/>
  <c r="I4" i="24"/>
  <c r="D120" i="13"/>
  <c r="D122" i="13"/>
  <c r="E122" i="13" s="1"/>
  <c r="I5" i="24"/>
  <c r="B16" i="25" l="1"/>
  <c r="B74" i="25" s="1"/>
  <c r="B121" i="25" s="1"/>
  <c r="B150" i="25" s="1"/>
  <c r="B43" i="26"/>
  <c r="E120" i="13"/>
  <c r="E121" i="13"/>
  <c r="P9" i="19"/>
  <c r="K6" i="4"/>
  <c r="BK6" i="18" l="1"/>
  <c r="BK416" i="18"/>
  <c r="BK415" i="18"/>
  <c r="BM415" i="18" s="1"/>
  <c r="BK414" i="18"/>
  <c r="BK413" i="18"/>
  <c r="BM414" i="18" s="1"/>
  <c r="BK412" i="18"/>
  <c r="BM411" i="18"/>
  <c r="BK411" i="18"/>
  <c r="BM412" i="18" s="1"/>
  <c r="BK410" i="18"/>
  <c r="BK409" i="18"/>
  <c r="BM410" i="18" s="1"/>
  <c r="BK408" i="18"/>
  <c r="BK407" i="18"/>
  <c r="BK406" i="18"/>
  <c r="BK405" i="18"/>
  <c r="BM406" i="18" s="1"/>
  <c r="BK404" i="18"/>
  <c r="BM403" i="18"/>
  <c r="BK403" i="18"/>
  <c r="BM404" i="18" s="1"/>
  <c r="BK402" i="18"/>
  <c r="BK401" i="18"/>
  <c r="BM402" i="18" s="1"/>
  <c r="BK400" i="18"/>
  <c r="BK399" i="18"/>
  <c r="BK398" i="18"/>
  <c r="BK397" i="18"/>
  <c r="BM398" i="18" s="1"/>
  <c r="BK396" i="18"/>
  <c r="BM395" i="18"/>
  <c r="BK395" i="18"/>
  <c r="BM396" i="18" s="1"/>
  <c r="BK394" i="18"/>
  <c r="BK393" i="18"/>
  <c r="BM394" i="18" s="1"/>
  <c r="BK392" i="18"/>
  <c r="BK391" i="18"/>
  <c r="BK390" i="18"/>
  <c r="BK389" i="18"/>
  <c r="BM390" i="18" s="1"/>
  <c r="BK388" i="18"/>
  <c r="BM387" i="18"/>
  <c r="BK387" i="18"/>
  <c r="BM388" i="18" s="1"/>
  <c r="BK386" i="18"/>
  <c r="BK385" i="18"/>
  <c r="BM386" i="18" s="1"/>
  <c r="BK384" i="18"/>
  <c r="BK383" i="18"/>
  <c r="BK382" i="18"/>
  <c r="BK381" i="18"/>
  <c r="BM382" i="18" s="1"/>
  <c r="BK380" i="18"/>
  <c r="BM379" i="18"/>
  <c r="BK379" i="18"/>
  <c r="BM380" i="18" s="1"/>
  <c r="BK378" i="18"/>
  <c r="BK377" i="18"/>
  <c r="BM378" i="18" s="1"/>
  <c r="BK376" i="18"/>
  <c r="BK375" i="18"/>
  <c r="BK374" i="18"/>
  <c r="BK373" i="18"/>
  <c r="BM374" i="18" s="1"/>
  <c r="BK372" i="18"/>
  <c r="BM371" i="18"/>
  <c r="BK371" i="18"/>
  <c r="BM372" i="18" s="1"/>
  <c r="BK370" i="18"/>
  <c r="BK369" i="18"/>
  <c r="BM370" i="18" s="1"/>
  <c r="BK368" i="18"/>
  <c r="BK367" i="18"/>
  <c r="BK366" i="18"/>
  <c r="BK365" i="18"/>
  <c r="BM366" i="18" s="1"/>
  <c r="BK364" i="18"/>
  <c r="BM363" i="18"/>
  <c r="BK363" i="18"/>
  <c r="BM364" i="18" s="1"/>
  <c r="BK362" i="18"/>
  <c r="BK361" i="18"/>
  <c r="BM362" i="18" s="1"/>
  <c r="BK360" i="18"/>
  <c r="BK359" i="18"/>
  <c r="BK358" i="18"/>
  <c r="BK357" i="18"/>
  <c r="BM358" i="18" s="1"/>
  <c r="BK356" i="18"/>
  <c r="BM355" i="18"/>
  <c r="BK355" i="18"/>
  <c r="BM356" i="18" s="1"/>
  <c r="BK354" i="18"/>
  <c r="BK353" i="18"/>
  <c r="BM354" i="18" s="1"/>
  <c r="BK352" i="18"/>
  <c r="BK351" i="18"/>
  <c r="BK350" i="18"/>
  <c r="BK349" i="18"/>
  <c r="BM350" i="18" s="1"/>
  <c r="BK348" i="18"/>
  <c r="BM347" i="18"/>
  <c r="BK347" i="18"/>
  <c r="BM348" i="18" s="1"/>
  <c r="BK346" i="18"/>
  <c r="BK345" i="18"/>
  <c r="BM346" i="18" s="1"/>
  <c r="BK344" i="18"/>
  <c r="BK343" i="18"/>
  <c r="BK342" i="18"/>
  <c r="BK341" i="18"/>
  <c r="BM342" i="18" s="1"/>
  <c r="BK340" i="18"/>
  <c r="BM339" i="18"/>
  <c r="BK339" i="18"/>
  <c r="BM340" i="18" s="1"/>
  <c r="BK338" i="18"/>
  <c r="BK337" i="18"/>
  <c r="BM338" i="18" s="1"/>
  <c r="BK336" i="18"/>
  <c r="BK335" i="18"/>
  <c r="BK334" i="18"/>
  <c r="BK333" i="18"/>
  <c r="BM334" i="18" s="1"/>
  <c r="BK332" i="18"/>
  <c r="BM331" i="18"/>
  <c r="BK331" i="18"/>
  <c r="BM332" i="18" s="1"/>
  <c r="BK330" i="18"/>
  <c r="BK329" i="18"/>
  <c r="BM330" i="18" s="1"/>
  <c r="BK328" i="18"/>
  <c r="BK327" i="18"/>
  <c r="BK326" i="18"/>
  <c r="BK325" i="18"/>
  <c r="BM326" i="18" s="1"/>
  <c r="BK324" i="18"/>
  <c r="BM323" i="18"/>
  <c r="BK323" i="18"/>
  <c r="BM324" i="18" s="1"/>
  <c r="BK322" i="18"/>
  <c r="BK321" i="18"/>
  <c r="BM322" i="18" s="1"/>
  <c r="BK320" i="18"/>
  <c r="BK319" i="18"/>
  <c r="BK318" i="18"/>
  <c r="BK317" i="18"/>
  <c r="BM318" i="18" s="1"/>
  <c r="BK316" i="18"/>
  <c r="BM315" i="18"/>
  <c r="BK315" i="18"/>
  <c r="BM316" i="18" s="1"/>
  <c r="BK314" i="18"/>
  <c r="BK313" i="18"/>
  <c r="BM314" i="18" s="1"/>
  <c r="BK312" i="18"/>
  <c r="BK311" i="18"/>
  <c r="BK310" i="18"/>
  <c r="BK309" i="18"/>
  <c r="BM310" i="18" s="1"/>
  <c r="BK308" i="18"/>
  <c r="BM307" i="18"/>
  <c r="BK307" i="18"/>
  <c r="BM308" i="18" s="1"/>
  <c r="BK306" i="18"/>
  <c r="BK305" i="18"/>
  <c r="BM306" i="18" s="1"/>
  <c r="BK304" i="18"/>
  <c r="BK303" i="18"/>
  <c r="BK302" i="18"/>
  <c r="BK301" i="18"/>
  <c r="BM302" i="18" s="1"/>
  <c r="BK300" i="18"/>
  <c r="BM300" i="18" s="1"/>
  <c r="BM299" i="18"/>
  <c r="BK299" i="18"/>
  <c r="BK298" i="18"/>
  <c r="BK297" i="18"/>
  <c r="BM297" i="18" s="1"/>
  <c r="BK296" i="18"/>
  <c r="BK295" i="18"/>
  <c r="BM295" i="18" s="1"/>
  <c r="BK294" i="18"/>
  <c r="BM294" i="18" s="1"/>
  <c r="BK293" i="18"/>
  <c r="BM293" i="18" s="1"/>
  <c r="BK292" i="18"/>
  <c r="BM292" i="18" s="1"/>
  <c r="BM291" i="18"/>
  <c r="BK291" i="18"/>
  <c r="BK290" i="18"/>
  <c r="BK289" i="18"/>
  <c r="BM289" i="18" s="1"/>
  <c r="BK288" i="18"/>
  <c r="BK287" i="18"/>
  <c r="BM287" i="18" s="1"/>
  <c r="BK286" i="18"/>
  <c r="BM286" i="18" s="1"/>
  <c r="BK285" i="18"/>
  <c r="BM285" i="18" s="1"/>
  <c r="BK284" i="18"/>
  <c r="BM284" i="18" s="1"/>
  <c r="BM283" i="18"/>
  <c r="BK283" i="18"/>
  <c r="BK282" i="18"/>
  <c r="BK281" i="18"/>
  <c r="BM281" i="18" s="1"/>
  <c r="BK280" i="18"/>
  <c r="BK279" i="18"/>
  <c r="BM279" i="18" s="1"/>
  <c r="BK278" i="18"/>
  <c r="BM278" i="18" s="1"/>
  <c r="BK277" i="18"/>
  <c r="BM277" i="18" s="1"/>
  <c r="BK276" i="18"/>
  <c r="BM276" i="18" s="1"/>
  <c r="BM275" i="18"/>
  <c r="BK275" i="18"/>
  <c r="BK274" i="18"/>
  <c r="BK273" i="18"/>
  <c r="BM273" i="18" s="1"/>
  <c r="BK272" i="18"/>
  <c r="BK271" i="18"/>
  <c r="BM271" i="18" s="1"/>
  <c r="BK270" i="18"/>
  <c r="BM270" i="18" s="1"/>
  <c r="BK269" i="18"/>
  <c r="BM269" i="18" s="1"/>
  <c r="BK268" i="18"/>
  <c r="BM268" i="18" s="1"/>
  <c r="BM267" i="18"/>
  <c r="BK267" i="18"/>
  <c r="BK266" i="18"/>
  <c r="BK265" i="18"/>
  <c r="BM265" i="18" s="1"/>
  <c r="BK264" i="18"/>
  <c r="BK263" i="18"/>
  <c r="BM263" i="18" s="1"/>
  <c r="BK262" i="18"/>
  <c r="BM262" i="18" s="1"/>
  <c r="BK261" i="18"/>
  <c r="BK260" i="18"/>
  <c r="BM260" i="18" s="1"/>
  <c r="BM259" i="18"/>
  <c r="BK259" i="18"/>
  <c r="BK258" i="18"/>
  <c r="BK257" i="18"/>
  <c r="BM257" i="18" s="1"/>
  <c r="BK256" i="18"/>
  <c r="BK255" i="18"/>
  <c r="BK254" i="18"/>
  <c r="BM254" i="18" s="1"/>
  <c r="BK253" i="18"/>
  <c r="BM253" i="18" s="1"/>
  <c r="BK252" i="18"/>
  <c r="BM252" i="18" s="1"/>
  <c r="BM251" i="18"/>
  <c r="BK251" i="18"/>
  <c r="BK250" i="18"/>
  <c r="BK249" i="18"/>
  <c r="BM249" i="18" s="1"/>
  <c r="BK248" i="18"/>
  <c r="BK247" i="18"/>
  <c r="BM247" i="18" s="1"/>
  <c r="BK246" i="18"/>
  <c r="BK245" i="18"/>
  <c r="BM245" i="18" s="1"/>
  <c r="BM244" i="18"/>
  <c r="BK244" i="18"/>
  <c r="BK243" i="18"/>
  <c r="BM243" i="18" s="1"/>
  <c r="BM242" i="18"/>
  <c r="BK242" i="18"/>
  <c r="BK241" i="18"/>
  <c r="BM241" i="18" s="1"/>
  <c r="BK240" i="18"/>
  <c r="BK239" i="18"/>
  <c r="BM239" i="18" s="1"/>
  <c r="BK238" i="18"/>
  <c r="BK237" i="18"/>
  <c r="BM237" i="18" s="1"/>
  <c r="BM236" i="18"/>
  <c r="BK236" i="18"/>
  <c r="BK235" i="18"/>
  <c r="BM235" i="18" s="1"/>
  <c r="BM234" i="18"/>
  <c r="BK234" i="18"/>
  <c r="BK233" i="18"/>
  <c r="BM233" i="18" s="1"/>
  <c r="BK232" i="18"/>
  <c r="BK231" i="18"/>
  <c r="BM231" i="18" s="1"/>
  <c r="BK230" i="18"/>
  <c r="BK229" i="18"/>
  <c r="BM229" i="18" s="1"/>
  <c r="BM228" i="18"/>
  <c r="BK228" i="18"/>
  <c r="BK227" i="18"/>
  <c r="BM227" i="18" s="1"/>
  <c r="BM226" i="18"/>
  <c r="BK226" i="18"/>
  <c r="BK225" i="18"/>
  <c r="BM225" i="18" s="1"/>
  <c r="BK224" i="18"/>
  <c r="BK223" i="18"/>
  <c r="BM223" i="18" s="1"/>
  <c r="BK222" i="18"/>
  <c r="BK221" i="18"/>
  <c r="BM221" i="18" s="1"/>
  <c r="BM220" i="18"/>
  <c r="BK220" i="18"/>
  <c r="BK219" i="18"/>
  <c r="BM219" i="18" s="1"/>
  <c r="BM218" i="18"/>
  <c r="BK218" i="18"/>
  <c r="BK217" i="18"/>
  <c r="BM217" i="18" s="1"/>
  <c r="BK216" i="18"/>
  <c r="BK215" i="18"/>
  <c r="BM215" i="18" s="1"/>
  <c r="BK214" i="18"/>
  <c r="BK213" i="18"/>
  <c r="BM213" i="18" s="1"/>
  <c r="BM212" i="18"/>
  <c r="BK212" i="18"/>
  <c r="BK211" i="18"/>
  <c r="BM211" i="18" s="1"/>
  <c r="BM210" i="18"/>
  <c r="BK210" i="18"/>
  <c r="BK209" i="18"/>
  <c r="BM209" i="18" s="1"/>
  <c r="BK208" i="18"/>
  <c r="BK207" i="18"/>
  <c r="BM207" i="18" s="1"/>
  <c r="BK206" i="18"/>
  <c r="BK205" i="18"/>
  <c r="BM205" i="18" s="1"/>
  <c r="BM204" i="18"/>
  <c r="BK204" i="18"/>
  <c r="BK203" i="18"/>
  <c r="BM203" i="18" s="1"/>
  <c r="BM202" i="18"/>
  <c r="BK202" i="18"/>
  <c r="BK201" i="18"/>
  <c r="BM201" i="18" s="1"/>
  <c r="BK200" i="18"/>
  <c r="BK199" i="18"/>
  <c r="BM199" i="18" s="1"/>
  <c r="BK198" i="18"/>
  <c r="BK197" i="18"/>
  <c r="BM197" i="18" s="1"/>
  <c r="BM196" i="18"/>
  <c r="BK196" i="18"/>
  <c r="BK195" i="18"/>
  <c r="BM195" i="18" s="1"/>
  <c r="BM194" i="18"/>
  <c r="BK194" i="18"/>
  <c r="BK193" i="18"/>
  <c r="BM193" i="18" s="1"/>
  <c r="BK192" i="18"/>
  <c r="BK191" i="18"/>
  <c r="BM191" i="18" s="1"/>
  <c r="BK190" i="18"/>
  <c r="BK189" i="18"/>
  <c r="BM189" i="18" s="1"/>
  <c r="BM188" i="18"/>
  <c r="BK188" i="18"/>
  <c r="BK187" i="18"/>
  <c r="BM187" i="18" s="1"/>
  <c r="BM186" i="18"/>
  <c r="BK186" i="18"/>
  <c r="BK185" i="18"/>
  <c r="BM185" i="18" s="1"/>
  <c r="BK184" i="18"/>
  <c r="BK183" i="18"/>
  <c r="BM183" i="18" s="1"/>
  <c r="BK182" i="18"/>
  <c r="BK181" i="18"/>
  <c r="BM181" i="18" s="1"/>
  <c r="BM180" i="18"/>
  <c r="BK180" i="18"/>
  <c r="BK179" i="18"/>
  <c r="BM179" i="18" s="1"/>
  <c r="BM178" i="18"/>
  <c r="BK178" i="18"/>
  <c r="BK177" i="18"/>
  <c r="BM177" i="18" s="1"/>
  <c r="BK176" i="18"/>
  <c r="BK175" i="18"/>
  <c r="BM175" i="18" s="1"/>
  <c r="BK174" i="18"/>
  <c r="BK173" i="18"/>
  <c r="BM173" i="18" s="1"/>
  <c r="BM172" i="18"/>
  <c r="BK172" i="18"/>
  <c r="BK171" i="18"/>
  <c r="BM171" i="18" s="1"/>
  <c r="BM170" i="18"/>
  <c r="BK170" i="18"/>
  <c r="BK169" i="18"/>
  <c r="BM169" i="18" s="1"/>
  <c r="BK168" i="18"/>
  <c r="BK167" i="18"/>
  <c r="BM167" i="18" s="1"/>
  <c r="BK166" i="18"/>
  <c r="BK165" i="18"/>
  <c r="BM165" i="18" s="1"/>
  <c r="BM164" i="18"/>
  <c r="BK164" i="18"/>
  <c r="BK163" i="18"/>
  <c r="BM163" i="18" s="1"/>
  <c r="BM162" i="18"/>
  <c r="BK162" i="18"/>
  <c r="BK161" i="18"/>
  <c r="BM161" i="18" s="1"/>
  <c r="BK160" i="18"/>
  <c r="BK159" i="18"/>
  <c r="BM159" i="18" s="1"/>
  <c r="BK158" i="18"/>
  <c r="BK157" i="18"/>
  <c r="BM157" i="18" s="1"/>
  <c r="BM156" i="18"/>
  <c r="BK156" i="18"/>
  <c r="BK155" i="18"/>
  <c r="BM155" i="18" s="1"/>
  <c r="BM154" i="18"/>
  <c r="BK154" i="18"/>
  <c r="BK153" i="18"/>
  <c r="BM153" i="18" s="1"/>
  <c r="BK152" i="18"/>
  <c r="BK151" i="18"/>
  <c r="BM151" i="18" s="1"/>
  <c r="BK150" i="18"/>
  <c r="BK149" i="18"/>
  <c r="BM149" i="18" s="1"/>
  <c r="BM148" i="18"/>
  <c r="BK148" i="18"/>
  <c r="BK147" i="18"/>
  <c r="BM147" i="18" s="1"/>
  <c r="BM146" i="18"/>
  <c r="BK146" i="18"/>
  <c r="BK145" i="18"/>
  <c r="BM145" i="18" s="1"/>
  <c r="BK144" i="18"/>
  <c r="BK143" i="18"/>
  <c r="BM143" i="18" s="1"/>
  <c r="BK142" i="18"/>
  <c r="BK141" i="18"/>
  <c r="BM141" i="18" s="1"/>
  <c r="BM140" i="18"/>
  <c r="BK140" i="18"/>
  <c r="BK139" i="18"/>
  <c r="BM139" i="18" s="1"/>
  <c r="BM138" i="18"/>
  <c r="BK138" i="18"/>
  <c r="BK137" i="18"/>
  <c r="BM137" i="18" s="1"/>
  <c r="BK136" i="18"/>
  <c r="BK135" i="18"/>
  <c r="BM135" i="18" s="1"/>
  <c r="BK134" i="18"/>
  <c r="BK133" i="18"/>
  <c r="BM134" i="18" s="1"/>
  <c r="BK132" i="18"/>
  <c r="BK131" i="18"/>
  <c r="BM132" i="18" s="1"/>
  <c r="BK130" i="18"/>
  <c r="BK129" i="18"/>
  <c r="BM130" i="18" s="1"/>
  <c r="BK128" i="18"/>
  <c r="BK127" i="18"/>
  <c r="BM128" i="18" s="1"/>
  <c r="BK126" i="18"/>
  <c r="BK125" i="18"/>
  <c r="BM126" i="18" s="1"/>
  <c r="BK124" i="18"/>
  <c r="BK123" i="18"/>
  <c r="BM124" i="18" s="1"/>
  <c r="BK122" i="18"/>
  <c r="BK121" i="18"/>
  <c r="BM122" i="18" s="1"/>
  <c r="BK120" i="18"/>
  <c r="BK119" i="18"/>
  <c r="BM120" i="18" s="1"/>
  <c r="BK118" i="18"/>
  <c r="BK117" i="18"/>
  <c r="BM118" i="18" s="1"/>
  <c r="BK116" i="18"/>
  <c r="BK115" i="18"/>
  <c r="BM116" i="18" s="1"/>
  <c r="BK114" i="18"/>
  <c r="BK113" i="18"/>
  <c r="BM114" i="18" s="1"/>
  <c r="BK112" i="18"/>
  <c r="BK111" i="18"/>
  <c r="BM112" i="18" s="1"/>
  <c r="BK110" i="18"/>
  <c r="BK109" i="18"/>
  <c r="BM110" i="18" s="1"/>
  <c r="BK108" i="18"/>
  <c r="BK107" i="18"/>
  <c r="BM108" i="18" s="1"/>
  <c r="BK106" i="18"/>
  <c r="BK105" i="18"/>
  <c r="BM106" i="18" s="1"/>
  <c r="BK104" i="18"/>
  <c r="BK103" i="18"/>
  <c r="BM104" i="18" s="1"/>
  <c r="BK102" i="18"/>
  <c r="BK101" i="18"/>
  <c r="BM102" i="18" s="1"/>
  <c r="BK100" i="18"/>
  <c r="BK99" i="18"/>
  <c r="BM100" i="18" s="1"/>
  <c r="BK98" i="18"/>
  <c r="BM98" i="18" s="1"/>
  <c r="BK97" i="18"/>
  <c r="BM97" i="18" s="1"/>
  <c r="BK96" i="18"/>
  <c r="BM96" i="18" s="1"/>
  <c r="BK95" i="18"/>
  <c r="BM95" i="18" s="1"/>
  <c r="BK94" i="18"/>
  <c r="BM94" i="18" s="1"/>
  <c r="BK93" i="18"/>
  <c r="BM93" i="18" s="1"/>
  <c r="BK92" i="18"/>
  <c r="BM92" i="18" s="1"/>
  <c r="BK91" i="18"/>
  <c r="BM91" i="18" s="1"/>
  <c r="BK90" i="18"/>
  <c r="BM90" i="18" s="1"/>
  <c r="BK89" i="18"/>
  <c r="BM89" i="18" s="1"/>
  <c r="BK88" i="18"/>
  <c r="BM88" i="18" s="1"/>
  <c r="BK87" i="18"/>
  <c r="BM87" i="18" s="1"/>
  <c r="BK86" i="18"/>
  <c r="BM86" i="18" s="1"/>
  <c r="BK85" i="18"/>
  <c r="BM85" i="18" s="1"/>
  <c r="BK84" i="18"/>
  <c r="BM84" i="18" s="1"/>
  <c r="BK83" i="18"/>
  <c r="BM83" i="18" s="1"/>
  <c r="BK82" i="18"/>
  <c r="BM82" i="18" s="1"/>
  <c r="BK81" i="18"/>
  <c r="BM81" i="18" s="1"/>
  <c r="BK80" i="18"/>
  <c r="BM80" i="18" s="1"/>
  <c r="BK79" i="18"/>
  <c r="BM79" i="18" s="1"/>
  <c r="BK78" i="18"/>
  <c r="BM78" i="18" s="1"/>
  <c r="BK77" i="18"/>
  <c r="BM77" i="18" s="1"/>
  <c r="BK76" i="18"/>
  <c r="BM76" i="18" s="1"/>
  <c r="BK75" i="18"/>
  <c r="BM75" i="18" s="1"/>
  <c r="BK74" i="18"/>
  <c r="BM74" i="18" s="1"/>
  <c r="BK73" i="18"/>
  <c r="BM73" i="18" s="1"/>
  <c r="BK72" i="18"/>
  <c r="BM72" i="18" s="1"/>
  <c r="BK71" i="18"/>
  <c r="BM71" i="18" s="1"/>
  <c r="BK70" i="18"/>
  <c r="BM70" i="18" s="1"/>
  <c r="BK69" i="18"/>
  <c r="BM69" i="18" s="1"/>
  <c r="BK68" i="18"/>
  <c r="BM68" i="18" s="1"/>
  <c r="BK67" i="18"/>
  <c r="BM67" i="18" s="1"/>
  <c r="BK66" i="18"/>
  <c r="BM66" i="18" s="1"/>
  <c r="BK65" i="18"/>
  <c r="BM65" i="18" s="1"/>
  <c r="BK64" i="18"/>
  <c r="BM64" i="18" s="1"/>
  <c r="BK63" i="18"/>
  <c r="BM63" i="18" s="1"/>
  <c r="BK62" i="18"/>
  <c r="BM62" i="18" s="1"/>
  <c r="BK61" i="18"/>
  <c r="BM61" i="18" s="1"/>
  <c r="BK60" i="18"/>
  <c r="BM60" i="18" s="1"/>
  <c r="BK59" i="18"/>
  <c r="BM59" i="18" s="1"/>
  <c r="BK58" i="18"/>
  <c r="BM58" i="18" s="1"/>
  <c r="BK57" i="18"/>
  <c r="BM57" i="18" s="1"/>
  <c r="BK56" i="18"/>
  <c r="BM56" i="18" s="1"/>
  <c r="BK55" i="18"/>
  <c r="BM55" i="18" s="1"/>
  <c r="BK54" i="18"/>
  <c r="BM54" i="18" s="1"/>
  <c r="BK53" i="18"/>
  <c r="BM53" i="18" s="1"/>
  <c r="BK52" i="18"/>
  <c r="BM52" i="18" s="1"/>
  <c r="BK51" i="18"/>
  <c r="BM51" i="18" s="1"/>
  <c r="BK50" i="18"/>
  <c r="BM50" i="18" s="1"/>
  <c r="BK49" i="18"/>
  <c r="BM49" i="18" s="1"/>
  <c r="BK48" i="18"/>
  <c r="BM48" i="18" s="1"/>
  <c r="BK47" i="18"/>
  <c r="BM47" i="18" s="1"/>
  <c r="BK46" i="18"/>
  <c r="BM46" i="18" s="1"/>
  <c r="BK45" i="18"/>
  <c r="BM45" i="18" s="1"/>
  <c r="BK44" i="18"/>
  <c r="BM44" i="18" s="1"/>
  <c r="BK43" i="18"/>
  <c r="BM43" i="18" s="1"/>
  <c r="BK42" i="18"/>
  <c r="BM42" i="18" s="1"/>
  <c r="BK41" i="18"/>
  <c r="BM41" i="18" s="1"/>
  <c r="BK40" i="18"/>
  <c r="BM40" i="18" s="1"/>
  <c r="BK39" i="18"/>
  <c r="BM39" i="18" s="1"/>
  <c r="BK38" i="18"/>
  <c r="BM38" i="18" s="1"/>
  <c r="BK37" i="18"/>
  <c r="BM37" i="18" s="1"/>
  <c r="BK36" i="18"/>
  <c r="BM36" i="18" s="1"/>
  <c r="BK35" i="18"/>
  <c r="BM35" i="18" s="1"/>
  <c r="BK34" i="18"/>
  <c r="BM34" i="18" s="1"/>
  <c r="BK33" i="18"/>
  <c r="BM33" i="18" s="1"/>
  <c r="BK32" i="18"/>
  <c r="BM32" i="18" s="1"/>
  <c r="BK31" i="18"/>
  <c r="BM31" i="18" s="1"/>
  <c r="BK30" i="18"/>
  <c r="BM30" i="18" s="1"/>
  <c r="BK29" i="18"/>
  <c r="BM29" i="18" s="1"/>
  <c r="BK28" i="18"/>
  <c r="BM28" i="18" s="1"/>
  <c r="BK27" i="18"/>
  <c r="BM27" i="18" s="1"/>
  <c r="BK26" i="18"/>
  <c r="BM26" i="18" s="1"/>
  <c r="BK25" i="18"/>
  <c r="BM25" i="18" s="1"/>
  <c r="BK24" i="18"/>
  <c r="BM24" i="18" s="1"/>
  <c r="BK23" i="18"/>
  <c r="BM23" i="18" s="1"/>
  <c r="BK22" i="18"/>
  <c r="BM22" i="18" s="1"/>
  <c r="BK21" i="18"/>
  <c r="BM21" i="18" s="1"/>
  <c r="BK20" i="18"/>
  <c r="BM20" i="18" s="1"/>
  <c r="BK19" i="18"/>
  <c r="BM19" i="18" s="1"/>
  <c r="BK18" i="18"/>
  <c r="BM18" i="18" s="1"/>
  <c r="BK17" i="18"/>
  <c r="BM17" i="18" s="1"/>
  <c r="BK16" i="18"/>
  <c r="BM16" i="18" s="1"/>
  <c r="BK15" i="18"/>
  <c r="BM15" i="18" s="1"/>
  <c r="BK14" i="18"/>
  <c r="BM14" i="18" s="1"/>
  <c r="BK13" i="18"/>
  <c r="BM13" i="18" s="1"/>
  <c r="BK12" i="18"/>
  <c r="BM12" i="18" s="1"/>
  <c r="BK11" i="18"/>
  <c r="BM11" i="18" s="1"/>
  <c r="BK10" i="18"/>
  <c r="BM10" i="18" s="1"/>
  <c r="BK9" i="18"/>
  <c r="BM9" i="18" s="1"/>
  <c r="BK8" i="18"/>
  <c r="BM8" i="18" s="1"/>
  <c r="BK7" i="18"/>
  <c r="BM7" i="18" s="1"/>
  <c r="BM6" i="18"/>
  <c r="BK5" i="18"/>
  <c r="BM5" i="18" s="1"/>
  <c r="BK4" i="18"/>
  <c r="BM4" i="18" s="1"/>
  <c r="BK3" i="18"/>
  <c r="BM312" i="18" l="1"/>
  <c r="BM311" i="18"/>
  <c r="BM328" i="18"/>
  <c r="BM327" i="18"/>
  <c r="BM344" i="18"/>
  <c r="BM343" i="18"/>
  <c r="BM360" i="18"/>
  <c r="BM359" i="18"/>
  <c r="BM376" i="18"/>
  <c r="BM375" i="18"/>
  <c r="BM408" i="18"/>
  <c r="BM407" i="18"/>
  <c r="BM101" i="18"/>
  <c r="BM105" i="18"/>
  <c r="BM109" i="18"/>
  <c r="BM113" i="18"/>
  <c r="BM119" i="18"/>
  <c r="BM127" i="18"/>
  <c r="BM305" i="18"/>
  <c r="BM353" i="18"/>
  <c r="BM136" i="18"/>
  <c r="BM152" i="18"/>
  <c r="BM168" i="18"/>
  <c r="BM176" i="18"/>
  <c r="BM184" i="18"/>
  <c r="BM192" i="18"/>
  <c r="BM200" i="18"/>
  <c r="BM208" i="18"/>
  <c r="BM216" i="18"/>
  <c r="BM224" i="18"/>
  <c r="BM232" i="18"/>
  <c r="BM240" i="18"/>
  <c r="BM255" i="18"/>
  <c r="BM261" i="18"/>
  <c r="BM304" i="18"/>
  <c r="BM303" i="18"/>
  <c r="BM320" i="18"/>
  <c r="BM319" i="18"/>
  <c r="BM336" i="18"/>
  <c r="BM335" i="18"/>
  <c r="BM352" i="18"/>
  <c r="BM351" i="18"/>
  <c r="BM368" i="18"/>
  <c r="BM367" i="18"/>
  <c r="BM384" i="18"/>
  <c r="BM383" i="18"/>
  <c r="BM400" i="18"/>
  <c r="BM399" i="18"/>
  <c r="BM392" i="18"/>
  <c r="BM391" i="18"/>
  <c r="BM99" i="18"/>
  <c r="BM103" i="18"/>
  <c r="BM107" i="18"/>
  <c r="BM111" i="18"/>
  <c r="BM115" i="18"/>
  <c r="BM117" i="18"/>
  <c r="BM121" i="18"/>
  <c r="BM123" i="18"/>
  <c r="BM125" i="18"/>
  <c r="BM129" i="18"/>
  <c r="BM131" i="18"/>
  <c r="BM133" i="18"/>
  <c r="BM321" i="18"/>
  <c r="BM337" i="18"/>
  <c r="BM369" i="18"/>
  <c r="BM385" i="18"/>
  <c r="BM401" i="18"/>
  <c r="BM144" i="18"/>
  <c r="BM160" i="18"/>
  <c r="BM142" i="18"/>
  <c r="BM150" i="18"/>
  <c r="BM158" i="18"/>
  <c r="BM166" i="18"/>
  <c r="BM174" i="18"/>
  <c r="BM182" i="18"/>
  <c r="BM190" i="18"/>
  <c r="BM198" i="18"/>
  <c r="BM206" i="18"/>
  <c r="BM214" i="18"/>
  <c r="BM222" i="18"/>
  <c r="BM230" i="18"/>
  <c r="BM238" i="18"/>
  <c r="BM246" i="18"/>
  <c r="BM313" i="18"/>
  <c r="BM329" i="18"/>
  <c r="BM345" i="18"/>
  <c r="BM361" i="18"/>
  <c r="BM377" i="18"/>
  <c r="BM393" i="18"/>
  <c r="BM409" i="18"/>
  <c r="BM250" i="18"/>
  <c r="BM258" i="18"/>
  <c r="BM266" i="18"/>
  <c r="BM274" i="18"/>
  <c r="BM282" i="18"/>
  <c r="BM290" i="18"/>
  <c r="BM298" i="18"/>
  <c r="BM248" i="18"/>
  <c r="BM256" i="18"/>
  <c r="BM264" i="18"/>
  <c r="BM272" i="18"/>
  <c r="BM280" i="18"/>
  <c r="BM288" i="18"/>
  <c r="BM296" i="18"/>
  <c r="BM301" i="18"/>
  <c r="BM309" i="18"/>
  <c r="BM317" i="18"/>
  <c r="BM325" i="18"/>
  <c r="BM333" i="18"/>
  <c r="BM341" i="18"/>
  <c r="BM349" i="18"/>
  <c r="BM357" i="18"/>
  <c r="BM365" i="18"/>
  <c r="BM373" i="18"/>
  <c r="BM381" i="18"/>
  <c r="BM389" i="18"/>
  <c r="BM397" i="18"/>
  <c r="BM405" i="18"/>
  <c r="BM413" i="18"/>
  <c r="BM416" i="18"/>
  <c r="G25" i="14" l="1"/>
  <c r="G23" i="15" s="1"/>
  <c r="K8" i="26" l="1"/>
  <c r="R9" i="25"/>
  <c r="R36" i="26"/>
  <c r="R143" i="25" l="1"/>
  <c r="K114" i="25"/>
  <c r="R67" i="25"/>
  <c r="W14" i="13" l="1"/>
  <c r="V23" i="13" s="1"/>
  <c r="J8" i="14" s="1"/>
  <c r="X14" i="13"/>
  <c r="W15" i="13"/>
  <c r="W23" i="13" s="1"/>
  <c r="K8" i="14" s="1"/>
  <c r="X15" i="13"/>
  <c r="X13" i="13"/>
  <c r="W13" i="13"/>
  <c r="U23" i="13" s="1"/>
  <c r="I8" i="14" s="1"/>
  <c r="T14" i="13"/>
  <c r="V22" i="13" s="1"/>
  <c r="T15" i="13"/>
  <c r="W22" i="13" s="1"/>
  <c r="T13" i="13"/>
  <c r="U22" i="13" s="1"/>
  <c r="K7" i="7" l="1"/>
  <c r="K5" i="7"/>
  <c r="K6" i="9"/>
  <c r="J9" i="14" s="1"/>
  <c r="K7" i="9"/>
  <c r="K9" i="14" s="1"/>
  <c r="K5" i="9"/>
  <c r="I9" i="14" s="1"/>
  <c r="B6" i="9"/>
  <c r="H11" i="9" s="1"/>
  <c r="C6" i="9"/>
  <c r="C6" i="11" s="1"/>
  <c r="G6" i="9"/>
  <c r="J7" i="14" s="1"/>
  <c r="H6" i="9"/>
  <c r="H6" i="11" s="1"/>
  <c r="B7" i="9"/>
  <c r="J11" i="9" s="1"/>
  <c r="C7" i="9"/>
  <c r="C7" i="11" s="1"/>
  <c r="G7" i="9"/>
  <c r="K7" i="14" s="1"/>
  <c r="H7" i="9"/>
  <c r="H7" i="11" s="1"/>
  <c r="F10" i="6"/>
  <c r="H5" i="9"/>
  <c r="H5" i="11" s="1"/>
  <c r="G5" i="9"/>
  <c r="I7" i="14" s="1"/>
  <c r="C5" i="9"/>
  <c r="C5" i="11" s="1"/>
  <c r="B5" i="9"/>
  <c r="B5" i="11" s="1"/>
  <c r="E13" i="11" s="1"/>
  <c r="G14" i="8"/>
  <c r="E14" i="8"/>
  <c r="C14" i="8"/>
  <c r="C6" i="8"/>
  <c r="C7" i="8"/>
  <c r="C5" i="8"/>
  <c r="B6" i="8"/>
  <c r="B7" i="8"/>
  <c r="B5" i="8"/>
  <c r="B6" i="7"/>
  <c r="H13" i="7" s="1"/>
  <c r="B7" i="7"/>
  <c r="J13" i="7" s="1"/>
  <c r="B5" i="7"/>
  <c r="F13" i="7" s="1"/>
  <c r="G7" i="7"/>
  <c r="G6" i="7"/>
  <c r="G5" i="7"/>
  <c r="H7" i="7"/>
  <c r="H6" i="7"/>
  <c r="H5" i="7"/>
  <c r="C9" i="7"/>
  <c r="E33" i="7" s="1"/>
  <c r="G6" i="6"/>
  <c r="H6" i="6"/>
  <c r="F6" i="6"/>
  <c r="C6" i="7"/>
  <c r="C7" i="7"/>
  <c r="C5" i="7"/>
  <c r="K6" i="11" l="1"/>
  <c r="K7" i="11"/>
  <c r="F11" i="9"/>
  <c r="B7" i="11"/>
  <c r="I13" i="11" s="1"/>
  <c r="G7" i="11"/>
  <c r="G5" i="11"/>
  <c r="K5" i="11"/>
  <c r="G6" i="11"/>
  <c r="C9" i="9"/>
  <c r="C9" i="8"/>
  <c r="B6" i="11"/>
  <c r="G13" i="11" s="1"/>
  <c r="K6" i="7"/>
  <c r="F6" i="26" l="1"/>
  <c r="F34" i="26" s="1"/>
  <c r="B30" i="8"/>
  <c r="C6" i="14"/>
  <c r="C9" i="11"/>
  <c r="E31" i="9"/>
  <c r="C7" i="6"/>
  <c r="H10" i="6" s="1"/>
  <c r="C6" i="6"/>
  <c r="G10" i="6" s="1"/>
  <c r="C5" i="6"/>
  <c r="H9" i="6"/>
  <c r="G9" i="6"/>
  <c r="F9" i="6"/>
  <c r="H15" i="6"/>
  <c r="G15" i="6"/>
  <c r="F15" i="6"/>
  <c r="P9" i="21"/>
  <c r="P9" i="20"/>
  <c r="D41" i="26" l="1"/>
  <c r="D43" i="26"/>
  <c r="D36" i="26"/>
  <c r="D38" i="26"/>
  <c r="D40" i="26"/>
  <c r="D39" i="26"/>
  <c r="D37" i="26"/>
  <c r="D42" i="26"/>
  <c r="C8" i="14"/>
  <c r="C5" i="15"/>
  <c r="C7" i="14"/>
  <c r="D58" i="13"/>
  <c r="D31" i="11"/>
  <c r="D8" i="26"/>
  <c r="D9" i="26"/>
  <c r="D12" i="26"/>
  <c r="D14" i="26"/>
  <c r="D10" i="26"/>
  <c r="D11" i="26"/>
  <c r="D13" i="26"/>
  <c r="D15" i="26"/>
  <c r="H21" i="5"/>
  <c r="H22" i="5" s="1"/>
  <c r="H24" i="5" s="1"/>
  <c r="G21" i="5"/>
  <c r="G22" i="5" s="1"/>
  <c r="G23" i="5" s="1"/>
  <c r="F21" i="5"/>
  <c r="F22" i="5" s="1"/>
  <c r="O87" i="18"/>
  <c r="O3" i="18"/>
  <c r="D44" i="26" l="1"/>
  <c r="C49" i="26" s="1"/>
  <c r="J121" i="13"/>
  <c r="E5" i="17" s="1"/>
  <c r="C13" i="14"/>
  <c r="C37" i="14"/>
  <c r="C19" i="14"/>
  <c r="C17" i="14"/>
  <c r="C16" i="14"/>
  <c r="C20" i="14"/>
  <c r="C14" i="14"/>
  <c r="C15" i="14"/>
  <c r="C18" i="14"/>
  <c r="D16" i="26"/>
  <c r="C21" i="26" s="1"/>
  <c r="C23" i="26" s="1"/>
  <c r="E21" i="17" s="1"/>
  <c r="F6" i="25"/>
  <c r="C6" i="15"/>
  <c r="C7" i="15"/>
  <c r="C38" i="14"/>
  <c r="D38" i="14"/>
  <c r="E38" i="14" s="1"/>
  <c r="F38" i="14" s="1"/>
  <c r="F23" i="5"/>
  <c r="F24" i="5"/>
  <c r="H23" i="5"/>
  <c r="G24" i="5"/>
  <c r="E29" i="17" l="1"/>
  <c r="C51" i="26"/>
  <c r="C18" i="15"/>
  <c r="C11" i="15"/>
  <c r="C14" i="15"/>
  <c r="C17" i="15"/>
  <c r="C16" i="15"/>
  <c r="C13" i="15"/>
  <c r="C15" i="15"/>
  <c r="C12" i="15"/>
  <c r="C21" i="25"/>
  <c r="F139" i="25"/>
  <c r="C168" i="25"/>
  <c r="F64" i="25"/>
  <c r="F110" i="25"/>
  <c r="C39" i="14"/>
  <c r="E13" i="17" s="1"/>
  <c r="C21" i="14"/>
  <c r="G32" i="14"/>
  <c r="G30" i="15" s="1"/>
  <c r="BC416" i="18"/>
  <c r="G31" i="14" s="1"/>
  <c r="G29" i="15" s="1"/>
  <c r="AU416" i="18"/>
  <c r="G30" i="14" s="1"/>
  <c r="G28" i="15" s="1"/>
  <c r="AM416" i="18"/>
  <c r="G29" i="14" s="1"/>
  <c r="G27" i="15" s="1"/>
  <c r="AE416" i="18"/>
  <c r="G28" i="14" s="1"/>
  <c r="W416" i="18"/>
  <c r="G27" i="14" s="1"/>
  <c r="G25" i="15" s="1"/>
  <c r="O416" i="18"/>
  <c r="G26" i="14" s="1"/>
  <c r="G24" i="15" s="1"/>
  <c r="G416" i="18"/>
  <c r="BC415" i="18"/>
  <c r="AU415" i="18"/>
  <c r="AM415" i="18"/>
  <c r="AE415" i="18"/>
  <c r="W415" i="18"/>
  <c r="O415" i="18"/>
  <c r="G415" i="18"/>
  <c r="BC414" i="18"/>
  <c r="AU414" i="18"/>
  <c r="AM414" i="18"/>
  <c r="AE414" i="18"/>
  <c r="W414" i="18"/>
  <c r="O414" i="18"/>
  <c r="G414" i="18"/>
  <c r="BC413" i="18"/>
  <c r="AU413" i="18"/>
  <c r="AM413" i="18"/>
  <c r="AE413" i="18"/>
  <c r="W413" i="18"/>
  <c r="O413" i="18"/>
  <c r="G413" i="18"/>
  <c r="BC412" i="18"/>
  <c r="AU412" i="18"/>
  <c r="AM412" i="18"/>
  <c r="AE412" i="18"/>
  <c r="W412" i="18"/>
  <c r="O412" i="18"/>
  <c r="G412" i="18"/>
  <c r="BC411" i="18"/>
  <c r="AU411" i="18"/>
  <c r="AM411" i="18"/>
  <c r="AE411" i="18"/>
  <c r="W411" i="18"/>
  <c r="O411" i="18"/>
  <c r="G411" i="18"/>
  <c r="BC410" i="18"/>
  <c r="AU410" i="18"/>
  <c r="AM410" i="18"/>
  <c r="AE410" i="18"/>
  <c r="W410" i="18"/>
  <c r="O410" i="18"/>
  <c r="G410" i="18"/>
  <c r="BC409" i="18"/>
  <c r="AU409" i="18"/>
  <c r="AM409" i="18"/>
  <c r="AE409" i="18"/>
  <c r="W409" i="18"/>
  <c r="O409" i="18"/>
  <c r="G409" i="18"/>
  <c r="BC408" i="18"/>
  <c r="AU408" i="18"/>
  <c r="AM408" i="18"/>
  <c r="AE408" i="18"/>
  <c r="W408" i="18"/>
  <c r="O408" i="18"/>
  <c r="G408" i="18"/>
  <c r="BC407" i="18"/>
  <c r="AU407" i="18"/>
  <c r="AM407" i="18"/>
  <c r="AE407" i="18"/>
  <c r="W407" i="18"/>
  <c r="O407" i="18"/>
  <c r="G407" i="18"/>
  <c r="BC406" i="18"/>
  <c r="BE407" i="18" s="1"/>
  <c r="J409" i="4" s="1"/>
  <c r="AU406" i="18"/>
  <c r="AM406" i="18"/>
  <c r="AE406" i="18"/>
  <c r="W406" i="18"/>
  <c r="O406" i="18"/>
  <c r="G406" i="18"/>
  <c r="BC405" i="18"/>
  <c r="AU405" i="18"/>
  <c r="AM405" i="18"/>
  <c r="AE405" i="18"/>
  <c r="AG406" i="18" s="1"/>
  <c r="G408" i="4" s="1"/>
  <c r="W405" i="18"/>
  <c r="O405" i="18"/>
  <c r="G405" i="18"/>
  <c r="BC404" i="18"/>
  <c r="AU404" i="18"/>
  <c r="AM404" i="18"/>
  <c r="AE404" i="18"/>
  <c r="AG405" i="18" s="1"/>
  <c r="G407" i="4" s="1"/>
  <c r="W404" i="18"/>
  <c r="O404" i="18"/>
  <c r="G404" i="18"/>
  <c r="BC403" i="18"/>
  <c r="AU403" i="18"/>
  <c r="AM403" i="18"/>
  <c r="AE403" i="18"/>
  <c r="W403" i="18"/>
  <c r="O403" i="18"/>
  <c r="G403" i="18"/>
  <c r="BC402" i="18"/>
  <c r="AU402" i="18"/>
  <c r="AM402" i="18"/>
  <c r="AE402" i="18"/>
  <c r="W402" i="18"/>
  <c r="O402" i="18"/>
  <c r="G402" i="18"/>
  <c r="BC401" i="18"/>
  <c r="AU401" i="18"/>
  <c r="AM401" i="18"/>
  <c r="AE401" i="18"/>
  <c r="AG402" i="18" s="1"/>
  <c r="G404" i="4" s="1"/>
  <c r="W401" i="18"/>
  <c r="O401" i="18"/>
  <c r="G401" i="18"/>
  <c r="BC400" i="18"/>
  <c r="AU400" i="18"/>
  <c r="AM400" i="18"/>
  <c r="AE400" i="18"/>
  <c r="AG401" i="18" s="1"/>
  <c r="G403" i="4" s="1"/>
  <c r="W400" i="18"/>
  <c r="O400" i="18"/>
  <c r="G400" i="18"/>
  <c r="BC399" i="18"/>
  <c r="AU399" i="18"/>
  <c r="AM399" i="18"/>
  <c r="AE399" i="18"/>
  <c r="W399" i="18"/>
  <c r="O399" i="18"/>
  <c r="G399" i="18"/>
  <c r="K401" i="4"/>
  <c r="BC398" i="18"/>
  <c r="AU398" i="18"/>
  <c r="AM398" i="18"/>
  <c r="AE398" i="18"/>
  <c r="W398" i="18"/>
  <c r="O398" i="18"/>
  <c r="G398" i="18"/>
  <c r="BC397" i="18"/>
  <c r="AU397" i="18"/>
  <c r="AM397" i="18"/>
  <c r="AE397" i="18"/>
  <c r="W397" i="18"/>
  <c r="O397" i="18"/>
  <c r="G397" i="18"/>
  <c r="BC396" i="18"/>
  <c r="AU396" i="18"/>
  <c r="AM396" i="18"/>
  <c r="AE396" i="18"/>
  <c r="AG397" i="18" s="1"/>
  <c r="G399" i="4" s="1"/>
  <c r="W396" i="18"/>
  <c r="O396" i="18"/>
  <c r="G396" i="18"/>
  <c r="BC395" i="18"/>
  <c r="AU395" i="18"/>
  <c r="AM395" i="18"/>
  <c r="AE395" i="18"/>
  <c r="W395" i="18"/>
  <c r="O395" i="18"/>
  <c r="G395" i="18"/>
  <c r="BC394" i="18"/>
  <c r="AU394" i="18"/>
  <c r="AM394" i="18"/>
  <c r="AE394" i="18"/>
  <c r="W394" i="18"/>
  <c r="O394" i="18"/>
  <c r="G394" i="18"/>
  <c r="BC393" i="18"/>
  <c r="AU393" i="18"/>
  <c r="AM393" i="18"/>
  <c r="AE393" i="18"/>
  <c r="W393" i="18"/>
  <c r="O393" i="18"/>
  <c r="G393" i="18"/>
  <c r="BC392" i="18"/>
  <c r="AU392" i="18"/>
  <c r="AM392" i="18"/>
  <c r="AE392" i="18"/>
  <c r="W392" i="18"/>
  <c r="O392" i="18"/>
  <c r="G392" i="18"/>
  <c r="BC391" i="18"/>
  <c r="AU391" i="18"/>
  <c r="AM391" i="18"/>
  <c r="AE391" i="18"/>
  <c r="W391" i="18"/>
  <c r="O391" i="18"/>
  <c r="G391" i="18"/>
  <c r="BC390" i="18"/>
  <c r="AU390" i="18"/>
  <c r="AM390" i="18"/>
  <c r="AE390" i="18"/>
  <c r="W390" i="18"/>
  <c r="O390" i="18"/>
  <c r="G390" i="18"/>
  <c r="BC389" i="18"/>
  <c r="AU389" i="18"/>
  <c r="AM389" i="18"/>
  <c r="AE389" i="18"/>
  <c r="W389" i="18"/>
  <c r="O389" i="18"/>
  <c r="G389" i="18"/>
  <c r="BC388" i="18"/>
  <c r="AU388" i="18"/>
  <c r="AM388" i="18"/>
  <c r="AE388" i="18"/>
  <c r="W388" i="18"/>
  <c r="O388" i="18"/>
  <c r="G388" i="18"/>
  <c r="BC387" i="18"/>
  <c r="AU387" i="18"/>
  <c r="AM387" i="18"/>
  <c r="AE387" i="18"/>
  <c r="W387" i="18"/>
  <c r="O387" i="18"/>
  <c r="G387" i="18"/>
  <c r="BC386" i="18"/>
  <c r="AU386" i="18"/>
  <c r="AM386" i="18"/>
  <c r="AE386" i="18"/>
  <c r="W386" i="18"/>
  <c r="O386" i="18"/>
  <c r="G386" i="18"/>
  <c r="BC385" i="18"/>
  <c r="AU385" i="18"/>
  <c r="AM385" i="18"/>
  <c r="AE385" i="18"/>
  <c r="W385" i="18"/>
  <c r="O385" i="18"/>
  <c r="G385" i="18"/>
  <c r="BC384" i="18"/>
  <c r="AU384" i="18"/>
  <c r="AM384" i="18"/>
  <c r="AE384" i="18"/>
  <c r="W384" i="18"/>
  <c r="O384" i="18"/>
  <c r="G384" i="18"/>
  <c r="BC383" i="18"/>
  <c r="AU383" i="18"/>
  <c r="AM383" i="18"/>
  <c r="AE383" i="18"/>
  <c r="AG384" i="18" s="1"/>
  <c r="G386" i="4" s="1"/>
  <c r="W383" i="18"/>
  <c r="O383" i="18"/>
  <c r="G383" i="18"/>
  <c r="BC382" i="18"/>
  <c r="AU382" i="18"/>
  <c r="AM382" i="18"/>
  <c r="AE382" i="18"/>
  <c r="W382" i="18"/>
  <c r="O382" i="18"/>
  <c r="G382" i="18"/>
  <c r="K383" i="4"/>
  <c r="BC381" i="18"/>
  <c r="AU381" i="18"/>
  <c r="AM381" i="18"/>
  <c r="AE381" i="18"/>
  <c r="W381" i="18"/>
  <c r="O381" i="18"/>
  <c r="G381" i="18"/>
  <c r="K382" i="4"/>
  <c r="BC380" i="18"/>
  <c r="AU380" i="18"/>
  <c r="AM380" i="18"/>
  <c r="AE380" i="18"/>
  <c r="W380" i="18"/>
  <c r="O380" i="18"/>
  <c r="G380" i="18"/>
  <c r="BC379" i="18"/>
  <c r="AU379" i="18"/>
  <c r="AM379" i="18"/>
  <c r="AE379" i="18"/>
  <c r="W379" i="18"/>
  <c r="O379" i="18"/>
  <c r="G379" i="18"/>
  <c r="K381" i="4"/>
  <c r="BC378" i="18"/>
  <c r="AU378" i="18"/>
  <c r="AW379" i="18" s="1"/>
  <c r="I381" i="4" s="1"/>
  <c r="AM378" i="18"/>
  <c r="AE378" i="18"/>
  <c r="AG379" i="18" s="1"/>
  <c r="G381" i="4" s="1"/>
  <c r="W378" i="18"/>
  <c r="O378" i="18"/>
  <c r="Q379" i="18" s="1"/>
  <c r="E381" i="4" s="1"/>
  <c r="G378" i="18"/>
  <c r="K380" i="4"/>
  <c r="BC377" i="18"/>
  <c r="AU377" i="18"/>
  <c r="AW378" i="18" s="1"/>
  <c r="I380" i="4" s="1"/>
  <c r="AM377" i="18"/>
  <c r="AE377" i="18"/>
  <c r="W377" i="18"/>
  <c r="O377" i="18"/>
  <c r="G377" i="18"/>
  <c r="BC376" i="18"/>
  <c r="AU376" i="18"/>
  <c r="AM376" i="18"/>
  <c r="AE376" i="18"/>
  <c r="W376" i="18"/>
  <c r="O376" i="18"/>
  <c r="G376" i="18"/>
  <c r="BC375" i="18"/>
  <c r="AU375" i="18"/>
  <c r="AM375" i="18"/>
  <c r="AE375" i="18"/>
  <c r="W375" i="18"/>
  <c r="O375" i="18"/>
  <c r="G375" i="18"/>
  <c r="BC374" i="18"/>
  <c r="AU374" i="18"/>
  <c r="AM374" i="18"/>
  <c r="AE374" i="18"/>
  <c r="W374" i="18"/>
  <c r="O374" i="18"/>
  <c r="G374" i="18"/>
  <c r="BC373" i="18"/>
  <c r="AU373" i="18"/>
  <c r="AM373" i="18"/>
  <c r="AE373" i="18"/>
  <c r="W373" i="18"/>
  <c r="O373" i="18"/>
  <c r="G373" i="18"/>
  <c r="BC372" i="18"/>
  <c r="AU372" i="18"/>
  <c r="AM372" i="18"/>
  <c r="AE372" i="18"/>
  <c r="W372" i="18"/>
  <c r="O372" i="18"/>
  <c r="G372" i="18"/>
  <c r="BC371" i="18"/>
  <c r="AU371" i="18"/>
  <c r="AM371" i="18"/>
  <c r="AE371" i="18"/>
  <c r="W371" i="18"/>
  <c r="O371" i="18"/>
  <c r="G371" i="18"/>
  <c r="BC370" i="18"/>
  <c r="AU370" i="18"/>
  <c r="AM370" i="18"/>
  <c r="AE370" i="18"/>
  <c r="W370" i="18"/>
  <c r="O370" i="18"/>
  <c r="G370" i="18"/>
  <c r="BC369" i="18"/>
  <c r="AU369" i="18"/>
  <c r="AM369" i="18"/>
  <c r="AE369" i="18"/>
  <c r="W369" i="18"/>
  <c r="O369" i="18"/>
  <c r="G369" i="18"/>
  <c r="BC368" i="18"/>
  <c r="AU368" i="18"/>
  <c r="AM368" i="18"/>
  <c r="AE368" i="18"/>
  <c r="W368" i="18"/>
  <c r="O368" i="18"/>
  <c r="G368" i="18"/>
  <c r="BC367" i="18"/>
  <c r="AU367" i="18"/>
  <c r="AM367" i="18"/>
  <c r="AE367" i="18"/>
  <c r="W367" i="18"/>
  <c r="O367" i="18"/>
  <c r="G367" i="18"/>
  <c r="BC366" i="18"/>
  <c r="AU366" i="18"/>
  <c r="AM366" i="18"/>
  <c r="AE366" i="18"/>
  <c r="W366" i="18"/>
  <c r="O366" i="18"/>
  <c r="G366" i="18"/>
  <c r="BC365" i="18"/>
  <c r="AU365" i="18"/>
  <c r="AM365" i="18"/>
  <c r="AE365" i="18"/>
  <c r="W365" i="18"/>
  <c r="O365" i="18"/>
  <c r="G365" i="18"/>
  <c r="BC364" i="18"/>
  <c r="AU364" i="18"/>
  <c r="AM364" i="18"/>
  <c r="AE364" i="18"/>
  <c r="W364" i="18"/>
  <c r="O364" i="18"/>
  <c r="G364" i="18"/>
  <c r="BC363" i="18"/>
  <c r="AU363" i="18"/>
  <c r="AM363" i="18"/>
  <c r="AE363" i="18"/>
  <c r="W363" i="18"/>
  <c r="O363" i="18"/>
  <c r="G363" i="18"/>
  <c r="BC362" i="18"/>
  <c r="AU362" i="18"/>
  <c r="AM362" i="18"/>
  <c r="AE362" i="18"/>
  <c r="W362" i="18"/>
  <c r="O362" i="18"/>
  <c r="G362" i="18"/>
  <c r="BC361" i="18"/>
  <c r="AU361" i="18"/>
  <c r="AM361" i="18"/>
  <c r="AE361" i="18"/>
  <c r="W361" i="18"/>
  <c r="O361" i="18"/>
  <c r="G361" i="18"/>
  <c r="BC360" i="18"/>
  <c r="AU360" i="18"/>
  <c r="AM360" i="18"/>
  <c r="AE360" i="18"/>
  <c r="W360" i="18"/>
  <c r="O360" i="18"/>
  <c r="G360" i="18"/>
  <c r="BC359" i="18"/>
  <c r="AU359" i="18"/>
  <c r="AM359" i="18"/>
  <c r="AE359" i="18"/>
  <c r="W359" i="18"/>
  <c r="O359" i="18"/>
  <c r="G359" i="18"/>
  <c r="BC358" i="18"/>
  <c r="AU358" i="18"/>
  <c r="AM358" i="18"/>
  <c r="AE358" i="18"/>
  <c r="W358" i="18"/>
  <c r="O358" i="18"/>
  <c r="G358" i="18"/>
  <c r="BC357" i="18"/>
  <c r="AU357" i="18"/>
  <c r="AM357" i="18"/>
  <c r="AE357" i="18"/>
  <c r="W357" i="18"/>
  <c r="O357" i="18"/>
  <c r="G357" i="18"/>
  <c r="BC356" i="18"/>
  <c r="AU356" i="18"/>
  <c r="AM356" i="18"/>
  <c r="AE356" i="18"/>
  <c r="W356" i="18"/>
  <c r="O356" i="18"/>
  <c r="G356" i="18"/>
  <c r="BC355" i="18"/>
  <c r="AU355" i="18"/>
  <c r="AM355" i="18"/>
  <c r="AE355" i="18"/>
  <c r="W355" i="18"/>
  <c r="O355" i="18"/>
  <c r="G355" i="18"/>
  <c r="BC354" i="18"/>
  <c r="AU354" i="18"/>
  <c r="AM354" i="18"/>
  <c r="AE354" i="18"/>
  <c r="W354" i="18"/>
  <c r="O354" i="18"/>
  <c r="G354" i="18"/>
  <c r="E32" i="14"/>
  <c r="E30" i="15" s="1"/>
  <c r="BC353" i="18"/>
  <c r="E31" i="14" s="1"/>
  <c r="E29" i="15" s="1"/>
  <c r="AU353" i="18"/>
  <c r="E30" i="14" s="1"/>
  <c r="E28" i="15" s="1"/>
  <c r="AM353" i="18"/>
  <c r="E29" i="14" s="1"/>
  <c r="E27" i="15" s="1"/>
  <c r="AE353" i="18"/>
  <c r="E28" i="14" s="1"/>
  <c r="W353" i="18"/>
  <c r="E27" i="14" s="1"/>
  <c r="E25" i="15" s="1"/>
  <c r="O353" i="18"/>
  <c r="E26" i="14" s="1"/>
  <c r="E24" i="15" s="1"/>
  <c r="G353" i="18"/>
  <c r="E25" i="14" s="1"/>
  <c r="BC352" i="18"/>
  <c r="AU352" i="18"/>
  <c r="AM352" i="18"/>
  <c r="AE352" i="18"/>
  <c r="W352" i="18"/>
  <c r="O352" i="18"/>
  <c r="G352" i="18"/>
  <c r="BC351" i="18"/>
  <c r="AU351" i="18"/>
  <c r="AM351" i="18"/>
  <c r="AE351" i="18"/>
  <c r="W351" i="18"/>
  <c r="O351" i="18"/>
  <c r="G351" i="18"/>
  <c r="BC350" i="18"/>
  <c r="AU350" i="18"/>
  <c r="AM350" i="18"/>
  <c r="AE350" i="18"/>
  <c r="W350" i="18"/>
  <c r="O350" i="18"/>
  <c r="G350" i="18"/>
  <c r="BC349" i="18"/>
  <c r="AU349" i="18"/>
  <c r="AM349" i="18"/>
  <c r="AE349" i="18"/>
  <c r="W349" i="18"/>
  <c r="O349" i="18"/>
  <c r="G349" i="18"/>
  <c r="BC348" i="18"/>
  <c r="AU348" i="18"/>
  <c r="AM348" i="18"/>
  <c r="AE348" i="18"/>
  <c r="W348" i="18"/>
  <c r="O348" i="18"/>
  <c r="G348" i="18"/>
  <c r="BC347" i="18"/>
  <c r="AU347" i="18"/>
  <c r="AM347" i="18"/>
  <c r="AE347" i="18"/>
  <c r="W347" i="18"/>
  <c r="O347" i="18"/>
  <c r="G347" i="18"/>
  <c r="BC346" i="18"/>
  <c r="AU346" i="18"/>
  <c r="AM346" i="18"/>
  <c r="AE346" i="18"/>
  <c r="W346" i="18"/>
  <c r="O346" i="18"/>
  <c r="G346" i="18"/>
  <c r="BC345" i="18"/>
  <c r="AU345" i="18"/>
  <c r="AM345" i="18"/>
  <c r="AE345" i="18"/>
  <c r="W345" i="18"/>
  <c r="O345" i="18"/>
  <c r="G345" i="18"/>
  <c r="BC344" i="18"/>
  <c r="AU344" i="18"/>
  <c r="AM344" i="18"/>
  <c r="AE344" i="18"/>
  <c r="W344" i="18"/>
  <c r="O344" i="18"/>
  <c r="G344" i="18"/>
  <c r="BC343" i="18"/>
  <c r="AU343" i="18"/>
  <c r="AM343" i="18"/>
  <c r="AE343" i="18"/>
  <c r="W343" i="18"/>
  <c r="O343" i="18"/>
  <c r="G343" i="18"/>
  <c r="BC342" i="18"/>
  <c r="AU342" i="18"/>
  <c r="AM342" i="18"/>
  <c r="AE342" i="18"/>
  <c r="W342" i="18"/>
  <c r="O342" i="18"/>
  <c r="G342" i="18"/>
  <c r="BC341" i="18"/>
  <c r="AU341" i="18"/>
  <c r="AM341" i="18"/>
  <c r="AE341" i="18"/>
  <c r="W341" i="18"/>
  <c r="O341" i="18"/>
  <c r="G341" i="18"/>
  <c r="BC340" i="18"/>
  <c r="AU340" i="18"/>
  <c r="AM340" i="18"/>
  <c r="AE340" i="18"/>
  <c r="W340" i="18"/>
  <c r="O340" i="18"/>
  <c r="G340" i="18"/>
  <c r="BC339" i="18"/>
  <c r="AU339" i="18"/>
  <c r="AM339" i="18"/>
  <c r="AE339" i="18"/>
  <c r="W339" i="18"/>
  <c r="O339" i="18"/>
  <c r="G339" i="18"/>
  <c r="BC338" i="18"/>
  <c r="AU338" i="18"/>
  <c r="AM338" i="18"/>
  <c r="AE338" i="18"/>
  <c r="W338" i="18"/>
  <c r="O338" i="18"/>
  <c r="G338" i="18"/>
  <c r="BC337" i="18"/>
  <c r="AU337" i="18"/>
  <c r="AM337" i="18"/>
  <c r="AE337" i="18"/>
  <c r="W337" i="18"/>
  <c r="O337" i="18"/>
  <c r="G337" i="18"/>
  <c r="BC336" i="18"/>
  <c r="AU336" i="18"/>
  <c r="AM336" i="18"/>
  <c r="AE336" i="18"/>
  <c r="W336" i="18"/>
  <c r="O336" i="18"/>
  <c r="G336" i="18"/>
  <c r="BC335" i="18"/>
  <c r="AU335" i="18"/>
  <c r="AM335" i="18"/>
  <c r="AE335" i="18"/>
  <c r="W335" i="18"/>
  <c r="O335" i="18"/>
  <c r="G335" i="18"/>
  <c r="BC334" i="18"/>
  <c r="AU334" i="18"/>
  <c r="AM334" i="18"/>
  <c r="AE334" i="18"/>
  <c r="W334" i="18"/>
  <c r="O334" i="18"/>
  <c r="G334" i="18"/>
  <c r="BC333" i="18"/>
  <c r="AU333" i="18"/>
  <c r="AM333" i="18"/>
  <c r="AE333" i="18"/>
  <c r="W333" i="18"/>
  <c r="O333" i="18"/>
  <c r="G333" i="18"/>
  <c r="BC332" i="18"/>
  <c r="AU332" i="18"/>
  <c r="AM332" i="18"/>
  <c r="AE332" i="18"/>
  <c r="W332" i="18"/>
  <c r="O332" i="18"/>
  <c r="G332" i="18"/>
  <c r="BC331" i="18"/>
  <c r="AU331" i="18"/>
  <c r="AM331" i="18"/>
  <c r="AE331" i="18"/>
  <c r="W331" i="18"/>
  <c r="O331" i="18"/>
  <c r="G331" i="18"/>
  <c r="BC330" i="18"/>
  <c r="AU330" i="18"/>
  <c r="AM330" i="18"/>
  <c r="AE330" i="18"/>
  <c r="W330" i="18"/>
  <c r="O330" i="18"/>
  <c r="G330" i="18"/>
  <c r="BC329" i="18"/>
  <c r="AU329" i="18"/>
  <c r="AM329" i="18"/>
  <c r="AE329" i="18"/>
  <c r="W329" i="18"/>
  <c r="O329" i="18"/>
  <c r="G329" i="18"/>
  <c r="BC328" i="18"/>
  <c r="AU328" i="18"/>
  <c r="AM328" i="18"/>
  <c r="AE328" i="18"/>
  <c r="W328" i="18"/>
  <c r="O328" i="18"/>
  <c r="G328" i="18"/>
  <c r="BC327" i="18"/>
  <c r="AU327" i="18"/>
  <c r="AM327" i="18"/>
  <c r="AE327" i="18"/>
  <c r="W327" i="18"/>
  <c r="O327" i="18"/>
  <c r="G327" i="18"/>
  <c r="BC326" i="18"/>
  <c r="AU326" i="18"/>
  <c r="AM326" i="18"/>
  <c r="AE326" i="18"/>
  <c r="W326" i="18"/>
  <c r="O326" i="18"/>
  <c r="G326" i="18"/>
  <c r="BC325" i="18"/>
  <c r="AU325" i="18"/>
  <c r="AM325" i="18"/>
  <c r="AE325" i="18"/>
  <c r="W325" i="18"/>
  <c r="O325" i="18"/>
  <c r="G325" i="18"/>
  <c r="BC324" i="18"/>
  <c r="AU324" i="18"/>
  <c r="AM324" i="18"/>
  <c r="AE324" i="18"/>
  <c r="W324" i="18"/>
  <c r="O324" i="18"/>
  <c r="G324" i="18"/>
  <c r="BC323" i="18"/>
  <c r="AU323" i="18"/>
  <c r="AM323" i="18"/>
  <c r="AE323" i="18"/>
  <c r="W323" i="18"/>
  <c r="O323" i="18"/>
  <c r="G323" i="18"/>
  <c r="BC322" i="18"/>
  <c r="AU322" i="18"/>
  <c r="AM322" i="18"/>
  <c r="AE322" i="18"/>
  <c r="W322" i="18"/>
  <c r="O322" i="18"/>
  <c r="G322" i="18"/>
  <c r="BC321" i="18"/>
  <c r="AU321" i="18"/>
  <c r="AM321" i="18"/>
  <c r="AE321" i="18"/>
  <c r="W321" i="18"/>
  <c r="O321" i="18"/>
  <c r="G321" i="18"/>
  <c r="BC320" i="18"/>
  <c r="AU320" i="18"/>
  <c r="AM320" i="18"/>
  <c r="AE320" i="18"/>
  <c r="W320" i="18"/>
  <c r="O320" i="18"/>
  <c r="G320" i="18"/>
  <c r="BC319" i="18"/>
  <c r="AU319" i="18"/>
  <c r="AM319" i="18"/>
  <c r="AE319" i="18"/>
  <c r="W319" i="18"/>
  <c r="O319" i="18"/>
  <c r="G319" i="18"/>
  <c r="BC318" i="18"/>
  <c r="AU318" i="18"/>
  <c r="AM318" i="18"/>
  <c r="AE318" i="18"/>
  <c r="W318" i="18"/>
  <c r="O318" i="18"/>
  <c r="G318" i="18"/>
  <c r="BC317" i="18"/>
  <c r="AU317" i="18"/>
  <c r="AM317" i="18"/>
  <c r="AE317" i="18"/>
  <c r="W317" i="18"/>
  <c r="O317" i="18"/>
  <c r="G317" i="18"/>
  <c r="BC316" i="18"/>
  <c r="AU316" i="18"/>
  <c r="AM316" i="18"/>
  <c r="AE316" i="18"/>
  <c r="W316" i="18"/>
  <c r="O316" i="18"/>
  <c r="G316" i="18"/>
  <c r="BC315" i="18"/>
  <c r="AU315" i="18"/>
  <c r="AM315" i="18"/>
  <c r="AE315" i="18"/>
  <c r="W315" i="18"/>
  <c r="O315" i="18"/>
  <c r="G315" i="18"/>
  <c r="BC314" i="18"/>
  <c r="AU314" i="18"/>
  <c r="AM314" i="18"/>
  <c r="AE314" i="18"/>
  <c r="W314" i="18"/>
  <c r="O314" i="18"/>
  <c r="G314" i="18"/>
  <c r="BC313" i="18"/>
  <c r="AU313" i="18"/>
  <c r="AM313" i="18"/>
  <c r="AE313" i="18"/>
  <c r="W313" i="18"/>
  <c r="O313" i="18"/>
  <c r="G313" i="18"/>
  <c r="BC312" i="18"/>
  <c r="AU312" i="18"/>
  <c r="AM312" i="18"/>
  <c r="AE312" i="18"/>
  <c r="W312" i="18"/>
  <c r="O312" i="18"/>
  <c r="G312" i="18"/>
  <c r="BC311" i="18"/>
  <c r="AU311" i="18"/>
  <c r="AM311" i="18"/>
  <c r="AE311" i="18"/>
  <c r="W311" i="18"/>
  <c r="O311" i="18"/>
  <c r="G311" i="18"/>
  <c r="BC310" i="18"/>
  <c r="AU310" i="18"/>
  <c r="AM310" i="18"/>
  <c r="AE310" i="18"/>
  <c r="W310" i="18"/>
  <c r="O310" i="18"/>
  <c r="G310" i="18"/>
  <c r="BC309" i="18"/>
  <c r="AU309" i="18"/>
  <c r="AM309" i="18"/>
  <c r="AE309" i="18"/>
  <c r="W309" i="18"/>
  <c r="O309" i="18"/>
  <c r="G309" i="18"/>
  <c r="BC308" i="18"/>
  <c r="AU308" i="18"/>
  <c r="AM308" i="18"/>
  <c r="AE308" i="18"/>
  <c r="W308" i="18"/>
  <c r="O308" i="18"/>
  <c r="G308" i="18"/>
  <c r="BC307" i="18"/>
  <c r="AU307" i="18"/>
  <c r="AM307" i="18"/>
  <c r="AE307" i="18"/>
  <c r="W307" i="18"/>
  <c r="O307" i="18"/>
  <c r="G307" i="18"/>
  <c r="BC306" i="18"/>
  <c r="AU306" i="18"/>
  <c r="AM306" i="18"/>
  <c r="AE306" i="18"/>
  <c r="W306" i="18"/>
  <c r="O306" i="18"/>
  <c r="G306" i="18"/>
  <c r="BC305" i="18"/>
  <c r="AU305" i="18"/>
  <c r="AM305" i="18"/>
  <c r="AE305" i="18"/>
  <c r="W305" i="18"/>
  <c r="O305" i="18"/>
  <c r="G305" i="18"/>
  <c r="BC304" i="18"/>
  <c r="AU304" i="18"/>
  <c r="AM304" i="18"/>
  <c r="AE304" i="18"/>
  <c r="W304" i="18"/>
  <c r="O304" i="18"/>
  <c r="G304" i="18"/>
  <c r="BC303" i="18"/>
  <c r="AU303" i="18"/>
  <c r="AM303" i="18"/>
  <c r="AE303" i="18"/>
  <c r="W303" i="18"/>
  <c r="O303" i="18"/>
  <c r="G303" i="18"/>
  <c r="BC302" i="18"/>
  <c r="AU302" i="18"/>
  <c r="AM302" i="18"/>
  <c r="AE302" i="18"/>
  <c r="W302" i="18"/>
  <c r="O302" i="18"/>
  <c r="G302" i="18"/>
  <c r="BC301" i="18"/>
  <c r="AU301" i="18"/>
  <c r="AM301" i="18"/>
  <c r="AE301" i="18"/>
  <c r="W301" i="18"/>
  <c r="O301" i="18"/>
  <c r="G301" i="18"/>
  <c r="BC300" i="18"/>
  <c r="AU300" i="18"/>
  <c r="AM300" i="18"/>
  <c r="AE300" i="18"/>
  <c r="W300" i="18"/>
  <c r="O300" i="18"/>
  <c r="G300" i="18"/>
  <c r="BC299" i="18"/>
  <c r="AU299" i="18"/>
  <c r="AM299" i="18"/>
  <c r="AE299" i="18"/>
  <c r="W299" i="18"/>
  <c r="O299" i="18"/>
  <c r="G299" i="18"/>
  <c r="C32" i="14"/>
  <c r="C30" i="15" s="1"/>
  <c r="BC298" i="18"/>
  <c r="C31" i="14" s="1"/>
  <c r="C29" i="15" s="1"/>
  <c r="AU298" i="18"/>
  <c r="C30" i="14" s="1"/>
  <c r="C28" i="15" s="1"/>
  <c r="AM298" i="18"/>
  <c r="C29" i="14" s="1"/>
  <c r="C27" i="15" s="1"/>
  <c r="AE298" i="18"/>
  <c r="C28" i="14" s="1"/>
  <c r="W298" i="18"/>
  <c r="C27" i="14" s="1"/>
  <c r="C25" i="15" s="1"/>
  <c r="O298" i="18"/>
  <c r="C26" i="14" s="1"/>
  <c r="C24" i="15" s="1"/>
  <c r="G298" i="18"/>
  <c r="C25" i="14" s="1"/>
  <c r="BC297" i="18"/>
  <c r="AU297" i="18"/>
  <c r="AM297" i="18"/>
  <c r="AE297" i="18"/>
  <c r="W297" i="18"/>
  <c r="O297" i="18"/>
  <c r="G297" i="18"/>
  <c r="BC296" i="18"/>
  <c r="AU296" i="18"/>
  <c r="AM296" i="18"/>
  <c r="AE296" i="18"/>
  <c r="W296" i="18"/>
  <c r="O296" i="18"/>
  <c r="G296" i="18"/>
  <c r="BC295" i="18"/>
  <c r="AU295" i="18"/>
  <c r="AM295" i="18"/>
  <c r="AE295" i="18"/>
  <c r="W295" i="18"/>
  <c r="O295" i="18"/>
  <c r="G295" i="18"/>
  <c r="BC294" i="18"/>
  <c r="AU294" i="18"/>
  <c r="AM294" i="18"/>
  <c r="AE294" i="18"/>
  <c r="W294" i="18"/>
  <c r="O294" i="18"/>
  <c r="G294" i="18"/>
  <c r="BC293" i="18"/>
  <c r="AU293" i="18"/>
  <c r="AM293" i="18"/>
  <c r="AE293" i="18"/>
  <c r="W293" i="18"/>
  <c r="O293" i="18"/>
  <c r="G293" i="18"/>
  <c r="BC292" i="18"/>
  <c r="AU292" i="18"/>
  <c r="AM292" i="18"/>
  <c r="AE292" i="18"/>
  <c r="W292" i="18"/>
  <c r="O292" i="18"/>
  <c r="G292" i="18"/>
  <c r="BC291" i="18"/>
  <c r="AU291" i="18"/>
  <c r="AM291" i="18"/>
  <c r="AE291" i="18"/>
  <c r="W291" i="18"/>
  <c r="O291" i="18"/>
  <c r="G291" i="18"/>
  <c r="BC290" i="18"/>
  <c r="AU290" i="18"/>
  <c r="AM290" i="18"/>
  <c r="AE290" i="18"/>
  <c r="W290" i="18"/>
  <c r="O290" i="18"/>
  <c r="G290" i="18"/>
  <c r="BC289" i="18"/>
  <c r="AU289" i="18"/>
  <c r="AM289" i="18"/>
  <c r="AE289" i="18"/>
  <c r="W289" i="18"/>
  <c r="O289" i="18"/>
  <c r="G289" i="18"/>
  <c r="BC288" i="18"/>
  <c r="AU288" i="18"/>
  <c r="AM288" i="18"/>
  <c r="AE288" i="18"/>
  <c r="W288" i="18"/>
  <c r="O288" i="18"/>
  <c r="G288" i="18"/>
  <c r="BC287" i="18"/>
  <c r="AU287" i="18"/>
  <c r="AM287" i="18"/>
  <c r="AE287" i="18"/>
  <c r="W287" i="18"/>
  <c r="O287" i="18"/>
  <c r="G287" i="18"/>
  <c r="BC286" i="18"/>
  <c r="AU286" i="18"/>
  <c r="AM286" i="18"/>
  <c r="AE286" i="18"/>
  <c r="W286" i="18"/>
  <c r="O286" i="18"/>
  <c r="G286" i="18"/>
  <c r="BC285" i="18"/>
  <c r="AU285" i="18"/>
  <c r="AM285" i="18"/>
  <c r="AE285" i="18"/>
  <c r="W285" i="18"/>
  <c r="O285" i="18"/>
  <c r="G285" i="18"/>
  <c r="BC284" i="18"/>
  <c r="AU284" i="18"/>
  <c r="AM284" i="18"/>
  <c r="AE284" i="18"/>
  <c r="W284" i="18"/>
  <c r="O284" i="18"/>
  <c r="G284" i="18"/>
  <c r="BC283" i="18"/>
  <c r="AU283" i="18"/>
  <c r="AM283" i="18"/>
  <c r="AE283" i="18"/>
  <c r="W283" i="18"/>
  <c r="O283" i="18"/>
  <c r="G283" i="18"/>
  <c r="BC282" i="18"/>
  <c r="AU282" i="18"/>
  <c r="AM282" i="18"/>
  <c r="AE282" i="18"/>
  <c r="W282" i="18"/>
  <c r="O282" i="18"/>
  <c r="G282" i="18"/>
  <c r="BC281" i="18"/>
  <c r="AU281" i="18"/>
  <c r="AM281" i="18"/>
  <c r="AE281" i="18"/>
  <c r="W281" i="18"/>
  <c r="O281" i="18"/>
  <c r="G281" i="18"/>
  <c r="BC280" i="18"/>
  <c r="AU280" i="18"/>
  <c r="AM280" i="18"/>
  <c r="AE280" i="18"/>
  <c r="W280" i="18"/>
  <c r="Y280" i="18" s="1"/>
  <c r="F282" i="4" s="1"/>
  <c r="O280" i="18"/>
  <c r="G280" i="18"/>
  <c r="BC279" i="18"/>
  <c r="AU279" i="18"/>
  <c r="AM279" i="18"/>
  <c r="AE279" i="18"/>
  <c r="W279" i="18"/>
  <c r="O279" i="18"/>
  <c r="G279" i="18"/>
  <c r="BC278" i="18"/>
  <c r="AU278" i="18"/>
  <c r="AM278" i="18"/>
  <c r="AE278" i="18"/>
  <c r="W278" i="18"/>
  <c r="O278" i="18"/>
  <c r="G278" i="18"/>
  <c r="BC277" i="18"/>
  <c r="AU277" i="18"/>
  <c r="AM277" i="18"/>
  <c r="AE277" i="18"/>
  <c r="W277" i="18"/>
  <c r="O277" i="18"/>
  <c r="G277" i="18"/>
  <c r="BC276" i="18"/>
  <c r="AU276" i="18"/>
  <c r="AM276" i="18"/>
  <c r="AE276" i="18"/>
  <c r="W276" i="18"/>
  <c r="O276" i="18"/>
  <c r="G276" i="18"/>
  <c r="BC275" i="18"/>
  <c r="AU275" i="18"/>
  <c r="AM275" i="18"/>
  <c r="AE275" i="18"/>
  <c r="W275" i="18"/>
  <c r="O275" i="18"/>
  <c r="G275" i="18"/>
  <c r="BC274" i="18"/>
  <c r="AU274" i="18"/>
  <c r="AM274" i="18"/>
  <c r="AE274" i="18"/>
  <c r="W274" i="18"/>
  <c r="O274" i="18"/>
  <c r="G274" i="18"/>
  <c r="BC273" i="18"/>
  <c r="AU273" i="18"/>
  <c r="AM273" i="18"/>
  <c r="AE273" i="18"/>
  <c r="W273" i="18"/>
  <c r="O273" i="18"/>
  <c r="G273" i="18"/>
  <c r="BC272" i="18"/>
  <c r="AU272" i="18"/>
  <c r="AM272" i="18"/>
  <c r="AE272" i="18"/>
  <c r="W272" i="18"/>
  <c r="O272" i="18"/>
  <c r="G272" i="18"/>
  <c r="BC271" i="18"/>
  <c r="AU271" i="18"/>
  <c r="AM271" i="18"/>
  <c r="AE271" i="18"/>
  <c r="W271" i="18"/>
  <c r="O271" i="18"/>
  <c r="G271" i="18"/>
  <c r="BC270" i="18"/>
  <c r="AU270" i="18"/>
  <c r="AM270" i="18"/>
  <c r="AE270" i="18"/>
  <c r="W270" i="18"/>
  <c r="O270" i="18"/>
  <c r="G270" i="18"/>
  <c r="BC269" i="18"/>
  <c r="AU269" i="18"/>
  <c r="AM269" i="18"/>
  <c r="AE269" i="18"/>
  <c r="W269" i="18"/>
  <c r="O269" i="18"/>
  <c r="G269" i="18"/>
  <c r="BC268" i="18"/>
  <c r="AU268" i="18"/>
  <c r="AM268" i="18"/>
  <c r="AE268" i="18"/>
  <c r="W268" i="18"/>
  <c r="O268" i="18"/>
  <c r="G268" i="18"/>
  <c r="BC267" i="18"/>
  <c r="AU267" i="18"/>
  <c r="AM267" i="18"/>
  <c r="AE267" i="18"/>
  <c r="W267" i="18"/>
  <c r="Y268" i="18" s="1"/>
  <c r="F270" i="4" s="1"/>
  <c r="O267" i="18"/>
  <c r="G267" i="18"/>
  <c r="BC266" i="18"/>
  <c r="AU266" i="18"/>
  <c r="AM266" i="18"/>
  <c r="AO267" i="18" s="1"/>
  <c r="H269" i="4" s="1"/>
  <c r="AE266" i="18"/>
  <c r="W266" i="18"/>
  <c r="O266" i="18"/>
  <c r="G266" i="18"/>
  <c r="BC265" i="18"/>
  <c r="AU265" i="18"/>
  <c r="AM265" i="18"/>
  <c r="AE265" i="18"/>
  <c r="W265" i="18"/>
  <c r="O265" i="18"/>
  <c r="G265" i="18"/>
  <c r="BC264" i="18"/>
  <c r="AU264" i="18"/>
  <c r="AM264" i="18"/>
  <c r="AE264" i="18"/>
  <c r="W264" i="18"/>
  <c r="O264" i="18"/>
  <c r="G264" i="18"/>
  <c r="BC263" i="18"/>
  <c r="AU263" i="18"/>
  <c r="AM263" i="18"/>
  <c r="AE263" i="18"/>
  <c r="W263" i="18"/>
  <c r="O263" i="18"/>
  <c r="G263" i="18"/>
  <c r="BC262" i="18"/>
  <c r="AU262" i="18"/>
  <c r="AM262" i="18"/>
  <c r="AO263" i="18" s="1"/>
  <c r="H265" i="4" s="1"/>
  <c r="AE262" i="18"/>
  <c r="W262" i="18"/>
  <c r="O262" i="18"/>
  <c r="G262" i="18"/>
  <c r="BC261" i="18"/>
  <c r="AU261" i="18"/>
  <c r="AM261" i="18"/>
  <c r="AE261" i="18"/>
  <c r="W261" i="18"/>
  <c r="O261" i="18"/>
  <c r="G261" i="18"/>
  <c r="BC260" i="18"/>
  <c r="AU260" i="18"/>
  <c r="AM260" i="18"/>
  <c r="AE260" i="18"/>
  <c r="W260" i="18"/>
  <c r="O260" i="18"/>
  <c r="G260" i="18"/>
  <c r="BC259" i="18"/>
  <c r="AU259" i="18"/>
  <c r="AM259" i="18"/>
  <c r="AE259" i="18"/>
  <c r="W259" i="18"/>
  <c r="O259" i="18"/>
  <c r="G259" i="18"/>
  <c r="BC258" i="18"/>
  <c r="AU258" i="18"/>
  <c r="AM258" i="18"/>
  <c r="AE258" i="18"/>
  <c r="W258" i="18"/>
  <c r="O258" i="18"/>
  <c r="G258" i="18"/>
  <c r="BC257" i="18"/>
  <c r="AU257" i="18"/>
  <c r="AM257" i="18"/>
  <c r="AE257" i="18"/>
  <c r="W257" i="18"/>
  <c r="O257" i="18"/>
  <c r="G257" i="18"/>
  <c r="BC256" i="18"/>
  <c r="AU256" i="18"/>
  <c r="AM256" i="18"/>
  <c r="AE256" i="18"/>
  <c r="W256" i="18"/>
  <c r="O256" i="18"/>
  <c r="G256" i="18"/>
  <c r="BC255" i="18"/>
  <c r="AU255" i="18"/>
  <c r="AM255" i="18"/>
  <c r="AE255" i="18"/>
  <c r="W255" i="18"/>
  <c r="O255" i="18"/>
  <c r="G255" i="18"/>
  <c r="BC254" i="18"/>
  <c r="AU254" i="18"/>
  <c r="AM254" i="18"/>
  <c r="AO255" i="18" s="1"/>
  <c r="H257" i="4" s="1"/>
  <c r="AE254" i="18"/>
  <c r="W254" i="18"/>
  <c r="O254" i="18"/>
  <c r="G254" i="18"/>
  <c r="BC253" i="18"/>
  <c r="AU253" i="18"/>
  <c r="AM253" i="18"/>
  <c r="AE253" i="18"/>
  <c r="W253" i="18"/>
  <c r="O253" i="18"/>
  <c r="G253" i="18"/>
  <c r="BC252" i="18"/>
  <c r="AU252" i="18"/>
  <c r="AM252" i="18"/>
  <c r="AE252" i="18"/>
  <c r="W252" i="18"/>
  <c r="O252" i="18"/>
  <c r="G252" i="18"/>
  <c r="BC251" i="18"/>
  <c r="AU251" i="18"/>
  <c r="AM251" i="18"/>
  <c r="AE251" i="18"/>
  <c r="W251" i="18"/>
  <c r="O251" i="18"/>
  <c r="G251" i="18"/>
  <c r="BC250" i="18"/>
  <c r="AU250" i="18"/>
  <c r="AM250" i="18"/>
  <c r="AO251" i="18" s="1"/>
  <c r="H253" i="4" s="1"/>
  <c r="AE250" i="18"/>
  <c r="W250" i="18"/>
  <c r="O250" i="18"/>
  <c r="G250" i="18"/>
  <c r="BC249" i="18"/>
  <c r="AU249" i="18"/>
  <c r="AM249" i="18"/>
  <c r="AE249" i="18"/>
  <c r="W249" i="18"/>
  <c r="O249" i="18"/>
  <c r="G249" i="18"/>
  <c r="BC248" i="18"/>
  <c r="AU248" i="18"/>
  <c r="AM248" i="18"/>
  <c r="AE248" i="18"/>
  <c r="W248" i="18"/>
  <c r="Y249" i="18" s="1"/>
  <c r="F251" i="4" s="1"/>
  <c r="O248" i="18"/>
  <c r="G248" i="18"/>
  <c r="BC247" i="18"/>
  <c r="AU247" i="18"/>
  <c r="AM247" i="18"/>
  <c r="AE247" i="18"/>
  <c r="W247" i="18"/>
  <c r="O247" i="18"/>
  <c r="G247" i="18"/>
  <c r="BC246" i="18"/>
  <c r="AU246" i="18"/>
  <c r="AM246" i="18"/>
  <c r="AO247" i="18" s="1"/>
  <c r="H249" i="4" s="1"/>
  <c r="AE246" i="18"/>
  <c r="W246" i="18"/>
  <c r="O246" i="18"/>
  <c r="G246" i="18"/>
  <c r="BC245" i="18"/>
  <c r="AU245" i="18"/>
  <c r="AM245" i="18"/>
  <c r="AE245" i="18"/>
  <c r="W245" i="18"/>
  <c r="O245" i="18"/>
  <c r="G245" i="18"/>
  <c r="BC244" i="18"/>
  <c r="AU244" i="18"/>
  <c r="AM244" i="18"/>
  <c r="AE244" i="18"/>
  <c r="W244" i="18"/>
  <c r="O244" i="18"/>
  <c r="G244" i="18"/>
  <c r="BC243" i="18"/>
  <c r="AU243" i="18"/>
  <c r="AM243" i="18"/>
  <c r="AE243" i="18"/>
  <c r="W243" i="18"/>
  <c r="O243" i="18"/>
  <c r="G243" i="18"/>
  <c r="BC242" i="18"/>
  <c r="AU242" i="18"/>
  <c r="AM242" i="18"/>
  <c r="AE242" i="18"/>
  <c r="W242" i="18"/>
  <c r="O242" i="18"/>
  <c r="G242" i="18"/>
  <c r="BC241" i="18"/>
  <c r="AU241" i="18"/>
  <c r="AM241" i="18"/>
  <c r="AE241" i="18"/>
  <c r="W241" i="18"/>
  <c r="O241" i="18"/>
  <c r="G241" i="18"/>
  <c r="BC240" i="18"/>
  <c r="AU240" i="18"/>
  <c r="AM240" i="18"/>
  <c r="AE240" i="18"/>
  <c r="W240" i="18"/>
  <c r="O240" i="18"/>
  <c r="G240" i="18"/>
  <c r="BC239" i="18"/>
  <c r="AU239" i="18"/>
  <c r="AM239" i="18"/>
  <c r="AE239" i="18"/>
  <c r="W239" i="18"/>
  <c r="O239" i="18"/>
  <c r="G239" i="18"/>
  <c r="BC238" i="18"/>
  <c r="AU238" i="18"/>
  <c r="AM238" i="18"/>
  <c r="AO239" i="18" s="1"/>
  <c r="H241" i="4" s="1"/>
  <c r="AE238" i="18"/>
  <c r="W238" i="18"/>
  <c r="O238" i="18"/>
  <c r="G238" i="18"/>
  <c r="BC237" i="18"/>
  <c r="AU237" i="18"/>
  <c r="AM237" i="18"/>
  <c r="AE237" i="18"/>
  <c r="W237" i="18"/>
  <c r="O237" i="18"/>
  <c r="BC236" i="18"/>
  <c r="AU236" i="18"/>
  <c r="AM236" i="18"/>
  <c r="AE236" i="18"/>
  <c r="W236" i="18"/>
  <c r="O236" i="18"/>
  <c r="G236" i="18"/>
  <c r="BC235" i="18"/>
  <c r="AU235" i="18"/>
  <c r="AM235" i="18"/>
  <c r="AE235" i="18"/>
  <c r="W235" i="18"/>
  <c r="Y236" i="18" s="1"/>
  <c r="F238" i="4" s="1"/>
  <c r="O235" i="18"/>
  <c r="G235" i="18"/>
  <c r="BC234" i="18"/>
  <c r="AU234" i="18"/>
  <c r="AM234" i="18"/>
  <c r="AO235" i="18" s="1"/>
  <c r="H237" i="4" s="1"/>
  <c r="AE234" i="18"/>
  <c r="W234" i="18"/>
  <c r="O234" i="18"/>
  <c r="G234" i="18"/>
  <c r="BC233" i="18"/>
  <c r="AU233" i="18"/>
  <c r="AM233" i="18"/>
  <c r="AE233" i="18"/>
  <c r="W233" i="18"/>
  <c r="O233" i="18"/>
  <c r="G233" i="18"/>
  <c r="BC232" i="18"/>
  <c r="AU232" i="18"/>
  <c r="AM232" i="18"/>
  <c r="AE232" i="18"/>
  <c r="W232" i="18"/>
  <c r="O232" i="18"/>
  <c r="G232" i="18"/>
  <c r="BC231" i="18"/>
  <c r="AU231" i="18"/>
  <c r="AM231" i="18"/>
  <c r="AE231" i="18"/>
  <c r="W231" i="18"/>
  <c r="Y232" i="18" s="1"/>
  <c r="F234" i="4" s="1"/>
  <c r="O231" i="18"/>
  <c r="G231" i="18"/>
  <c r="BC230" i="18"/>
  <c r="AU230" i="18"/>
  <c r="AM230" i="18"/>
  <c r="AO231" i="18" s="1"/>
  <c r="H233" i="4" s="1"/>
  <c r="AE230" i="18"/>
  <c r="W230" i="18"/>
  <c r="O230" i="18"/>
  <c r="G230" i="18"/>
  <c r="BC229" i="18"/>
  <c r="AU229" i="18"/>
  <c r="AM229" i="18"/>
  <c r="AE229" i="18"/>
  <c r="W229" i="18"/>
  <c r="O229" i="18"/>
  <c r="G229" i="18"/>
  <c r="BC228" i="18"/>
  <c r="AU228" i="18"/>
  <c r="AM228" i="18"/>
  <c r="AE228" i="18"/>
  <c r="W228" i="18"/>
  <c r="O228" i="18"/>
  <c r="G228" i="18"/>
  <c r="BC227" i="18"/>
  <c r="AU227" i="18"/>
  <c r="AM227" i="18"/>
  <c r="AE227" i="18"/>
  <c r="W227" i="18"/>
  <c r="Y228" i="18" s="1"/>
  <c r="F230" i="4" s="1"/>
  <c r="O227" i="18"/>
  <c r="G227" i="18"/>
  <c r="BC226" i="18"/>
  <c r="AU226" i="18"/>
  <c r="AM226" i="18"/>
  <c r="AO227" i="18" s="1"/>
  <c r="H229" i="4" s="1"/>
  <c r="AE226" i="18"/>
  <c r="W226" i="18"/>
  <c r="O226" i="18"/>
  <c r="G226" i="18"/>
  <c r="BC225" i="18"/>
  <c r="AU225" i="18"/>
  <c r="AM225" i="18"/>
  <c r="AE225" i="18"/>
  <c r="W225" i="18"/>
  <c r="O225" i="18"/>
  <c r="G225" i="18"/>
  <c r="BC224" i="18"/>
  <c r="AU224" i="18"/>
  <c r="AM224" i="18"/>
  <c r="AE224" i="18"/>
  <c r="W224" i="18"/>
  <c r="O224" i="18"/>
  <c r="G224" i="18"/>
  <c r="BC223" i="18"/>
  <c r="AU223" i="18"/>
  <c r="AM223" i="18"/>
  <c r="AE223" i="18"/>
  <c r="W223" i="18"/>
  <c r="O223" i="18"/>
  <c r="G223" i="18"/>
  <c r="I224" i="18" s="1"/>
  <c r="D226" i="4" s="1"/>
  <c r="BC222" i="18"/>
  <c r="AU222" i="18"/>
  <c r="AM222" i="18"/>
  <c r="AO223" i="18" s="1"/>
  <c r="H225" i="4" s="1"/>
  <c r="AE222" i="18"/>
  <c r="W222" i="18"/>
  <c r="O222" i="18"/>
  <c r="G222" i="18"/>
  <c r="I223" i="18" s="1"/>
  <c r="D225" i="4" s="1"/>
  <c r="BC221" i="18"/>
  <c r="AU221" i="18"/>
  <c r="AM221" i="18"/>
  <c r="AO222" i="18" s="1"/>
  <c r="H224" i="4" s="1"/>
  <c r="AE221" i="18"/>
  <c r="W221" i="18"/>
  <c r="Y222" i="18" s="1"/>
  <c r="F224" i="4" s="1"/>
  <c r="O221" i="18"/>
  <c r="G221" i="18"/>
  <c r="BC220" i="18"/>
  <c r="AU220" i="18"/>
  <c r="AM220" i="18"/>
  <c r="AE220" i="18"/>
  <c r="W220" i="18"/>
  <c r="O220" i="18"/>
  <c r="G220" i="18"/>
  <c r="BC219" i="18"/>
  <c r="AU219" i="18"/>
  <c r="AM219" i="18"/>
  <c r="AE219" i="18"/>
  <c r="W219" i="18"/>
  <c r="O219" i="18"/>
  <c r="G219" i="18"/>
  <c r="BC218" i="18"/>
  <c r="AU218" i="18"/>
  <c r="AM218" i="18"/>
  <c r="AE218" i="18"/>
  <c r="W218" i="18"/>
  <c r="O218" i="18"/>
  <c r="G218" i="18"/>
  <c r="BC217" i="18"/>
  <c r="AU217" i="18"/>
  <c r="AM217" i="18"/>
  <c r="AE217" i="18"/>
  <c r="W217" i="18"/>
  <c r="O217" i="18"/>
  <c r="G217" i="18"/>
  <c r="BC216" i="18"/>
  <c r="AU216" i="18"/>
  <c r="AM216" i="18"/>
  <c r="AE216" i="18"/>
  <c r="W216" i="18"/>
  <c r="O216" i="18"/>
  <c r="G216" i="18"/>
  <c r="BC215" i="18"/>
  <c r="AU215" i="18"/>
  <c r="AM215" i="18"/>
  <c r="AE215" i="18"/>
  <c r="W215" i="18"/>
  <c r="O215" i="18"/>
  <c r="G215" i="18"/>
  <c r="BC214" i="18"/>
  <c r="AU214" i="18"/>
  <c r="AM214" i="18"/>
  <c r="AE214" i="18"/>
  <c r="W214" i="18"/>
  <c r="O214" i="18"/>
  <c r="G214" i="18"/>
  <c r="BC213" i="18"/>
  <c r="AU213" i="18"/>
  <c r="AM213" i="18"/>
  <c r="AE213" i="18"/>
  <c r="W213" i="18"/>
  <c r="O213" i="18"/>
  <c r="G213" i="18"/>
  <c r="BC212" i="18"/>
  <c r="AU212" i="18"/>
  <c r="AM212" i="18"/>
  <c r="AE212" i="18"/>
  <c r="W212" i="18"/>
  <c r="O212" i="18"/>
  <c r="G212" i="18"/>
  <c r="BC211" i="18"/>
  <c r="AU211" i="18"/>
  <c r="AM211" i="18"/>
  <c r="AE211" i="18"/>
  <c r="W211" i="18"/>
  <c r="O211" i="18"/>
  <c r="G211" i="18"/>
  <c r="BC210" i="18"/>
  <c r="AU210" i="18"/>
  <c r="AM210" i="18"/>
  <c r="AE210" i="18"/>
  <c r="W210" i="18"/>
  <c r="O210" i="18"/>
  <c r="G210" i="18"/>
  <c r="BC209" i="18"/>
  <c r="AU209" i="18"/>
  <c r="AM209" i="18"/>
  <c r="AE209" i="18"/>
  <c r="W209" i="18"/>
  <c r="O209" i="18"/>
  <c r="G209" i="18"/>
  <c r="BC208" i="18"/>
  <c r="AU208" i="18"/>
  <c r="AM208" i="18"/>
  <c r="AE208" i="18"/>
  <c r="W208" i="18"/>
  <c r="O208" i="18"/>
  <c r="G208" i="18"/>
  <c r="BC207" i="18"/>
  <c r="AU207" i="18"/>
  <c r="AM207" i="18"/>
  <c r="AE207" i="18"/>
  <c r="W207" i="18"/>
  <c r="O207" i="18"/>
  <c r="G207" i="18"/>
  <c r="BC206" i="18"/>
  <c r="AU206" i="18"/>
  <c r="AM206" i="18"/>
  <c r="AE206" i="18"/>
  <c r="W206" i="18"/>
  <c r="O206" i="18"/>
  <c r="G206" i="18"/>
  <c r="BC205" i="18"/>
  <c r="AU205" i="18"/>
  <c r="AM205" i="18"/>
  <c r="AE205" i="18"/>
  <c r="W205" i="18"/>
  <c r="O205" i="18"/>
  <c r="G205" i="18"/>
  <c r="BC204" i="18"/>
  <c r="AU204" i="18"/>
  <c r="AM204" i="18"/>
  <c r="AE204" i="18"/>
  <c r="W204" i="18"/>
  <c r="O204" i="18"/>
  <c r="G204" i="18"/>
  <c r="BC203" i="18"/>
  <c r="AU203" i="18"/>
  <c r="AM203" i="18"/>
  <c r="AE203" i="18"/>
  <c r="W203" i="18"/>
  <c r="O203" i="18"/>
  <c r="G203" i="18"/>
  <c r="BC202" i="18"/>
  <c r="AU202" i="18"/>
  <c r="AM202" i="18"/>
  <c r="AE202" i="18"/>
  <c r="W202" i="18"/>
  <c r="O202" i="18"/>
  <c r="G202" i="18"/>
  <c r="BC201" i="18"/>
  <c r="AU201" i="18"/>
  <c r="AM201" i="18"/>
  <c r="AE201" i="18"/>
  <c r="W201" i="18"/>
  <c r="O201" i="18"/>
  <c r="G201" i="18"/>
  <c r="BC200" i="18"/>
  <c r="AU200" i="18"/>
  <c r="AM200" i="18"/>
  <c r="AE200" i="18"/>
  <c r="W200" i="18"/>
  <c r="O200" i="18"/>
  <c r="G200" i="18"/>
  <c r="BC199" i="18"/>
  <c r="AU199" i="18"/>
  <c r="AM199" i="18"/>
  <c r="AE199" i="18"/>
  <c r="W199" i="18"/>
  <c r="O199" i="18"/>
  <c r="G199" i="18"/>
  <c r="BC198" i="18"/>
  <c r="AU198" i="18"/>
  <c r="AM198" i="18"/>
  <c r="AE198" i="18"/>
  <c r="W198" i="18"/>
  <c r="O198" i="18"/>
  <c r="G198" i="18"/>
  <c r="BC197" i="18"/>
  <c r="AU197" i="18"/>
  <c r="AM197" i="18"/>
  <c r="AE197" i="18"/>
  <c r="W197" i="18"/>
  <c r="O197" i="18"/>
  <c r="G197" i="18"/>
  <c r="BC196" i="18"/>
  <c r="AU196" i="18"/>
  <c r="AM196" i="18"/>
  <c r="AE196" i="18"/>
  <c r="W196" i="18"/>
  <c r="O196" i="18"/>
  <c r="G196" i="18"/>
  <c r="BC195" i="18"/>
  <c r="AU195" i="18"/>
  <c r="AM195" i="18"/>
  <c r="AE195" i="18"/>
  <c r="W195" i="18"/>
  <c r="O195" i="18"/>
  <c r="G195" i="18"/>
  <c r="BC194" i="18"/>
  <c r="AU194" i="18"/>
  <c r="AM194" i="18"/>
  <c r="AE194" i="18"/>
  <c r="W194" i="18"/>
  <c r="O194" i="18"/>
  <c r="G194" i="18"/>
  <c r="BC193" i="18"/>
  <c r="AU193" i="18"/>
  <c r="AM193" i="18"/>
  <c r="AE193" i="18"/>
  <c r="W193" i="18"/>
  <c r="O193" i="18"/>
  <c r="G193" i="18"/>
  <c r="BC192" i="18"/>
  <c r="AU192" i="18"/>
  <c r="AM192" i="18"/>
  <c r="AE192" i="18"/>
  <c r="W192" i="18"/>
  <c r="O192" i="18"/>
  <c r="G192" i="18"/>
  <c r="BC191" i="18"/>
  <c r="AU191" i="18"/>
  <c r="AM191" i="18"/>
  <c r="AE191" i="18"/>
  <c r="W191" i="18"/>
  <c r="O191" i="18"/>
  <c r="G191" i="18"/>
  <c r="BC190" i="18"/>
  <c r="AU190" i="18"/>
  <c r="AM190" i="18"/>
  <c r="AE190" i="18"/>
  <c r="W190" i="18"/>
  <c r="O190" i="18"/>
  <c r="G190" i="18"/>
  <c r="BC189" i="18"/>
  <c r="AU189" i="18"/>
  <c r="AM189" i="18"/>
  <c r="AE189" i="18"/>
  <c r="W189" i="18"/>
  <c r="O189" i="18"/>
  <c r="G189" i="18"/>
  <c r="BC188" i="18"/>
  <c r="AU188" i="18"/>
  <c r="AM188" i="18"/>
  <c r="AE188" i="18"/>
  <c r="W188" i="18"/>
  <c r="O188" i="18"/>
  <c r="G188" i="18"/>
  <c r="BC187" i="18"/>
  <c r="AU187" i="18"/>
  <c r="AM187" i="18"/>
  <c r="AE187" i="18"/>
  <c r="W187" i="18"/>
  <c r="O187" i="18"/>
  <c r="G187" i="18"/>
  <c r="BC186" i="18"/>
  <c r="AU186" i="18"/>
  <c r="AM186" i="18"/>
  <c r="AE186" i="18"/>
  <c r="W186" i="18"/>
  <c r="O186" i="18"/>
  <c r="G186" i="18"/>
  <c r="BC185" i="18"/>
  <c r="AU185" i="18"/>
  <c r="AM185" i="18"/>
  <c r="AE185" i="18"/>
  <c r="W185" i="18"/>
  <c r="O185" i="18"/>
  <c r="G185" i="18"/>
  <c r="BC184" i="18"/>
  <c r="AU184" i="18"/>
  <c r="AM184" i="18"/>
  <c r="AE184" i="18"/>
  <c r="W184" i="18"/>
  <c r="O184" i="18"/>
  <c r="G184" i="18"/>
  <c r="BC183" i="18"/>
  <c r="AU183" i="18"/>
  <c r="AM183" i="18"/>
  <c r="AE183" i="18"/>
  <c r="W183" i="18"/>
  <c r="O183" i="18"/>
  <c r="G183" i="18"/>
  <c r="BC182" i="18"/>
  <c r="AU182" i="18"/>
  <c r="AM182" i="18"/>
  <c r="AE182" i="18"/>
  <c r="W182" i="18"/>
  <c r="O182" i="18"/>
  <c r="G182" i="18"/>
  <c r="BC181" i="18"/>
  <c r="AU181" i="18"/>
  <c r="AM181" i="18"/>
  <c r="AE181" i="18"/>
  <c r="W181" i="18"/>
  <c r="O181" i="18"/>
  <c r="G181" i="18"/>
  <c r="BC180" i="18"/>
  <c r="AU180" i="18"/>
  <c r="AM180" i="18"/>
  <c r="AE180" i="18"/>
  <c r="W180" i="18"/>
  <c r="O180" i="18"/>
  <c r="G180" i="18"/>
  <c r="BC179" i="18"/>
  <c r="AU179" i="18"/>
  <c r="AM179" i="18"/>
  <c r="AE179" i="18"/>
  <c r="W179" i="18"/>
  <c r="O179" i="18"/>
  <c r="G179" i="18"/>
  <c r="BC178" i="18"/>
  <c r="AU178" i="18"/>
  <c r="AM178" i="18"/>
  <c r="AE178" i="18"/>
  <c r="W178" i="18"/>
  <c r="O178" i="18"/>
  <c r="G178" i="18"/>
  <c r="BC177" i="18"/>
  <c r="AU177" i="18"/>
  <c r="AM177" i="18"/>
  <c r="AE177" i="18"/>
  <c r="W177" i="18"/>
  <c r="O177" i="18"/>
  <c r="G177" i="18"/>
  <c r="BC176" i="18"/>
  <c r="AU176" i="18"/>
  <c r="AM176" i="18"/>
  <c r="AE176" i="18"/>
  <c r="W176" i="18"/>
  <c r="O176" i="18"/>
  <c r="G176" i="18"/>
  <c r="BC175" i="18"/>
  <c r="AU175" i="18"/>
  <c r="AM175" i="18"/>
  <c r="AE175" i="18"/>
  <c r="W175" i="18"/>
  <c r="O175" i="18"/>
  <c r="G175" i="18"/>
  <c r="BC174" i="18"/>
  <c r="AU174" i="18"/>
  <c r="AM174" i="18"/>
  <c r="AE174" i="18"/>
  <c r="W174" i="18"/>
  <c r="O174" i="18"/>
  <c r="G174" i="18"/>
  <c r="BC173" i="18"/>
  <c r="AU173" i="18"/>
  <c r="AM173" i="18"/>
  <c r="AE173" i="18"/>
  <c r="W173" i="18"/>
  <c r="O173" i="18"/>
  <c r="G173" i="18"/>
  <c r="BC172" i="18"/>
  <c r="AU172" i="18"/>
  <c r="AM172" i="18"/>
  <c r="AE172" i="18"/>
  <c r="W172" i="18"/>
  <c r="O172" i="18"/>
  <c r="G172" i="18"/>
  <c r="BC171" i="18"/>
  <c r="AU171" i="18"/>
  <c r="AM171" i="18"/>
  <c r="AE171" i="18"/>
  <c r="W171" i="18"/>
  <c r="O171" i="18"/>
  <c r="G171" i="18"/>
  <c r="BC170" i="18"/>
  <c r="AU170" i="18"/>
  <c r="AM170" i="18"/>
  <c r="AE170" i="18"/>
  <c r="W170" i="18"/>
  <c r="O170" i="18"/>
  <c r="G170" i="18"/>
  <c r="BC169" i="18"/>
  <c r="AU169" i="18"/>
  <c r="AM169" i="18"/>
  <c r="AE169" i="18"/>
  <c r="W169" i="18"/>
  <c r="O169" i="18"/>
  <c r="G169" i="18"/>
  <c r="BC168" i="18"/>
  <c r="AU168" i="18"/>
  <c r="AM168" i="18"/>
  <c r="AE168" i="18"/>
  <c r="W168" i="18"/>
  <c r="O168" i="18"/>
  <c r="G168" i="18"/>
  <c r="BC167" i="18"/>
  <c r="AU167" i="18"/>
  <c r="AM167" i="18"/>
  <c r="AE167" i="18"/>
  <c r="W167" i="18"/>
  <c r="O167" i="18"/>
  <c r="G167" i="18"/>
  <c r="BC166" i="18"/>
  <c r="AU166" i="18"/>
  <c r="AM166" i="18"/>
  <c r="AE166" i="18"/>
  <c r="W166" i="18"/>
  <c r="O166" i="18"/>
  <c r="G166" i="18"/>
  <c r="BC165" i="18"/>
  <c r="AU165" i="18"/>
  <c r="AM165" i="18"/>
  <c r="AE165" i="18"/>
  <c r="W165" i="18"/>
  <c r="O165" i="18"/>
  <c r="G165" i="18"/>
  <c r="BC164" i="18"/>
  <c r="AU164" i="18"/>
  <c r="AM164" i="18"/>
  <c r="AE164" i="18"/>
  <c r="W164" i="18"/>
  <c r="O164" i="18"/>
  <c r="G164" i="18"/>
  <c r="BC163" i="18"/>
  <c r="AU163" i="18"/>
  <c r="AM163" i="18"/>
  <c r="AE163" i="18"/>
  <c r="W163" i="18"/>
  <c r="O163" i="18"/>
  <c r="G163" i="18"/>
  <c r="BC162" i="18"/>
  <c r="AU162" i="18"/>
  <c r="AM162" i="18"/>
  <c r="AE162" i="18"/>
  <c r="W162" i="18"/>
  <c r="O162" i="18"/>
  <c r="G162" i="18"/>
  <c r="BC161" i="18"/>
  <c r="AU161" i="18"/>
  <c r="AM161" i="18"/>
  <c r="AE161" i="18"/>
  <c r="W161" i="18"/>
  <c r="O161" i="18"/>
  <c r="G161" i="18"/>
  <c r="BC160" i="18"/>
  <c r="AU160" i="18"/>
  <c r="AM160" i="18"/>
  <c r="AE160" i="18"/>
  <c r="W160" i="18"/>
  <c r="O160" i="18"/>
  <c r="G160" i="18"/>
  <c r="BC159" i="18"/>
  <c r="AU159" i="18"/>
  <c r="AM159" i="18"/>
  <c r="AE159" i="18"/>
  <c r="W159" i="18"/>
  <c r="O159" i="18"/>
  <c r="G159" i="18"/>
  <c r="BC158" i="18"/>
  <c r="AU158" i="18"/>
  <c r="AM158" i="18"/>
  <c r="AE158" i="18"/>
  <c r="W158" i="18"/>
  <c r="O158" i="18"/>
  <c r="G158" i="18"/>
  <c r="BC157" i="18"/>
  <c r="AU157" i="18"/>
  <c r="AM157" i="18"/>
  <c r="AE157" i="18"/>
  <c r="W157" i="18"/>
  <c r="O157" i="18"/>
  <c r="G157" i="18"/>
  <c r="BC156" i="18"/>
  <c r="AU156" i="18"/>
  <c r="AM156" i="18"/>
  <c r="AE156" i="18"/>
  <c r="W156" i="18"/>
  <c r="O156" i="18"/>
  <c r="G156" i="18"/>
  <c r="BC155" i="18"/>
  <c r="AU155" i="18"/>
  <c r="AM155" i="18"/>
  <c r="AE155" i="18"/>
  <c r="W155" i="18"/>
  <c r="O155" i="18"/>
  <c r="G155" i="18"/>
  <c r="BC154" i="18"/>
  <c r="AU154" i="18"/>
  <c r="AM154" i="18"/>
  <c r="AE154" i="18"/>
  <c r="W154" i="18"/>
  <c r="O154" i="18"/>
  <c r="G154" i="18"/>
  <c r="BC153" i="18"/>
  <c r="AU153" i="18"/>
  <c r="AM153" i="18"/>
  <c r="AE153" i="18"/>
  <c r="W153" i="18"/>
  <c r="O153" i="18"/>
  <c r="G153" i="18"/>
  <c r="BC152" i="18"/>
  <c r="AU152" i="18"/>
  <c r="AM152" i="18"/>
  <c r="AE152" i="18"/>
  <c r="W152" i="18"/>
  <c r="O152" i="18"/>
  <c r="G152" i="18"/>
  <c r="BC151" i="18"/>
  <c r="AU151" i="18"/>
  <c r="AM151" i="18"/>
  <c r="AE151" i="18"/>
  <c r="W151" i="18"/>
  <c r="O151" i="18"/>
  <c r="G151" i="18"/>
  <c r="BC150" i="18"/>
  <c r="AU150" i="18"/>
  <c r="AM150" i="18"/>
  <c r="AE150" i="18"/>
  <c r="W150" i="18"/>
  <c r="O150" i="18"/>
  <c r="G150" i="18"/>
  <c r="BC149" i="18"/>
  <c r="AU149" i="18"/>
  <c r="AM149" i="18"/>
  <c r="AE149" i="18"/>
  <c r="W149" i="18"/>
  <c r="O149" i="18"/>
  <c r="G149" i="18"/>
  <c r="BC148" i="18"/>
  <c r="AU148" i="18"/>
  <c r="AM148" i="18"/>
  <c r="AE148" i="18"/>
  <c r="W148" i="18"/>
  <c r="O148" i="18"/>
  <c r="G148" i="18"/>
  <c r="BC147" i="18"/>
  <c r="AU147" i="18"/>
  <c r="AM147" i="18"/>
  <c r="AE147" i="18"/>
  <c r="W147" i="18"/>
  <c r="O147" i="18"/>
  <c r="G147" i="18"/>
  <c r="BC146" i="18"/>
  <c r="AU146" i="18"/>
  <c r="AM146" i="18"/>
  <c r="AE146" i="18"/>
  <c r="W146" i="18"/>
  <c r="O146" i="18"/>
  <c r="G146" i="18"/>
  <c r="BC145" i="18"/>
  <c r="AU145" i="18"/>
  <c r="AM145" i="18"/>
  <c r="AE145" i="18"/>
  <c r="W145" i="18"/>
  <c r="O145" i="18"/>
  <c r="G145" i="18"/>
  <c r="BC144" i="18"/>
  <c r="AU144" i="18"/>
  <c r="AM144" i="18"/>
  <c r="AE144" i="18"/>
  <c r="W144" i="18"/>
  <c r="O144" i="18"/>
  <c r="G144" i="18"/>
  <c r="BC143" i="18"/>
  <c r="AU143" i="18"/>
  <c r="AM143" i="18"/>
  <c r="AE143" i="18"/>
  <c r="W143" i="18"/>
  <c r="O143" i="18"/>
  <c r="G143" i="18"/>
  <c r="BC142" i="18"/>
  <c r="AU142" i="18"/>
  <c r="AM142" i="18"/>
  <c r="AE142" i="18"/>
  <c r="W142" i="18"/>
  <c r="O142" i="18"/>
  <c r="G142" i="18"/>
  <c r="BC141" i="18"/>
  <c r="AU141" i="18"/>
  <c r="AM141" i="18"/>
  <c r="AE141" i="18"/>
  <c r="W141" i="18"/>
  <c r="O141" i="18"/>
  <c r="G141" i="18"/>
  <c r="BC140" i="18"/>
  <c r="AU140" i="18"/>
  <c r="AM140" i="18"/>
  <c r="AE140" i="18"/>
  <c r="W140" i="18"/>
  <c r="O140" i="18"/>
  <c r="G140" i="18"/>
  <c r="BC139" i="18"/>
  <c r="AU139" i="18"/>
  <c r="AM139" i="18"/>
  <c r="AE139" i="18"/>
  <c r="W139" i="18"/>
  <c r="O139" i="18"/>
  <c r="G139" i="18"/>
  <c r="BC138" i="18"/>
  <c r="AU138" i="18"/>
  <c r="AM138" i="18"/>
  <c r="AE138" i="18"/>
  <c r="W138" i="18"/>
  <c r="O138" i="18"/>
  <c r="G138" i="18"/>
  <c r="BC137" i="18"/>
  <c r="AU137" i="18"/>
  <c r="AM137" i="18"/>
  <c r="AE137" i="18"/>
  <c r="W137" i="18"/>
  <c r="O137" i="18"/>
  <c r="G137" i="18"/>
  <c r="BC136" i="18"/>
  <c r="AU136" i="18"/>
  <c r="AM136" i="18"/>
  <c r="AE136" i="18"/>
  <c r="W136" i="18"/>
  <c r="O136" i="18"/>
  <c r="G136" i="18"/>
  <c r="BC135" i="18"/>
  <c r="AU135" i="18"/>
  <c r="AM135" i="18"/>
  <c r="AE135" i="18"/>
  <c r="W135" i="18"/>
  <c r="O135" i="18"/>
  <c r="G135" i="18"/>
  <c r="BC134" i="18"/>
  <c r="AU134" i="18"/>
  <c r="AM134" i="18"/>
  <c r="AE134" i="18"/>
  <c r="W134" i="18"/>
  <c r="O134" i="18"/>
  <c r="G134" i="18"/>
  <c r="BC133" i="18"/>
  <c r="AU133" i="18"/>
  <c r="AM133" i="18"/>
  <c r="AE133" i="18"/>
  <c r="W133" i="18"/>
  <c r="O133" i="18"/>
  <c r="G133" i="18"/>
  <c r="BC132" i="18"/>
  <c r="AU132" i="18"/>
  <c r="AM132" i="18"/>
  <c r="AE132" i="18"/>
  <c r="W132" i="18"/>
  <c r="O132" i="18"/>
  <c r="G132" i="18"/>
  <c r="BC131" i="18"/>
  <c r="AU131" i="18"/>
  <c r="AM131" i="18"/>
  <c r="AE131" i="18"/>
  <c r="W131" i="18"/>
  <c r="O131" i="18"/>
  <c r="G131" i="18"/>
  <c r="BC130" i="18"/>
  <c r="AU130" i="18"/>
  <c r="AM130" i="18"/>
  <c r="AE130" i="18"/>
  <c r="W130" i="18"/>
  <c r="O130" i="18"/>
  <c r="G130" i="18"/>
  <c r="BC129" i="18"/>
  <c r="AU129" i="18"/>
  <c r="AM129" i="18"/>
  <c r="AE129" i="18"/>
  <c r="W129" i="18"/>
  <c r="O129" i="18"/>
  <c r="G129" i="18"/>
  <c r="BC128" i="18"/>
  <c r="AU128" i="18"/>
  <c r="AM128" i="18"/>
  <c r="AE128" i="18"/>
  <c r="W128" i="18"/>
  <c r="O128" i="18"/>
  <c r="G128" i="18"/>
  <c r="BC127" i="18"/>
  <c r="AU127" i="18"/>
  <c r="AM127" i="18"/>
  <c r="AE127" i="18"/>
  <c r="W127" i="18"/>
  <c r="O127" i="18"/>
  <c r="G127" i="18"/>
  <c r="BC126" i="18"/>
  <c r="AU126" i="18"/>
  <c r="AM126" i="18"/>
  <c r="AE126" i="18"/>
  <c r="W126" i="18"/>
  <c r="O126" i="18"/>
  <c r="G126" i="18"/>
  <c r="BC125" i="18"/>
  <c r="AU125" i="18"/>
  <c r="AM125" i="18"/>
  <c r="AE125" i="18"/>
  <c r="W125" i="18"/>
  <c r="O125" i="18"/>
  <c r="G125" i="18"/>
  <c r="BC124" i="18"/>
  <c r="AU124" i="18"/>
  <c r="AM124" i="18"/>
  <c r="AE124" i="18"/>
  <c r="W124" i="18"/>
  <c r="O124" i="18"/>
  <c r="G124" i="18"/>
  <c r="BC123" i="18"/>
  <c r="AU123" i="18"/>
  <c r="AM123" i="18"/>
  <c r="AE123" i="18"/>
  <c r="W123" i="18"/>
  <c r="O123" i="18"/>
  <c r="G123" i="18"/>
  <c r="BC122" i="18"/>
  <c r="AU122" i="18"/>
  <c r="AM122" i="18"/>
  <c r="AE122" i="18"/>
  <c r="W122" i="18"/>
  <c r="O122" i="18"/>
  <c r="G122" i="18"/>
  <c r="BC121" i="18"/>
  <c r="AU121" i="18"/>
  <c r="AM121" i="18"/>
  <c r="AE121" i="18"/>
  <c r="W121" i="18"/>
  <c r="O121" i="18"/>
  <c r="G121" i="18"/>
  <c r="BC120" i="18"/>
  <c r="AU120" i="18"/>
  <c r="AM120" i="18"/>
  <c r="AE120" i="18"/>
  <c r="W120" i="18"/>
  <c r="O120" i="18"/>
  <c r="G120" i="18"/>
  <c r="BC119" i="18"/>
  <c r="AU119" i="18"/>
  <c r="AM119" i="18"/>
  <c r="AE119" i="18"/>
  <c r="W119" i="18"/>
  <c r="O119" i="18"/>
  <c r="G119" i="18"/>
  <c r="BC118" i="18"/>
  <c r="AU118" i="18"/>
  <c r="AM118" i="18"/>
  <c r="AE118" i="18"/>
  <c r="W118" i="18"/>
  <c r="O118" i="18"/>
  <c r="G118" i="18"/>
  <c r="BC117" i="18"/>
  <c r="AU117" i="18"/>
  <c r="AM117" i="18"/>
  <c r="AE117" i="18"/>
  <c r="W117" i="18"/>
  <c r="O117" i="18"/>
  <c r="G117" i="18"/>
  <c r="BC116" i="18"/>
  <c r="AU116" i="18"/>
  <c r="AM116" i="18"/>
  <c r="AE116" i="18"/>
  <c r="W116" i="18"/>
  <c r="O116" i="18"/>
  <c r="G116" i="18"/>
  <c r="BC115" i="18"/>
  <c r="AU115" i="18"/>
  <c r="AM115" i="18"/>
  <c r="AE115" i="18"/>
  <c r="W115" i="18"/>
  <c r="O115" i="18"/>
  <c r="G115" i="18"/>
  <c r="BC114" i="18"/>
  <c r="AU114" i="18"/>
  <c r="AM114" i="18"/>
  <c r="AE114" i="18"/>
  <c r="W114" i="18"/>
  <c r="O114" i="18"/>
  <c r="G114" i="18"/>
  <c r="BC113" i="18"/>
  <c r="AU113" i="18"/>
  <c r="AM113" i="18"/>
  <c r="AE113" i="18"/>
  <c r="W113" i="18"/>
  <c r="O113" i="18"/>
  <c r="G113" i="18"/>
  <c r="BC112" i="18"/>
  <c r="AU112" i="18"/>
  <c r="AM112" i="18"/>
  <c r="AE112" i="18"/>
  <c r="W112" i="18"/>
  <c r="O112" i="18"/>
  <c r="G112" i="18"/>
  <c r="BC111" i="18"/>
  <c r="AU111" i="18"/>
  <c r="AM111" i="18"/>
  <c r="AE111" i="18"/>
  <c r="W111" i="18"/>
  <c r="O111" i="18"/>
  <c r="G111" i="18"/>
  <c r="BC110" i="18"/>
  <c r="AU110" i="18"/>
  <c r="AM110" i="18"/>
  <c r="AE110" i="18"/>
  <c r="W110" i="18"/>
  <c r="O110" i="18"/>
  <c r="G110" i="18"/>
  <c r="BC109" i="18"/>
  <c r="AU109" i="18"/>
  <c r="AM109" i="18"/>
  <c r="AE109" i="18"/>
  <c r="W109" i="18"/>
  <c r="O109" i="18"/>
  <c r="G109" i="18"/>
  <c r="BC108" i="18"/>
  <c r="AU108" i="18"/>
  <c r="AM108" i="18"/>
  <c r="AE108" i="18"/>
  <c r="W108" i="18"/>
  <c r="O108" i="18"/>
  <c r="G108" i="18"/>
  <c r="BC107" i="18"/>
  <c r="AU107" i="18"/>
  <c r="AM107" i="18"/>
  <c r="AE107" i="18"/>
  <c r="W107" i="18"/>
  <c r="O107" i="18"/>
  <c r="G107" i="18"/>
  <c r="BC106" i="18"/>
  <c r="AU106" i="18"/>
  <c r="AM106" i="18"/>
  <c r="AE106" i="18"/>
  <c r="W106" i="18"/>
  <c r="O106" i="18"/>
  <c r="G106" i="18"/>
  <c r="BC105" i="18"/>
  <c r="AU105" i="18"/>
  <c r="AM105" i="18"/>
  <c r="AE105" i="18"/>
  <c r="W105" i="18"/>
  <c r="O105" i="18"/>
  <c r="G105" i="18"/>
  <c r="BC104" i="18"/>
  <c r="AU104" i="18"/>
  <c r="AM104" i="18"/>
  <c r="AE104" i="18"/>
  <c r="W104" i="18"/>
  <c r="O104" i="18"/>
  <c r="G104" i="18"/>
  <c r="BC103" i="18"/>
  <c r="AU103" i="18"/>
  <c r="AM103" i="18"/>
  <c r="AE103" i="18"/>
  <c r="W103" i="18"/>
  <c r="O103" i="18"/>
  <c r="G103" i="18"/>
  <c r="BC102" i="18"/>
  <c r="AU102" i="18"/>
  <c r="AM102" i="18"/>
  <c r="AE102" i="18"/>
  <c r="W102" i="18"/>
  <c r="O102" i="18"/>
  <c r="G102" i="18"/>
  <c r="BC101" i="18"/>
  <c r="AU101" i="18"/>
  <c r="AM101" i="18"/>
  <c r="AE101" i="18"/>
  <c r="W101" i="18"/>
  <c r="O101" i="18"/>
  <c r="G101" i="18"/>
  <c r="BC100" i="18"/>
  <c r="AU100" i="18"/>
  <c r="AM100" i="18"/>
  <c r="AE100" i="18"/>
  <c r="W100" i="18"/>
  <c r="O100" i="18"/>
  <c r="G100" i="18"/>
  <c r="BC99" i="18"/>
  <c r="AU99" i="18"/>
  <c r="AM99" i="18"/>
  <c r="AE99" i="18"/>
  <c r="W99" i="18"/>
  <c r="O99" i="18"/>
  <c r="G99" i="18"/>
  <c r="BC98" i="18"/>
  <c r="AU98" i="18"/>
  <c r="AM98" i="18"/>
  <c r="AE98" i="18"/>
  <c r="W98" i="18"/>
  <c r="O98" i="18"/>
  <c r="G98" i="18"/>
  <c r="BC97" i="18"/>
  <c r="AU97" i="18"/>
  <c r="AM97" i="18"/>
  <c r="AE97" i="18"/>
  <c r="W97" i="18"/>
  <c r="O97" i="18"/>
  <c r="G97" i="18"/>
  <c r="BC96" i="18"/>
  <c r="AU96" i="18"/>
  <c r="AM96" i="18"/>
  <c r="AE96" i="18"/>
  <c r="W96" i="18"/>
  <c r="O96" i="18"/>
  <c r="G96" i="18"/>
  <c r="BC95" i="18"/>
  <c r="AU95" i="18"/>
  <c r="AM95" i="18"/>
  <c r="AE95" i="18"/>
  <c r="W95" i="18"/>
  <c r="O95" i="18"/>
  <c r="G95" i="18"/>
  <c r="BC94" i="18"/>
  <c r="AU94" i="18"/>
  <c r="AM94" i="18"/>
  <c r="AE94" i="18"/>
  <c r="W94" i="18"/>
  <c r="O94" i="18"/>
  <c r="G94" i="18"/>
  <c r="BC93" i="18"/>
  <c r="AU93" i="18"/>
  <c r="AM93" i="18"/>
  <c r="AE93" i="18"/>
  <c r="W93" i="18"/>
  <c r="O93" i="18"/>
  <c r="G93" i="18"/>
  <c r="BC92" i="18"/>
  <c r="AU92" i="18"/>
  <c r="AM92" i="18"/>
  <c r="AE92" i="18"/>
  <c r="W92" i="18"/>
  <c r="O92" i="18"/>
  <c r="G92" i="18"/>
  <c r="BC91" i="18"/>
  <c r="AU91" i="18"/>
  <c r="AM91" i="18"/>
  <c r="AE91" i="18"/>
  <c r="W91" i="18"/>
  <c r="O91" i="18"/>
  <c r="G91" i="18"/>
  <c r="BC90" i="18"/>
  <c r="AU90" i="18"/>
  <c r="AM90" i="18"/>
  <c r="AE90" i="18"/>
  <c r="W90" i="18"/>
  <c r="O90" i="18"/>
  <c r="G90" i="18"/>
  <c r="BC89" i="18"/>
  <c r="AU89" i="18"/>
  <c r="AM89" i="18"/>
  <c r="AE89" i="18"/>
  <c r="W89" i="18"/>
  <c r="O89" i="18"/>
  <c r="G89" i="18"/>
  <c r="BC88" i="18"/>
  <c r="AU88" i="18"/>
  <c r="AM88" i="18"/>
  <c r="AE88" i="18"/>
  <c r="W88" i="18"/>
  <c r="O88" i="18"/>
  <c r="G88" i="18"/>
  <c r="BC87" i="18"/>
  <c r="AU87" i="18"/>
  <c r="AM87" i="18"/>
  <c r="AE87" i="18"/>
  <c r="W87" i="18"/>
  <c r="G87" i="18"/>
  <c r="BC86" i="18"/>
  <c r="AU86" i="18"/>
  <c r="AM86" i="18"/>
  <c r="AE86" i="18"/>
  <c r="W86" i="18"/>
  <c r="O86" i="18"/>
  <c r="G86" i="18"/>
  <c r="BC85" i="18"/>
  <c r="AU85" i="18"/>
  <c r="AM85" i="18"/>
  <c r="AE85" i="18"/>
  <c r="W85" i="18"/>
  <c r="O85" i="18"/>
  <c r="G85" i="18"/>
  <c r="BC84" i="18"/>
  <c r="AU84" i="18"/>
  <c r="AM84" i="18"/>
  <c r="AE84" i="18"/>
  <c r="W84" i="18"/>
  <c r="O84" i="18"/>
  <c r="G84" i="18"/>
  <c r="BC83" i="18"/>
  <c r="AU83" i="18"/>
  <c r="AM83" i="18"/>
  <c r="AE83" i="18"/>
  <c r="W83" i="18"/>
  <c r="O83" i="18"/>
  <c r="G83" i="18"/>
  <c r="BC82" i="18"/>
  <c r="AU82" i="18"/>
  <c r="AM82" i="18"/>
  <c r="AE82" i="18"/>
  <c r="W82" i="18"/>
  <c r="O82" i="18"/>
  <c r="G82" i="18"/>
  <c r="BC81" i="18"/>
  <c r="AU81" i="18"/>
  <c r="AM81" i="18"/>
  <c r="AE81" i="18"/>
  <c r="W81" i="18"/>
  <c r="O81" i="18"/>
  <c r="G81" i="18"/>
  <c r="BC80" i="18"/>
  <c r="AU80" i="18"/>
  <c r="AM80" i="18"/>
  <c r="AE80" i="18"/>
  <c r="W80" i="18"/>
  <c r="O80" i="18"/>
  <c r="G80" i="18"/>
  <c r="BC79" i="18"/>
  <c r="AU79" i="18"/>
  <c r="AM79" i="18"/>
  <c r="AE79" i="18"/>
  <c r="W79" i="18"/>
  <c r="O79" i="18"/>
  <c r="G79" i="18"/>
  <c r="BC78" i="18"/>
  <c r="AU78" i="18"/>
  <c r="AM78" i="18"/>
  <c r="AE78" i="18"/>
  <c r="W78" i="18"/>
  <c r="O78" i="18"/>
  <c r="G78" i="18"/>
  <c r="BC77" i="18"/>
  <c r="AU77" i="18"/>
  <c r="AM77" i="18"/>
  <c r="AE77" i="18"/>
  <c r="W77" i="18"/>
  <c r="O77" i="18"/>
  <c r="G77" i="18"/>
  <c r="BC76" i="18"/>
  <c r="AU76" i="18"/>
  <c r="AM76" i="18"/>
  <c r="AE76" i="18"/>
  <c r="W76" i="18"/>
  <c r="O76" i="18"/>
  <c r="G76" i="18"/>
  <c r="BC75" i="18"/>
  <c r="AU75" i="18"/>
  <c r="AM75" i="18"/>
  <c r="AE75" i="18"/>
  <c r="W75" i="18"/>
  <c r="O75" i="18"/>
  <c r="G75" i="18"/>
  <c r="BC74" i="18"/>
  <c r="AU74" i="18"/>
  <c r="AM74" i="18"/>
  <c r="AE74" i="18"/>
  <c r="W74" i="18"/>
  <c r="O74" i="18"/>
  <c r="G74" i="18"/>
  <c r="BC73" i="18"/>
  <c r="AU73" i="18"/>
  <c r="AM73" i="18"/>
  <c r="AE73" i="18"/>
  <c r="W73" i="18"/>
  <c r="O73" i="18"/>
  <c r="G73" i="18"/>
  <c r="BC72" i="18"/>
  <c r="AU72" i="18"/>
  <c r="AM72" i="18"/>
  <c r="AE72" i="18"/>
  <c r="W72" i="18"/>
  <c r="O72" i="18"/>
  <c r="G72" i="18"/>
  <c r="BC71" i="18"/>
  <c r="AU71" i="18"/>
  <c r="AM71" i="18"/>
  <c r="AE71" i="18"/>
  <c r="W71" i="18"/>
  <c r="O71" i="18"/>
  <c r="G71" i="18"/>
  <c r="BC70" i="18"/>
  <c r="AU70" i="18"/>
  <c r="AM70" i="18"/>
  <c r="AE70" i="18"/>
  <c r="W70" i="18"/>
  <c r="O70" i="18"/>
  <c r="G70" i="18"/>
  <c r="I71" i="18" s="1"/>
  <c r="D73" i="4" s="1"/>
  <c r="BC69" i="18"/>
  <c r="AU69" i="18"/>
  <c r="AM69" i="18"/>
  <c r="AE69" i="18"/>
  <c r="W69" i="18"/>
  <c r="O69" i="18"/>
  <c r="G69" i="18"/>
  <c r="BC68" i="18"/>
  <c r="AU68" i="18"/>
  <c r="AM68" i="18"/>
  <c r="AE68" i="18"/>
  <c r="W68" i="18"/>
  <c r="O68" i="18"/>
  <c r="G68" i="18"/>
  <c r="BC67" i="18"/>
  <c r="AU67" i="18"/>
  <c r="AM67" i="18"/>
  <c r="AE67" i="18"/>
  <c r="W67" i="18"/>
  <c r="O67" i="18"/>
  <c r="G67" i="18"/>
  <c r="BC66" i="18"/>
  <c r="AU66" i="18"/>
  <c r="AM66" i="18"/>
  <c r="AE66" i="18"/>
  <c r="W66" i="18"/>
  <c r="O66" i="18"/>
  <c r="G66" i="18"/>
  <c r="BC65" i="18"/>
  <c r="AU65" i="18"/>
  <c r="AM65" i="18"/>
  <c r="AE65" i="18"/>
  <c r="W65" i="18"/>
  <c r="O65" i="18"/>
  <c r="G65" i="18"/>
  <c r="BC64" i="18"/>
  <c r="AU64" i="18"/>
  <c r="AM64" i="18"/>
  <c r="AE64" i="18"/>
  <c r="W64" i="18"/>
  <c r="O64" i="18"/>
  <c r="G64" i="18"/>
  <c r="BC63" i="18"/>
  <c r="AU63" i="18"/>
  <c r="AM63" i="18"/>
  <c r="AE63" i="18"/>
  <c r="W63" i="18"/>
  <c r="O63" i="18"/>
  <c r="G63" i="18"/>
  <c r="BC62" i="18"/>
  <c r="AU62" i="18"/>
  <c r="AM62" i="18"/>
  <c r="AE62" i="18"/>
  <c r="W62" i="18"/>
  <c r="O62" i="18"/>
  <c r="G62" i="18"/>
  <c r="BC61" i="18"/>
  <c r="AU61" i="18"/>
  <c r="AM61" i="18"/>
  <c r="AE61" i="18"/>
  <c r="W61" i="18"/>
  <c r="O61" i="18"/>
  <c r="G61" i="18"/>
  <c r="BC60" i="18"/>
  <c r="AU60" i="18"/>
  <c r="AM60" i="18"/>
  <c r="AE60" i="18"/>
  <c r="W60" i="18"/>
  <c r="O60" i="18"/>
  <c r="G60" i="18"/>
  <c r="BC59" i="18"/>
  <c r="AU59" i="18"/>
  <c r="AM59" i="18"/>
  <c r="AE59" i="18"/>
  <c r="W59" i="18"/>
  <c r="O59" i="18"/>
  <c r="G59" i="18"/>
  <c r="BC58" i="18"/>
  <c r="AU58" i="18"/>
  <c r="AM58" i="18"/>
  <c r="AE58" i="18"/>
  <c r="W58" i="18"/>
  <c r="O58" i="18"/>
  <c r="G58" i="18"/>
  <c r="BC57" i="18"/>
  <c r="AU57" i="18"/>
  <c r="AM57" i="18"/>
  <c r="AE57" i="18"/>
  <c r="W57" i="18"/>
  <c r="O57" i="18"/>
  <c r="G57" i="18"/>
  <c r="BC56" i="18"/>
  <c r="AU56" i="18"/>
  <c r="AM56" i="18"/>
  <c r="AE56" i="18"/>
  <c r="W56" i="18"/>
  <c r="O56" i="18"/>
  <c r="G56" i="18"/>
  <c r="BC55" i="18"/>
  <c r="AU55" i="18"/>
  <c r="AM55" i="18"/>
  <c r="AE55" i="18"/>
  <c r="W55" i="18"/>
  <c r="O55" i="18"/>
  <c r="G55" i="18"/>
  <c r="BC54" i="18"/>
  <c r="AU54" i="18"/>
  <c r="AM54" i="18"/>
  <c r="AE54" i="18"/>
  <c r="W54" i="18"/>
  <c r="O54" i="18"/>
  <c r="G54" i="18"/>
  <c r="BC53" i="18"/>
  <c r="AU53" i="18"/>
  <c r="AM53" i="18"/>
  <c r="AE53" i="18"/>
  <c r="W53" i="18"/>
  <c r="O53" i="18"/>
  <c r="G53" i="18"/>
  <c r="BC52" i="18"/>
  <c r="AU52" i="18"/>
  <c r="AM52" i="18"/>
  <c r="AE52" i="18"/>
  <c r="W52" i="18"/>
  <c r="O52" i="18"/>
  <c r="G52" i="18"/>
  <c r="BC51" i="18"/>
  <c r="AU51" i="18"/>
  <c r="AM51" i="18"/>
  <c r="AE51" i="18"/>
  <c r="W51" i="18"/>
  <c r="O51" i="18"/>
  <c r="G51" i="18"/>
  <c r="BC50" i="18"/>
  <c r="AU50" i="18"/>
  <c r="AM50" i="18"/>
  <c r="AE50" i="18"/>
  <c r="W50" i="18"/>
  <c r="O50" i="18"/>
  <c r="G50" i="18"/>
  <c r="BC49" i="18"/>
  <c r="AU49" i="18"/>
  <c r="AM49" i="18"/>
  <c r="AE49" i="18"/>
  <c r="W49" i="18"/>
  <c r="O49" i="18"/>
  <c r="G49" i="18"/>
  <c r="BC48" i="18"/>
  <c r="AU48" i="18"/>
  <c r="AM48" i="18"/>
  <c r="AE48" i="18"/>
  <c r="W48" i="18"/>
  <c r="O48" i="18"/>
  <c r="G48" i="18"/>
  <c r="BC47" i="18"/>
  <c r="AU47" i="18"/>
  <c r="AM47" i="18"/>
  <c r="AE47" i="18"/>
  <c r="W47" i="18"/>
  <c r="O47" i="18"/>
  <c r="G47" i="18"/>
  <c r="BC46" i="18"/>
  <c r="AU46" i="18"/>
  <c r="AM46" i="18"/>
  <c r="AE46" i="18"/>
  <c r="W46" i="18"/>
  <c r="O46" i="18"/>
  <c r="G46" i="18"/>
  <c r="BC45" i="18"/>
  <c r="AU45" i="18"/>
  <c r="AM45" i="18"/>
  <c r="AE45" i="18"/>
  <c r="W45" i="18"/>
  <c r="O45" i="18"/>
  <c r="G45" i="18"/>
  <c r="BC44" i="18"/>
  <c r="AU44" i="18"/>
  <c r="AM44" i="18"/>
  <c r="AE44" i="18"/>
  <c r="W44" i="18"/>
  <c r="O44" i="18"/>
  <c r="G44" i="18"/>
  <c r="BC43" i="18"/>
  <c r="AU43" i="18"/>
  <c r="AM43" i="18"/>
  <c r="AE43" i="18"/>
  <c r="W43" i="18"/>
  <c r="O43" i="18"/>
  <c r="G43" i="18"/>
  <c r="BC42" i="18"/>
  <c r="AU42" i="18"/>
  <c r="AM42" i="18"/>
  <c r="AE42" i="18"/>
  <c r="W42" i="18"/>
  <c r="O42" i="18"/>
  <c r="G42" i="18"/>
  <c r="BC41" i="18"/>
  <c r="AU41" i="18"/>
  <c r="AM41" i="18"/>
  <c r="AE41" i="18"/>
  <c r="W41" i="18"/>
  <c r="O41" i="18"/>
  <c r="G41" i="18"/>
  <c r="BC40" i="18"/>
  <c r="AU40" i="18"/>
  <c r="AM40" i="18"/>
  <c r="AE40" i="18"/>
  <c r="W40" i="18"/>
  <c r="O40" i="18"/>
  <c r="G40" i="18"/>
  <c r="BC39" i="18"/>
  <c r="AU39" i="18"/>
  <c r="AM39" i="18"/>
  <c r="AE39" i="18"/>
  <c r="W39" i="18"/>
  <c r="O39" i="18"/>
  <c r="G39" i="18"/>
  <c r="BC38" i="18"/>
  <c r="AU38" i="18"/>
  <c r="AM38" i="18"/>
  <c r="AE38" i="18"/>
  <c r="W38" i="18"/>
  <c r="O38" i="18"/>
  <c r="G38" i="18"/>
  <c r="BC37" i="18"/>
  <c r="AU37" i="18"/>
  <c r="AM37" i="18"/>
  <c r="AE37" i="18"/>
  <c r="W37" i="18"/>
  <c r="O37" i="18"/>
  <c r="G37" i="18"/>
  <c r="BC36" i="18"/>
  <c r="AU36" i="18"/>
  <c r="AM36" i="18"/>
  <c r="AE36" i="18"/>
  <c r="W36" i="18"/>
  <c r="O36" i="18"/>
  <c r="G36" i="18"/>
  <c r="BC35" i="18"/>
  <c r="AU35" i="18"/>
  <c r="AM35" i="18"/>
  <c r="AE35" i="18"/>
  <c r="W35" i="18"/>
  <c r="O35" i="18"/>
  <c r="G35" i="18"/>
  <c r="BC34" i="18"/>
  <c r="AU34" i="18"/>
  <c r="AM34" i="18"/>
  <c r="AE34" i="18"/>
  <c r="W34" i="18"/>
  <c r="O34" i="18"/>
  <c r="G34" i="18"/>
  <c r="BC33" i="18"/>
  <c r="AU33" i="18"/>
  <c r="AM33" i="18"/>
  <c r="AE33" i="18"/>
  <c r="W33" i="18"/>
  <c r="O33" i="18"/>
  <c r="G33" i="18"/>
  <c r="BC32" i="18"/>
  <c r="AU32" i="18"/>
  <c r="AM32" i="18"/>
  <c r="AE32" i="18"/>
  <c r="W32" i="18"/>
  <c r="O32" i="18"/>
  <c r="G32" i="18"/>
  <c r="BC31" i="18"/>
  <c r="AU31" i="18"/>
  <c r="AM31" i="18"/>
  <c r="AE31" i="18"/>
  <c r="W31" i="18"/>
  <c r="O31" i="18"/>
  <c r="G31" i="18"/>
  <c r="BC30" i="18"/>
  <c r="AU30" i="18"/>
  <c r="AM30" i="18"/>
  <c r="AE30" i="18"/>
  <c r="W30" i="18"/>
  <c r="O30" i="18"/>
  <c r="G30" i="18"/>
  <c r="BC29" i="18"/>
  <c r="AU29" i="18"/>
  <c r="AM29" i="18"/>
  <c r="AE29" i="18"/>
  <c r="W29" i="18"/>
  <c r="O29" i="18"/>
  <c r="G29" i="18"/>
  <c r="BC28" i="18"/>
  <c r="AU28" i="18"/>
  <c r="AM28" i="18"/>
  <c r="AE28" i="18"/>
  <c r="W28" i="18"/>
  <c r="O28" i="18"/>
  <c r="G28" i="18"/>
  <c r="BC27" i="18"/>
  <c r="AU27" i="18"/>
  <c r="AM27" i="18"/>
  <c r="AE27" i="18"/>
  <c r="W27" i="18"/>
  <c r="O27" i="18"/>
  <c r="G27" i="18"/>
  <c r="BC26" i="18"/>
  <c r="AU26" i="18"/>
  <c r="AM26" i="18"/>
  <c r="AE26" i="18"/>
  <c r="W26" i="18"/>
  <c r="O26" i="18"/>
  <c r="G26" i="18"/>
  <c r="BC25" i="18"/>
  <c r="AU25" i="18"/>
  <c r="AM25" i="18"/>
  <c r="AE25" i="18"/>
  <c r="W25" i="18"/>
  <c r="O25" i="18"/>
  <c r="G25" i="18"/>
  <c r="BC24" i="18"/>
  <c r="AU24" i="18"/>
  <c r="AM24" i="18"/>
  <c r="AE24" i="18"/>
  <c r="W24" i="18"/>
  <c r="O24" i="18"/>
  <c r="G24" i="18"/>
  <c r="BC23" i="18"/>
  <c r="AU23" i="18"/>
  <c r="AM23" i="18"/>
  <c r="AE23" i="18"/>
  <c r="W23" i="18"/>
  <c r="O23" i="18"/>
  <c r="G23" i="18"/>
  <c r="BC22" i="18"/>
  <c r="AU22" i="18"/>
  <c r="AM22" i="18"/>
  <c r="AE22" i="18"/>
  <c r="W22" i="18"/>
  <c r="O22" i="18"/>
  <c r="G22" i="18"/>
  <c r="BC21" i="18"/>
  <c r="AU21" i="18"/>
  <c r="AM21" i="18"/>
  <c r="AE21" i="18"/>
  <c r="W21" i="18"/>
  <c r="O21" i="18"/>
  <c r="G21" i="18"/>
  <c r="BC20" i="18"/>
  <c r="AU20" i="18"/>
  <c r="AM20" i="18"/>
  <c r="AE20" i="18"/>
  <c r="W20" i="18"/>
  <c r="O20" i="18"/>
  <c r="G20" i="18"/>
  <c r="BC19" i="18"/>
  <c r="AU19" i="18"/>
  <c r="AM19" i="18"/>
  <c r="AE19" i="18"/>
  <c r="W19" i="18"/>
  <c r="O19" i="18"/>
  <c r="G19" i="18"/>
  <c r="BC18" i="18"/>
  <c r="AU18" i="18"/>
  <c r="AM18" i="18"/>
  <c r="AE18" i="18"/>
  <c r="W18" i="18"/>
  <c r="O18" i="18"/>
  <c r="G18" i="18"/>
  <c r="BC17" i="18"/>
  <c r="AU17" i="18"/>
  <c r="AM17" i="18"/>
  <c r="AE17" i="18"/>
  <c r="W17" i="18"/>
  <c r="O17" i="18"/>
  <c r="G17" i="18"/>
  <c r="BC16" i="18"/>
  <c r="AU16" i="18"/>
  <c r="AM16" i="18"/>
  <c r="AE16" i="18"/>
  <c r="W16" i="18"/>
  <c r="O16" i="18"/>
  <c r="G16" i="18"/>
  <c r="BC15" i="18"/>
  <c r="AU15" i="18"/>
  <c r="AM15" i="18"/>
  <c r="AE15" i="18"/>
  <c r="W15" i="18"/>
  <c r="O15" i="18"/>
  <c r="G15" i="18"/>
  <c r="BC14" i="18"/>
  <c r="AU14" i="18"/>
  <c r="AM14" i="18"/>
  <c r="AE14" i="18"/>
  <c r="W14" i="18"/>
  <c r="O14" i="18"/>
  <c r="G14" i="18"/>
  <c r="BC13" i="18"/>
  <c r="AU13" i="18"/>
  <c r="AM13" i="18"/>
  <c r="AE13" i="18"/>
  <c r="W13" i="18"/>
  <c r="O13" i="18"/>
  <c r="G13" i="18"/>
  <c r="BC12" i="18"/>
  <c r="AU12" i="18"/>
  <c r="AM12" i="18"/>
  <c r="AE12" i="18"/>
  <c r="W12" i="18"/>
  <c r="O12" i="18"/>
  <c r="G12" i="18"/>
  <c r="BC11" i="18"/>
  <c r="AU11" i="18"/>
  <c r="AM11" i="18"/>
  <c r="AE11" i="18"/>
  <c r="W11" i="18"/>
  <c r="O11" i="18"/>
  <c r="G11" i="18"/>
  <c r="BC10" i="18"/>
  <c r="AU10" i="18"/>
  <c r="AM10" i="18"/>
  <c r="AE10" i="18"/>
  <c r="W10" i="18"/>
  <c r="O10" i="18"/>
  <c r="G10" i="18"/>
  <c r="BC9" i="18"/>
  <c r="AU9" i="18"/>
  <c r="AM9" i="18"/>
  <c r="AE9" i="18"/>
  <c r="W9" i="18"/>
  <c r="O9" i="18"/>
  <c r="G9" i="18"/>
  <c r="BC8" i="18"/>
  <c r="AU8" i="18"/>
  <c r="AM8" i="18"/>
  <c r="AE8" i="18"/>
  <c r="W8" i="18"/>
  <c r="O8" i="18"/>
  <c r="G8" i="18"/>
  <c r="BC7" i="18"/>
  <c r="AU7" i="18"/>
  <c r="AM7" i="18"/>
  <c r="AE7" i="18"/>
  <c r="W7" i="18"/>
  <c r="O7" i="18"/>
  <c r="G7" i="18"/>
  <c r="BC6" i="18"/>
  <c r="AU6" i="18"/>
  <c r="AM6" i="18"/>
  <c r="AE6" i="18"/>
  <c r="W6" i="18"/>
  <c r="O6" i="18"/>
  <c r="G6" i="18"/>
  <c r="BC5" i="18"/>
  <c r="AU5" i="18"/>
  <c r="AM5" i="18"/>
  <c r="AE5" i="18"/>
  <c r="W5" i="18"/>
  <c r="O5" i="18"/>
  <c r="G5" i="18"/>
  <c r="BC4" i="18"/>
  <c r="AU4" i="18"/>
  <c r="AM4" i="18"/>
  <c r="AE4" i="18"/>
  <c r="W4" i="18"/>
  <c r="O4" i="18"/>
  <c r="G4" i="18"/>
  <c r="D6" i="4" s="1"/>
  <c r="C6" i="19" s="1"/>
  <c r="BC3" i="18"/>
  <c r="AU3" i="18"/>
  <c r="AM3" i="18"/>
  <c r="AE3" i="18"/>
  <c r="W3" i="18"/>
  <c r="BM2" i="18"/>
  <c r="BL2" i="18"/>
  <c r="BK2" i="18"/>
  <c r="BJ2" i="18"/>
  <c r="BI2" i="18"/>
  <c r="BH2" i="18"/>
  <c r="BG2" i="18"/>
  <c r="BE2" i="18"/>
  <c r="BD2" i="18"/>
  <c r="BC2" i="18"/>
  <c r="BB2" i="18"/>
  <c r="BA2" i="18"/>
  <c r="AZ2" i="18"/>
  <c r="AY2" i="18"/>
  <c r="AW2" i="18"/>
  <c r="AV2" i="18"/>
  <c r="AU2" i="18"/>
  <c r="AT2" i="18"/>
  <c r="AS2" i="18"/>
  <c r="AR2" i="18"/>
  <c r="AQ2" i="18"/>
  <c r="AG2" i="18"/>
  <c r="AO2" i="18" s="1"/>
  <c r="AF2" i="18"/>
  <c r="AN2" i="18" s="1"/>
  <c r="AE2" i="18"/>
  <c r="AM2" i="18" s="1"/>
  <c r="AD2" i="18"/>
  <c r="AL2" i="18" s="1"/>
  <c r="AC2" i="18"/>
  <c r="AK2" i="18" s="1"/>
  <c r="AB2" i="18"/>
  <c r="AJ2" i="18" s="1"/>
  <c r="AA2" i="18"/>
  <c r="AI2" i="18" s="1"/>
  <c r="Y2" i="18"/>
  <c r="X2" i="18"/>
  <c r="W2" i="18"/>
  <c r="V2" i="18"/>
  <c r="U2" i="18"/>
  <c r="T2" i="18"/>
  <c r="S2" i="18"/>
  <c r="Q2" i="18"/>
  <c r="P2" i="18"/>
  <c r="O2" i="18"/>
  <c r="N2" i="18"/>
  <c r="M2" i="18"/>
  <c r="L2" i="18"/>
  <c r="K2" i="18"/>
  <c r="D149" i="25" l="1"/>
  <c r="D145" i="25"/>
  <c r="D146" i="25"/>
  <c r="D144" i="25"/>
  <c r="D150" i="25"/>
  <c r="D148" i="25"/>
  <c r="D152" i="25"/>
  <c r="D147" i="25"/>
  <c r="D143" i="25"/>
  <c r="C19" i="15"/>
  <c r="D121" i="25"/>
  <c r="D116" i="25"/>
  <c r="D119" i="25"/>
  <c r="D117" i="25"/>
  <c r="D120" i="25"/>
  <c r="D118" i="25"/>
  <c r="D114" i="25"/>
  <c r="D123" i="25"/>
  <c r="D115" i="25"/>
  <c r="D168" i="25"/>
  <c r="C170" i="25"/>
  <c r="E61" i="17" s="1"/>
  <c r="G13" i="26"/>
  <c r="H14" i="25"/>
  <c r="H41" i="26"/>
  <c r="K12" i="26"/>
  <c r="R13" i="25"/>
  <c r="R40" i="26"/>
  <c r="H38" i="26"/>
  <c r="G10" i="26"/>
  <c r="H11" i="25"/>
  <c r="H42" i="26"/>
  <c r="G14" i="26"/>
  <c r="H15" i="25"/>
  <c r="M40" i="26"/>
  <c r="I12" i="26"/>
  <c r="M13" i="25"/>
  <c r="R37" i="26"/>
  <c r="K9" i="26"/>
  <c r="R10" i="25"/>
  <c r="R41" i="26"/>
  <c r="K13" i="26"/>
  <c r="R14" i="25"/>
  <c r="G9" i="26"/>
  <c r="H10" i="25"/>
  <c r="H37" i="26"/>
  <c r="M43" i="26"/>
  <c r="I15" i="26"/>
  <c r="M16" i="25"/>
  <c r="H43" i="26"/>
  <c r="G15" i="26"/>
  <c r="H16" i="25"/>
  <c r="M37" i="26"/>
  <c r="I9" i="26"/>
  <c r="M10" i="25"/>
  <c r="I13" i="26"/>
  <c r="M14" i="25"/>
  <c r="M41" i="26"/>
  <c r="R38" i="26"/>
  <c r="K10" i="26"/>
  <c r="R11" i="25"/>
  <c r="R42" i="26"/>
  <c r="K14" i="26"/>
  <c r="R15" i="25"/>
  <c r="G12" i="26"/>
  <c r="H13" i="25"/>
  <c r="H40" i="26"/>
  <c r="I10" i="26"/>
  <c r="M11" i="25"/>
  <c r="M38" i="26"/>
  <c r="I14" i="26"/>
  <c r="M15" i="25"/>
  <c r="M42" i="26"/>
  <c r="K15" i="26"/>
  <c r="R16" i="25"/>
  <c r="R43" i="26"/>
  <c r="E26" i="15"/>
  <c r="C26" i="15"/>
  <c r="G26" i="15"/>
  <c r="BE10" i="18"/>
  <c r="J12" i="4" s="1"/>
  <c r="BE26" i="18"/>
  <c r="J28" i="4" s="1"/>
  <c r="BE34" i="18"/>
  <c r="J36" i="4" s="1"/>
  <c r="BE42" i="18"/>
  <c r="J44" i="4" s="1"/>
  <c r="BE58" i="18"/>
  <c r="J60" i="4" s="1"/>
  <c r="BE222" i="18"/>
  <c r="J224" i="4" s="1"/>
  <c r="BE246" i="18"/>
  <c r="J248" i="4" s="1"/>
  <c r="BE254" i="18"/>
  <c r="J256" i="4" s="1"/>
  <c r="BE266" i="18"/>
  <c r="J268" i="4" s="1"/>
  <c r="BE5" i="18"/>
  <c r="J7" i="4" s="1"/>
  <c r="BE9" i="18"/>
  <c r="J11" i="4" s="1"/>
  <c r="BE13" i="18"/>
  <c r="J15" i="4" s="1"/>
  <c r="BE17" i="18"/>
  <c r="J19" i="4" s="1"/>
  <c r="BE29" i="18"/>
  <c r="J31" i="4" s="1"/>
  <c r="BE33" i="18"/>
  <c r="J35" i="4" s="1"/>
  <c r="BE37" i="18"/>
  <c r="J39" i="4" s="1"/>
  <c r="BE41" i="18"/>
  <c r="J43" i="4" s="1"/>
  <c r="BE45" i="18"/>
  <c r="J47" i="4" s="1"/>
  <c r="BE49" i="18"/>
  <c r="J51" i="4" s="1"/>
  <c r="BE57" i="18"/>
  <c r="J59" i="4" s="1"/>
  <c r="BE61" i="18"/>
  <c r="J63" i="4" s="1"/>
  <c r="BE65" i="18"/>
  <c r="J67" i="4" s="1"/>
  <c r="BE408" i="18"/>
  <c r="J410" i="4" s="1"/>
  <c r="BE27" i="18"/>
  <c r="J29" i="4" s="1"/>
  <c r="BE226" i="18"/>
  <c r="J228" i="4" s="1"/>
  <c r="BE234" i="18"/>
  <c r="J236" i="4" s="1"/>
  <c r="AG383" i="18"/>
  <c r="G385" i="4" s="1"/>
  <c r="Y35" i="18"/>
  <c r="F37" i="4" s="1"/>
  <c r="BE35" i="18"/>
  <c r="J37" i="4" s="1"/>
  <c r="AG380" i="18"/>
  <c r="G382" i="4" s="1"/>
  <c r="AG398" i="18"/>
  <c r="G400" i="4" s="1"/>
  <c r="BE406" i="18"/>
  <c r="J408" i="4" s="1"/>
  <c r="BE21" i="18"/>
  <c r="J23" i="4" s="1"/>
  <c r="BE25" i="18"/>
  <c r="J27" i="4" s="1"/>
  <c r="Y43" i="18"/>
  <c r="F45" i="4" s="1"/>
  <c r="BE43" i="18"/>
  <c r="J45" i="4" s="1"/>
  <c r="Y281" i="18"/>
  <c r="F283" i="4" s="1"/>
  <c r="BE11" i="18"/>
  <c r="J13" i="4" s="1"/>
  <c r="BE59" i="18"/>
  <c r="J61" i="4" s="1"/>
  <c r="BE67" i="18"/>
  <c r="J69" i="4" s="1"/>
  <c r="BE159" i="18"/>
  <c r="J161" i="4" s="1"/>
  <c r="Y223" i="18"/>
  <c r="F225" i="4" s="1"/>
  <c r="BE223" i="18"/>
  <c r="J225" i="4" s="1"/>
  <c r="Y240" i="18"/>
  <c r="F242" i="4" s="1"/>
  <c r="Y244" i="18"/>
  <c r="F246" i="4" s="1"/>
  <c r="Y248" i="18"/>
  <c r="F250" i="4" s="1"/>
  <c r="Y252" i="18"/>
  <c r="F254" i="4" s="1"/>
  <c r="Y256" i="18"/>
  <c r="F258" i="4" s="1"/>
  <c r="Y260" i="18"/>
  <c r="F262" i="4" s="1"/>
  <c r="Y264" i="18"/>
  <c r="F266" i="4" s="1"/>
  <c r="Y68" i="18"/>
  <c r="F70" i="4" s="1"/>
  <c r="BE68" i="18"/>
  <c r="J70" i="4" s="1"/>
  <c r="BE82" i="18"/>
  <c r="J84" i="4" s="1"/>
  <c r="Y160" i="18"/>
  <c r="F162" i="4" s="1"/>
  <c r="BE160" i="18"/>
  <c r="J162" i="4" s="1"/>
  <c r="BE282" i="18"/>
  <c r="J284" i="4" s="1"/>
  <c r="BE411" i="18"/>
  <c r="J413" i="4" s="1"/>
  <c r="BE93" i="18"/>
  <c r="J95" i="4" s="1"/>
  <c r="BE129" i="18"/>
  <c r="J131" i="4" s="1"/>
  <c r="BE145" i="18"/>
  <c r="J147" i="4" s="1"/>
  <c r="K405" i="4"/>
  <c r="Y12" i="18"/>
  <c r="F14" i="4" s="1"/>
  <c r="BE18" i="18"/>
  <c r="J20" i="4" s="1"/>
  <c r="Y146" i="18"/>
  <c r="F148" i="4" s="1"/>
  <c r="BE146" i="18"/>
  <c r="J148" i="4" s="1"/>
  <c r="D12" i="15"/>
  <c r="E14" i="14"/>
  <c r="H26" i="14" s="1"/>
  <c r="D16" i="15"/>
  <c r="E18" i="14"/>
  <c r="H30" i="14" s="1"/>
  <c r="BE166" i="18"/>
  <c r="J168" i="4" s="1"/>
  <c r="Y224" i="18"/>
  <c r="F226" i="4" s="1"/>
  <c r="D13" i="15"/>
  <c r="E15" i="14"/>
  <c r="F27" i="14" s="1"/>
  <c r="D17" i="15"/>
  <c r="E19" i="14"/>
  <c r="D31" i="14" s="1"/>
  <c r="BE276" i="18"/>
  <c r="J278" i="4" s="1"/>
  <c r="C23" i="15"/>
  <c r="E23" i="15"/>
  <c r="K386" i="4"/>
  <c r="Y83" i="18"/>
  <c r="F85" i="4" s="1"/>
  <c r="BE83" i="18"/>
  <c r="J85" i="4" s="1"/>
  <c r="Y94" i="18"/>
  <c r="F96" i="4" s="1"/>
  <c r="BE94" i="18"/>
  <c r="J96" i="4" s="1"/>
  <c r="BE101" i="18"/>
  <c r="J103" i="4" s="1"/>
  <c r="BE113" i="18"/>
  <c r="J115" i="4" s="1"/>
  <c r="D18" i="15"/>
  <c r="E20" i="14"/>
  <c r="F32" i="14" s="1"/>
  <c r="Q312" i="18"/>
  <c r="E314" i="4" s="1"/>
  <c r="K406" i="4"/>
  <c r="BE50" i="18"/>
  <c r="J52" i="4" s="1"/>
  <c r="BE130" i="18"/>
  <c r="J132" i="4" s="1"/>
  <c r="D11" i="15"/>
  <c r="E13" i="14"/>
  <c r="D15" i="15"/>
  <c r="E17" i="14"/>
  <c r="F29" i="14" s="1"/>
  <c r="AO275" i="18"/>
  <c r="H277" i="4" s="1"/>
  <c r="BE283" i="18"/>
  <c r="J285" i="4" s="1"/>
  <c r="AG387" i="18"/>
  <c r="G389" i="4" s="1"/>
  <c r="AG388" i="18"/>
  <c r="G390" i="4" s="1"/>
  <c r="D14" i="15"/>
  <c r="E16" i="14"/>
  <c r="H28" i="14" s="1"/>
  <c r="Q313" i="18"/>
  <c r="E315" i="4" s="1"/>
  <c r="Q28" i="18"/>
  <c r="E30" i="4" s="1"/>
  <c r="K310" i="4"/>
  <c r="K397" i="4"/>
  <c r="BE74" i="18"/>
  <c r="J76" i="4" s="1"/>
  <c r="BE89" i="18"/>
  <c r="J91" i="4" s="1"/>
  <c r="BE155" i="18"/>
  <c r="J157" i="4" s="1"/>
  <c r="BE238" i="18"/>
  <c r="J240" i="4" s="1"/>
  <c r="BE261" i="18"/>
  <c r="J263" i="4" s="1"/>
  <c r="BE46" i="18"/>
  <c r="J48" i="4" s="1"/>
  <c r="BE19" i="18"/>
  <c r="J21" i="4" s="1"/>
  <c r="BE51" i="18"/>
  <c r="J53" i="4" s="1"/>
  <c r="BE54" i="18"/>
  <c r="J56" i="4" s="1"/>
  <c r="BE114" i="18"/>
  <c r="J116" i="4" s="1"/>
  <c r="BE121" i="18"/>
  <c r="J123" i="4" s="1"/>
  <c r="BE102" i="18"/>
  <c r="J104" i="4" s="1"/>
  <c r="BE62" i="18"/>
  <c r="J64" i="4" s="1"/>
  <c r="BE137" i="18"/>
  <c r="J139" i="4" s="1"/>
  <c r="AG385" i="18"/>
  <c r="G387" i="4" s="1"/>
  <c r="AG391" i="18"/>
  <c r="G393" i="4" s="1"/>
  <c r="AG393" i="18"/>
  <c r="G395" i="4" s="1"/>
  <c r="Y28" i="18"/>
  <c r="F30" i="4" s="1"/>
  <c r="Y59" i="18"/>
  <c r="F61" i="4" s="1"/>
  <c r="Y63" i="18"/>
  <c r="F65" i="4" s="1"/>
  <c r="Y130" i="18"/>
  <c r="F132" i="4" s="1"/>
  <c r="Y47" i="18"/>
  <c r="F49" i="4" s="1"/>
  <c r="Y19" i="18"/>
  <c r="F21" i="4" s="1"/>
  <c r="Y51" i="18"/>
  <c r="F53" i="4" s="1"/>
  <c r="Y114" i="18"/>
  <c r="F116" i="4" s="1"/>
  <c r="Y122" i="18"/>
  <c r="F124" i="4" s="1"/>
  <c r="Y225" i="18"/>
  <c r="F227" i="4" s="1"/>
  <c r="Y90" i="18"/>
  <c r="F92" i="4" s="1"/>
  <c r="Y156" i="18"/>
  <c r="F158" i="4" s="1"/>
  <c r="I416" i="18"/>
  <c r="D418" i="4" s="1"/>
  <c r="Q20" i="18"/>
  <c r="E22" i="4" s="1"/>
  <c r="Q12" i="18"/>
  <c r="E14" i="4" s="1"/>
  <c r="Q392" i="18"/>
  <c r="E394" i="4" s="1"/>
  <c r="I269" i="18"/>
  <c r="D271" i="4" s="1"/>
  <c r="K398" i="4"/>
  <c r="K402" i="4"/>
  <c r="K404" i="4"/>
  <c r="K311" i="4"/>
  <c r="K167" i="4"/>
  <c r="K177" i="4"/>
  <c r="K301" i="4"/>
  <c r="K384" i="4"/>
  <c r="K400" i="4"/>
  <c r="K389" i="4"/>
  <c r="K393" i="4"/>
  <c r="BE99" i="18"/>
  <c r="J101" i="4" s="1"/>
  <c r="BE6" i="18"/>
  <c r="J8" i="4" s="1"/>
  <c r="BE7" i="18"/>
  <c r="J9" i="4" s="1"/>
  <c r="BE22" i="18"/>
  <c r="J24" i="4" s="1"/>
  <c r="BE23" i="18"/>
  <c r="J25" i="4" s="1"/>
  <c r="BE38" i="18"/>
  <c r="J40" i="4" s="1"/>
  <c r="BE39" i="18"/>
  <c r="J41" i="4" s="1"/>
  <c r="BE55" i="18"/>
  <c r="J57" i="4" s="1"/>
  <c r="BE81" i="18"/>
  <c r="J83" i="4" s="1"/>
  <c r="BE107" i="18"/>
  <c r="J109" i="4" s="1"/>
  <c r="BE109" i="18"/>
  <c r="J111" i="4" s="1"/>
  <c r="BE138" i="18"/>
  <c r="J140" i="4" s="1"/>
  <c r="BE141" i="18"/>
  <c r="J143" i="4" s="1"/>
  <c r="BE167" i="18"/>
  <c r="J169" i="4" s="1"/>
  <c r="BE175" i="18"/>
  <c r="J177" i="4" s="1"/>
  <c r="BE410" i="18"/>
  <c r="J412" i="4" s="1"/>
  <c r="BE53" i="18"/>
  <c r="J55" i="4" s="1"/>
  <c r="BE73" i="18"/>
  <c r="J75" i="4" s="1"/>
  <c r="BE14" i="18"/>
  <c r="J16" i="4" s="1"/>
  <c r="BE15" i="18"/>
  <c r="J17" i="4" s="1"/>
  <c r="BE30" i="18"/>
  <c r="J32" i="4" s="1"/>
  <c r="BE31" i="18"/>
  <c r="J33" i="4" s="1"/>
  <c r="BE47" i="18"/>
  <c r="J49" i="4" s="1"/>
  <c r="BE63" i="18"/>
  <c r="J65" i="4" s="1"/>
  <c r="BE90" i="18"/>
  <c r="J92" i="4" s="1"/>
  <c r="BE122" i="18"/>
  <c r="J124" i="4" s="1"/>
  <c r="BE125" i="18"/>
  <c r="J127" i="4" s="1"/>
  <c r="BE156" i="18"/>
  <c r="J158" i="4" s="1"/>
  <c r="BE263" i="18"/>
  <c r="J265" i="4" s="1"/>
  <c r="BE273" i="18"/>
  <c r="J275" i="4" s="1"/>
  <c r="AW397" i="18"/>
  <c r="I399" i="4" s="1"/>
  <c r="AW405" i="18"/>
  <c r="I407" i="4" s="1"/>
  <c r="AW383" i="18"/>
  <c r="I385" i="4" s="1"/>
  <c r="AW386" i="18"/>
  <c r="I388" i="4" s="1"/>
  <c r="AW401" i="18"/>
  <c r="I403" i="4" s="1"/>
  <c r="AW388" i="18"/>
  <c r="I390" i="4" s="1"/>
  <c r="AW390" i="18"/>
  <c r="I392" i="4" s="1"/>
  <c r="AW392" i="18"/>
  <c r="I394" i="4" s="1"/>
  <c r="AW394" i="18"/>
  <c r="I396" i="4" s="1"/>
  <c r="AO281" i="18"/>
  <c r="H283" i="4" s="1"/>
  <c r="AO282" i="18"/>
  <c r="H284" i="4" s="1"/>
  <c r="AO68" i="18"/>
  <c r="H70" i="4" s="1"/>
  <c r="AO283" i="18"/>
  <c r="H285" i="4" s="1"/>
  <c r="AO40" i="18"/>
  <c r="H42" i="4" s="1"/>
  <c r="AO81" i="18"/>
  <c r="H83" i="4" s="1"/>
  <c r="AO140" i="18"/>
  <c r="H142" i="4" s="1"/>
  <c r="AG389" i="18"/>
  <c r="G391" i="4" s="1"/>
  <c r="AG295" i="18"/>
  <c r="G297" i="4" s="1"/>
  <c r="AG296" i="18"/>
  <c r="G298" i="4" s="1"/>
  <c r="AG299" i="18"/>
  <c r="G301" i="4" s="1"/>
  <c r="AG390" i="18"/>
  <c r="G392" i="4" s="1"/>
  <c r="AG311" i="18"/>
  <c r="G313" i="4" s="1"/>
  <c r="AG392" i="18"/>
  <c r="G394" i="4" s="1"/>
  <c r="AG300" i="18"/>
  <c r="G302" i="4" s="1"/>
  <c r="AG315" i="18"/>
  <c r="G317" i="4" s="1"/>
  <c r="AG386" i="18"/>
  <c r="G388" i="4" s="1"/>
  <c r="Y288" i="18"/>
  <c r="F290" i="4" s="1"/>
  <c r="Y20" i="18"/>
  <c r="F22" i="4" s="1"/>
  <c r="Y36" i="18"/>
  <c r="F38" i="4" s="1"/>
  <c r="Y55" i="18"/>
  <c r="F57" i="4" s="1"/>
  <c r="Y75" i="18"/>
  <c r="F77" i="4" s="1"/>
  <c r="Y138" i="18"/>
  <c r="F140" i="4" s="1"/>
  <c r="Y167" i="18"/>
  <c r="F169" i="4" s="1"/>
  <c r="Y277" i="18"/>
  <c r="F279" i="4" s="1"/>
  <c r="Y412" i="18"/>
  <c r="F414" i="4" s="1"/>
  <c r="Y99" i="18"/>
  <c r="F101" i="4" s="1"/>
  <c r="Y11" i="18"/>
  <c r="F13" i="4" s="1"/>
  <c r="Y27" i="18"/>
  <c r="F29" i="4" s="1"/>
  <c r="Y272" i="18"/>
  <c r="F274" i="4" s="1"/>
  <c r="Y274" i="18"/>
  <c r="F276" i="4" s="1"/>
  <c r="Q44" i="18"/>
  <c r="E46" i="4" s="1"/>
  <c r="Q60" i="18"/>
  <c r="E62" i="4" s="1"/>
  <c r="Q401" i="18"/>
  <c r="E403" i="4" s="1"/>
  <c r="Q48" i="18"/>
  <c r="E50" i="4" s="1"/>
  <c r="Q91" i="18"/>
  <c r="E93" i="4" s="1"/>
  <c r="Q386" i="18"/>
  <c r="E388" i="4" s="1"/>
  <c r="Q394" i="18"/>
  <c r="E396" i="4" s="1"/>
  <c r="Q52" i="18"/>
  <c r="E54" i="4" s="1"/>
  <c r="Q292" i="18"/>
  <c r="E294" i="4" s="1"/>
  <c r="Q293" i="18"/>
  <c r="E295" i="4" s="1"/>
  <c r="Q388" i="18"/>
  <c r="E390" i="4" s="1"/>
  <c r="Q397" i="18"/>
  <c r="E399" i="4" s="1"/>
  <c r="Q405" i="18"/>
  <c r="E407" i="4" s="1"/>
  <c r="Q23" i="18"/>
  <c r="E25" i="4" s="1"/>
  <c r="Q36" i="18"/>
  <c r="E38" i="4" s="1"/>
  <c r="Q39" i="18"/>
  <c r="E41" i="4" s="1"/>
  <c r="Q56" i="18"/>
  <c r="E58" i="4" s="1"/>
  <c r="Q305" i="18"/>
  <c r="E307" i="4" s="1"/>
  <c r="Q308" i="18"/>
  <c r="E310" i="4" s="1"/>
  <c r="Q383" i="18"/>
  <c r="E385" i="4" s="1"/>
  <c r="Q390" i="18"/>
  <c r="E392" i="4" s="1"/>
  <c r="I285" i="18"/>
  <c r="D287" i="4" s="1"/>
  <c r="I10" i="18"/>
  <c r="D12" i="4" s="1"/>
  <c r="AO17" i="18"/>
  <c r="H19" i="4" s="1"/>
  <c r="I25" i="18"/>
  <c r="D27" i="4" s="1"/>
  <c r="AO33" i="18"/>
  <c r="H35" i="4" s="1"/>
  <c r="Y38" i="18"/>
  <c r="F40" i="4" s="1"/>
  <c r="AO41" i="18"/>
  <c r="H43" i="4" s="1"/>
  <c r="AO80" i="18"/>
  <c r="H82" i="4" s="1"/>
  <c r="Q135" i="18"/>
  <c r="E137" i="4" s="1"/>
  <c r="BE264" i="18"/>
  <c r="J266" i="4" s="1"/>
  <c r="Y266" i="18"/>
  <c r="F268" i="4" s="1"/>
  <c r="Y7" i="18"/>
  <c r="F9" i="4" s="1"/>
  <c r="Q8" i="18"/>
  <c r="E10" i="4" s="1"/>
  <c r="Y15" i="18"/>
  <c r="F17" i="4" s="1"/>
  <c r="Q16" i="18"/>
  <c r="E18" i="4" s="1"/>
  <c r="Y23" i="18"/>
  <c r="F25" i="4" s="1"/>
  <c r="Q24" i="18"/>
  <c r="E26" i="4" s="1"/>
  <c r="Y31" i="18"/>
  <c r="F33" i="4" s="1"/>
  <c r="Q32" i="18"/>
  <c r="E34" i="4" s="1"/>
  <c r="Y39" i="18"/>
  <c r="F41" i="4" s="1"/>
  <c r="Q40" i="18"/>
  <c r="E42" i="4" s="1"/>
  <c r="BE98" i="18"/>
  <c r="J100" i="4" s="1"/>
  <c r="BE97" i="18"/>
  <c r="J99" i="4" s="1"/>
  <c r="BE132" i="18"/>
  <c r="J134" i="4" s="1"/>
  <c r="BE133" i="18"/>
  <c r="J135" i="4" s="1"/>
  <c r="I232" i="18"/>
  <c r="D234" i="4" s="1"/>
  <c r="AO232" i="18"/>
  <c r="H234" i="4" s="1"/>
  <c r="I236" i="18"/>
  <c r="D238" i="4" s="1"/>
  <c r="AO236" i="18"/>
  <c r="H238" i="4" s="1"/>
  <c r="AO237" i="18"/>
  <c r="H239" i="4" s="1"/>
  <c r="I240" i="18"/>
  <c r="D242" i="4" s="1"/>
  <c r="AO240" i="18"/>
  <c r="H242" i="4" s="1"/>
  <c r="AO241" i="18"/>
  <c r="H243" i="4" s="1"/>
  <c r="AO243" i="18"/>
  <c r="H245" i="4" s="1"/>
  <c r="AO242" i="18"/>
  <c r="H244" i="4" s="1"/>
  <c r="Q384" i="18"/>
  <c r="E386" i="4" s="1"/>
  <c r="K387" i="4"/>
  <c r="K388" i="4"/>
  <c r="K395" i="4"/>
  <c r="K396" i="4"/>
  <c r="AO9" i="18"/>
  <c r="H11" i="4" s="1"/>
  <c r="Y14" i="18"/>
  <c r="F16" i="4" s="1"/>
  <c r="I18" i="18"/>
  <c r="D20" i="4" s="1"/>
  <c r="I26" i="18"/>
  <c r="D28" i="4" s="1"/>
  <c r="I34" i="18"/>
  <c r="D36" i="4" s="1"/>
  <c r="BE268" i="18"/>
  <c r="J270" i="4" s="1"/>
  <c r="K403" i="4"/>
  <c r="Q406" i="18"/>
  <c r="E408" i="4" s="1"/>
  <c r="I6" i="18"/>
  <c r="D8" i="4" s="1"/>
  <c r="Y8" i="18"/>
  <c r="F10" i="4" s="1"/>
  <c r="Y10" i="18"/>
  <c r="F12" i="4" s="1"/>
  <c r="I13" i="18"/>
  <c r="D15" i="4" s="1"/>
  <c r="AO13" i="18"/>
  <c r="H15" i="4" s="1"/>
  <c r="I14" i="18"/>
  <c r="D16" i="4" s="1"/>
  <c r="Y16" i="18"/>
  <c r="F18" i="4" s="1"/>
  <c r="Y18" i="18"/>
  <c r="F20" i="4" s="1"/>
  <c r="Q19" i="18"/>
  <c r="E21" i="4" s="1"/>
  <c r="AO20" i="18"/>
  <c r="H22" i="4" s="1"/>
  <c r="I21" i="18"/>
  <c r="D23" i="4" s="1"/>
  <c r="AO21" i="18"/>
  <c r="H23" i="4" s="1"/>
  <c r="I22" i="18"/>
  <c r="D24" i="4" s="1"/>
  <c r="Y24" i="18"/>
  <c r="F26" i="4" s="1"/>
  <c r="Y26" i="18"/>
  <c r="F28" i="4" s="1"/>
  <c r="I29" i="18"/>
  <c r="D31" i="4" s="1"/>
  <c r="AO29" i="18"/>
  <c r="H31" i="4" s="1"/>
  <c r="I30" i="18"/>
  <c r="D32" i="4" s="1"/>
  <c r="Y32" i="18"/>
  <c r="F34" i="4" s="1"/>
  <c r="Q35" i="18"/>
  <c r="E37" i="4" s="1"/>
  <c r="AO36" i="18"/>
  <c r="H38" i="4" s="1"/>
  <c r="I37" i="18"/>
  <c r="D39" i="4" s="1"/>
  <c r="AO37" i="18"/>
  <c r="H39" i="4" s="1"/>
  <c r="I38" i="18"/>
  <c r="D40" i="4" s="1"/>
  <c r="Y40" i="18"/>
  <c r="F42" i="4" s="1"/>
  <c r="Y42" i="18"/>
  <c r="F44" i="4" s="1"/>
  <c r="BE78" i="18"/>
  <c r="J80" i="4" s="1"/>
  <c r="BE77" i="18"/>
  <c r="J79" i="4" s="1"/>
  <c r="Q87" i="18"/>
  <c r="E89" i="4" s="1"/>
  <c r="BE106" i="18"/>
  <c r="J108" i="4" s="1"/>
  <c r="BE105" i="18"/>
  <c r="J107" i="4" s="1"/>
  <c r="Q119" i="18"/>
  <c r="E121" i="4" s="1"/>
  <c r="AO124" i="18"/>
  <c r="H126" i="4" s="1"/>
  <c r="BE170" i="18"/>
  <c r="J172" i="4" s="1"/>
  <c r="I9" i="18"/>
  <c r="D11" i="4" s="1"/>
  <c r="I17" i="18"/>
  <c r="D19" i="4" s="1"/>
  <c r="Y22" i="18"/>
  <c r="F24" i="4" s="1"/>
  <c r="AO25" i="18"/>
  <c r="H27" i="4" s="1"/>
  <c r="I33" i="18"/>
  <c r="D35" i="4" s="1"/>
  <c r="I42" i="18"/>
  <c r="D44" i="4" s="1"/>
  <c r="AO108" i="18"/>
  <c r="H110" i="4" s="1"/>
  <c r="Y265" i="18"/>
  <c r="F267" i="4" s="1"/>
  <c r="Q398" i="18"/>
  <c r="E400" i="4" s="1"/>
  <c r="Q407" i="18"/>
  <c r="E409" i="4" s="1"/>
  <c r="Q4" i="18"/>
  <c r="E6" i="4" s="1"/>
  <c r="Q67" i="18"/>
  <c r="E69" i="4" s="1"/>
  <c r="AO72" i="18"/>
  <c r="H74" i="4" s="1"/>
  <c r="BE85" i="18"/>
  <c r="J87" i="4" s="1"/>
  <c r="AO100" i="18"/>
  <c r="H102" i="4" s="1"/>
  <c r="BE116" i="18"/>
  <c r="J118" i="4" s="1"/>
  <c r="BE117" i="18"/>
  <c r="J119" i="4" s="1"/>
  <c r="BE148" i="18"/>
  <c r="J150" i="4" s="1"/>
  <c r="BE151" i="18"/>
  <c r="J153" i="4" s="1"/>
  <c r="AO165" i="18"/>
  <c r="H167" i="4" s="1"/>
  <c r="AO286" i="18"/>
  <c r="H288" i="4" s="1"/>
  <c r="I289" i="18"/>
  <c r="D291" i="4" s="1"/>
  <c r="AO290" i="18"/>
  <c r="H292" i="4" s="1"/>
  <c r="K303" i="4"/>
  <c r="AG302" i="18"/>
  <c r="G304" i="4" s="1"/>
  <c r="K305" i="4"/>
  <c r="AG304" i="18"/>
  <c r="G306" i="4" s="1"/>
  <c r="K306" i="4"/>
  <c r="K391" i="4"/>
  <c r="K392" i="4"/>
  <c r="Q43" i="18"/>
  <c r="E45" i="4" s="1"/>
  <c r="AO44" i="18"/>
  <c r="H46" i="4" s="1"/>
  <c r="AO45" i="18"/>
  <c r="H47" i="4" s="1"/>
  <c r="I46" i="18"/>
  <c r="D48" i="4" s="1"/>
  <c r="Y48" i="18"/>
  <c r="F50" i="4" s="1"/>
  <c r="Y50" i="18"/>
  <c r="F52" i="4" s="1"/>
  <c r="Q51" i="18"/>
  <c r="E53" i="4" s="1"/>
  <c r="AO52" i="18"/>
  <c r="H54" i="4" s="1"/>
  <c r="AO53" i="18"/>
  <c r="H55" i="4" s="1"/>
  <c r="I54" i="18"/>
  <c r="D56" i="4" s="1"/>
  <c r="Y56" i="18"/>
  <c r="F58" i="4" s="1"/>
  <c r="Y58" i="18"/>
  <c r="F60" i="4" s="1"/>
  <c r="Q59" i="18"/>
  <c r="E61" i="4" s="1"/>
  <c r="AO60" i="18"/>
  <c r="H62" i="4" s="1"/>
  <c r="I61" i="18"/>
  <c r="D63" i="4" s="1"/>
  <c r="AO61" i="18"/>
  <c r="H63" i="4" s="1"/>
  <c r="I62" i="18"/>
  <c r="D64" i="4" s="1"/>
  <c r="Y64" i="18"/>
  <c r="F66" i="4" s="1"/>
  <c r="Y66" i="18"/>
  <c r="F68" i="4" s="1"/>
  <c r="BE66" i="18"/>
  <c r="J68" i="4" s="1"/>
  <c r="Q71" i="18"/>
  <c r="E73" i="4" s="1"/>
  <c r="Y78" i="18"/>
  <c r="F80" i="4" s="1"/>
  <c r="Q79" i="18"/>
  <c r="E81" i="4" s="1"/>
  <c r="Y86" i="18"/>
  <c r="F88" i="4" s="1"/>
  <c r="BE86" i="18"/>
  <c r="J88" i="4" s="1"/>
  <c r="AO92" i="18"/>
  <c r="H94" i="4" s="1"/>
  <c r="Y98" i="18"/>
  <c r="F100" i="4" s="1"/>
  <c r="Q99" i="18"/>
  <c r="E101" i="4" s="1"/>
  <c r="Y106" i="18"/>
  <c r="F108" i="4" s="1"/>
  <c r="Q107" i="18"/>
  <c r="E109" i="4" s="1"/>
  <c r="AO112" i="18"/>
  <c r="H114" i="4" s="1"/>
  <c r="Y118" i="18"/>
  <c r="F120" i="4" s="1"/>
  <c r="BE118" i="18"/>
  <c r="J120" i="4" s="1"/>
  <c r="BE120" i="18"/>
  <c r="J122" i="4" s="1"/>
  <c r="Q123" i="18"/>
  <c r="E125" i="4" s="1"/>
  <c r="AO128" i="18"/>
  <c r="H130" i="4" s="1"/>
  <c r="Y134" i="18"/>
  <c r="F136" i="4" s="1"/>
  <c r="BE134" i="18"/>
  <c r="J136" i="4" s="1"/>
  <c r="BE136" i="18"/>
  <c r="J138" i="4" s="1"/>
  <c r="Q139" i="18"/>
  <c r="E141" i="4" s="1"/>
  <c r="I166" i="18"/>
  <c r="D168" i="4" s="1"/>
  <c r="AO166" i="18"/>
  <c r="H168" i="4" s="1"/>
  <c r="K171" i="4"/>
  <c r="Y171" i="18"/>
  <c r="F173" i="4" s="1"/>
  <c r="BE171" i="18"/>
  <c r="J173" i="4" s="1"/>
  <c r="I252" i="18"/>
  <c r="D254" i="4" s="1"/>
  <c r="AO252" i="18"/>
  <c r="H254" i="4" s="1"/>
  <c r="AO253" i="18"/>
  <c r="H255" i="4" s="1"/>
  <c r="I256" i="18"/>
  <c r="D258" i="4" s="1"/>
  <c r="AO256" i="18"/>
  <c r="H258" i="4" s="1"/>
  <c r="AO257" i="18"/>
  <c r="H259" i="4" s="1"/>
  <c r="AO259" i="18"/>
  <c r="H261" i="4" s="1"/>
  <c r="AO258" i="18"/>
  <c r="H260" i="4" s="1"/>
  <c r="BE274" i="18"/>
  <c r="J276" i="4" s="1"/>
  <c r="Y282" i="18"/>
  <c r="F284" i="4" s="1"/>
  <c r="Q295" i="18"/>
  <c r="E297" i="4" s="1"/>
  <c r="AW295" i="18"/>
  <c r="I297" i="4" s="1"/>
  <c r="Q296" i="18"/>
  <c r="E298" i="4" s="1"/>
  <c r="AG382" i="18"/>
  <c r="G384" i="4" s="1"/>
  <c r="AG396" i="18"/>
  <c r="G398" i="4" s="1"/>
  <c r="AG404" i="18"/>
  <c r="G406" i="4" s="1"/>
  <c r="Q413" i="18"/>
  <c r="E415" i="4" s="1"/>
  <c r="Y70" i="18"/>
  <c r="F72" i="4" s="1"/>
  <c r="BE70" i="18"/>
  <c r="J72" i="4" s="1"/>
  <c r="AO76" i="18"/>
  <c r="H78" i="4" s="1"/>
  <c r="AO84" i="18"/>
  <c r="H86" i="4" s="1"/>
  <c r="AO96" i="18"/>
  <c r="H98" i="4" s="1"/>
  <c r="AO104" i="18"/>
  <c r="H106" i="4" s="1"/>
  <c r="BE108" i="18"/>
  <c r="J110" i="4" s="1"/>
  <c r="Q111" i="18"/>
  <c r="E113" i="4" s="1"/>
  <c r="AO116" i="18"/>
  <c r="H118" i="4" s="1"/>
  <c r="BE124" i="18"/>
  <c r="J126" i="4" s="1"/>
  <c r="Q127" i="18"/>
  <c r="E129" i="4" s="1"/>
  <c r="AO132" i="18"/>
  <c r="H134" i="4" s="1"/>
  <c r="BE140" i="18"/>
  <c r="J142" i="4" s="1"/>
  <c r="Q143" i="18"/>
  <c r="E145" i="4" s="1"/>
  <c r="I150" i="18"/>
  <c r="D152" i="4" s="1"/>
  <c r="I153" i="18"/>
  <c r="D155" i="4" s="1"/>
  <c r="AO153" i="18"/>
  <c r="H155" i="4" s="1"/>
  <c r="I154" i="18"/>
  <c r="D156" i="4" s="1"/>
  <c r="BE163" i="18"/>
  <c r="J165" i="4" s="1"/>
  <c r="K179" i="4"/>
  <c r="AG180" i="18"/>
  <c r="G182" i="4" s="1"/>
  <c r="Y226" i="18"/>
  <c r="F228" i="4" s="1"/>
  <c r="BE227" i="18"/>
  <c r="J229" i="4" s="1"/>
  <c r="BE228" i="18"/>
  <c r="J230" i="4" s="1"/>
  <c r="Y229" i="18"/>
  <c r="F231" i="4" s="1"/>
  <c r="BE230" i="18"/>
  <c r="J232" i="4" s="1"/>
  <c r="BE229" i="18"/>
  <c r="J231" i="4" s="1"/>
  <c r="BE243" i="18"/>
  <c r="J245" i="4" s="1"/>
  <c r="BE244" i="18"/>
  <c r="J246" i="4" s="1"/>
  <c r="Y245" i="18"/>
  <c r="F247" i="4" s="1"/>
  <c r="AO270" i="18"/>
  <c r="H272" i="4" s="1"/>
  <c r="AO272" i="18"/>
  <c r="H274" i="4" s="1"/>
  <c r="I273" i="18"/>
  <c r="D275" i="4" s="1"/>
  <c r="AO273" i="18"/>
  <c r="H275" i="4" s="1"/>
  <c r="BE284" i="18"/>
  <c r="J286" i="4" s="1"/>
  <c r="Y295" i="18"/>
  <c r="F297" i="4" s="1"/>
  <c r="Q307" i="18"/>
  <c r="E309" i="4" s="1"/>
  <c r="AW307" i="18"/>
  <c r="I309" i="4" s="1"/>
  <c r="AG310" i="18"/>
  <c r="G312" i="4" s="1"/>
  <c r="Q315" i="18"/>
  <c r="E317" i="4" s="1"/>
  <c r="AW315" i="18"/>
  <c r="I317" i="4" s="1"/>
  <c r="Q380" i="18"/>
  <c r="E382" i="4" s="1"/>
  <c r="AW380" i="18"/>
  <c r="I382" i="4" s="1"/>
  <c r="K385" i="4"/>
  <c r="K399" i="4"/>
  <c r="Q402" i="18"/>
  <c r="E404" i="4" s="1"/>
  <c r="K407" i="4"/>
  <c r="BE414" i="18"/>
  <c r="J416" i="4" s="1"/>
  <c r="BE415" i="18"/>
  <c r="J417" i="4" s="1"/>
  <c r="Y44" i="18"/>
  <c r="F46" i="4" s="1"/>
  <c r="Y46" i="18"/>
  <c r="F48" i="4" s="1"/>
  <c r="Q47" i="18"/>
  <c r="E49" i="4" s="1"/>
  <c r="AO48" i="18"/>
  <c r="H50" i="4" s="1"/>
  <c r="AO49" i="18"/>
  <c r="H51" i="4" s="1"/>
  <c r="I50" i="18"/>
  <c r="D52" i="4" s="1"/>
  <c r="Y52" i="18"/>
  <c r="F54" i="4" s="1"/>
  <c r="Y54" i="18"/>
  <c r="F56" i="4" s="1"/>
  <c r="Q55" i="18"/>
  <c r="E57" i="4" s="1"/>
  <c r="AO56" i="18"/>
  <c r="H58" i="4" s="1"/>
  <c r="I57" i="18"/>
  <c r="D59" i="4" s="1"/>
  <c r="AO57" i="18"/>
  <c r="H59" i="4" s="1"/>
  <c r="I58" i="18"/>
  <c r="D60" i="4" s="1"/>
  <c r="Y60" i="18"/>
  <c r="F62" i="4" s="1"/>
  <c r="Y62" i="18"/>
  <c r="F64" i="4" s="1"/>
  <c r="Q63" i="18"/>
  <c r="E65" i="4" s="1"/>
  <c r="AO64" i="18"/>
  <c r="H66" i="4" s="1"/>
  <c r="I66" i="18"/>
  <c r="D68" i="4" s="1"/>
  <c r="Y74" i="18"/>
  <c r="F76" i="4" s="1"/>
  <c r="Q75" i="18"/>
  <c r="E77" i="4" s="1"/>
  <c r="Y82" i="18"/>
  <c r="F84" i="4" s="1"/>
  <c r="Q83" i="18"/>
  <c r="E85" i="4" s="1"/>
  <c r="AO88" i="18"/>
  <c r="H90" i="4" s="1"/>
  <c r="AO89" i="18"/>
  <c r="H91" i="4" s="1"/>
  <c r="Y91" i="18"/>
  <c r="F93" i="4" s="1"/>
  <c r="BE91" i="18"/>
  <c r="J93" i="4" s="1"/>
  <c r="Q95" i="18"/>
  <c r="E97" i="4" s="1"/>
  <c r="Y102" i="18"/>
  <c r="F104" i="4" s="1"/>
  <c r="Q103" i="18"/>
  <c r="E105" i="4" s="1"/>
  <c r="Y110" i="18"/>
  <c r="F112" i="4" s="1"/>
  <c r="BE110" i="18"/>
  <c r="J112" i="4" s="1"/>
  <c r="BE112" i="18"/>
  <c r="J114" i="4" s="1"/>
  <c r="Q115" i="18"/>
  <c r="E117" i="4" s="1"/>
  <c r="AO120" i="18"/>
  <c r="H122" i="4" s="1"/>
  <c r="Y126" i="18"/>
  <c r="F128" i="4" s="1"/>
  <c r="BE126" i="18"/>
  <c r="J128" i="4" s="1"/>
  <c r="BE128" i="18"/>
  <c r="J130" i="4" s="1"/>
  <c r="Q131" i="18"/>
  <c r="E133" i="4" s="1"/>
  <c r="AO136" i="18"/>
  <c r="H138" i="4" s="1"/>
  <c r="Y142" i="18"/>
  <c r="F144" i="4" s="1"/>
  <c r="BE142" i="18"/>
  <c r="J144" i="4" s="1"/>
  <c r="BE144" i="18"/>
  <c r="J146" i="4" s="1"/>
  <c r="Q147" i="18"/>
  <c r="E149" i="4" s="1"/>
  <c r="I173" i="18"/>
  <c r="D175" i="4" s="1"/>
  <c r="AO173" i="18"/>
  <c r="H175" i="4" s="1"/>
  <c r="AO174" i="18"/>
  <c r="H176" i="4" s="1"/>
  <c r="I175" i="18"/>
  <c r="D177" i="4" s="1"/>
  <c r="AO175" i="18"/>
  <c r="H177" i="4" s="1"/>
  <c r="I177" i="18"/>
  <c r="D179" i="4" s="1"/>
  <c r="AO177" i="18"/>
  <c r="H179" i="4" s="1"/>
  <c r="AO178" i="18"/>
  <c r="H180" i="4" s="1"/>
  <c r="I179" i="18"/>
  <c r="D181" i="4" s="1"/>
  <c r="AO179" i="18"/>
  <c r="H181" i="4" s="1"/>
  <c r="BE245" i="18"/>
  <c r="J247" i="4" s="1"/>
  <c r="BE247" i="18"/>
  <c r="J249" i="4" s="1"/>
  <c r="BE248" i="18"/>
  <c r="J250" i="4" s="1"/>
  <c r="BE250" i="18"/>
  <c r="J252" i="4" s="1"/>
  <c r="BE249" i="18"/>
  <c r="J251" i="4" s="1"/>
  <c r="BE259" i="18"/>
  <c r="J261" i="4" s="1"/>
  <c r="BE260" i="18"/>
  <c r="J262" i="4" s="1"/>
  <c r="Y261" i="18"/>
  <c r="F263" i="4" s="1"/>
  <c r="BE262" i="18"/>
  <c r="J264" i="4" s="1"/>
  <c r="Y279" i="18"/>
  <c r="F281" i="4" s="1"/>
  <c r="BE279" i="18"/>
  <c r="J281" i="4" s="1"/>
  <c r="K294" i="4"/>
  <c r="K299" i="4"/>
  <c r="AG298" i="18"/>
  <c r="G300" i="4" s="1"/>
  <c r="Y303" i="18"/>
  <c r="F305" i="4" s="1"/>
  <c r="Y307" i="18"/>
  <c r="F309" i="4" s="1"/>
  <c r="Y315" i="18"/>
  <c r="F317" i="4" s="1"/>
  <c r="K390" i="4"/>
  <c r="K394" i="4"/>
  <c r="AG400" i="18"/>
  <c r="G402" i="4" s="1"/>
  <c r="I408" i="18"/>
  <c r="D410" i="4" s="1"/>
  <c r="I410" i="18"/>
  <c r="D412" i="4" s="1"/>
  <c r="Q152" i="18"/>
  <c r="E154" i="4" s="1"/>
  <c r="I158" i="18"/>
  <c r="D160" i="4" s="1"/>
  <c r="Y164" i="18"/>
  <c r="F166" i="4" s="1"/>
  <c r="BE164" i="18"/>
  <c r="J166" i="4" s="1"/>
  <c r="AW165" i="18"/>
  <c r="I167" i="4" s="1"/>
  <c r="I169" i="18"/>
  <c r="D171" i="4" s="1"/>
  <c r="Y172" i="18"/>
  <c r="F174" i="4" s="1"/>
  <c r="Y174" i="18"/>
  <c r="F176" i="4" s="1"/>
  <c r="BE174" i="18"/>
  <c r="J176" i="4" s="1"/>
  <c r="AO225" i="18"/>
  <c r="H227" i="4" s="1"/>
  <c r="BE231" i="18"/>
  <c r="J233" i="4" s="1"/>
  <c r="BE232" i="18"/>
  <c r="J234" i="4" s="1"/>
  <c r="Y233" i="18"/>
  <c r="F235" i="4" s="1"/>
  <c r="Y234" i="18"/>
  <c r="F236" i="4" s="1"/>
  <c r="BE235" i="18"/>
  <c r="J237" i="4" s="1"/>
  <c r="BE236" i="18"/>
  <c r="J238" i="4" s="1"/>
  <c r="Y237" i="18"/>
  <c r="F239" i="4" s="1"/>
  <c r="Y238" i="18"/>
  <c r="F240" i="4" s="1"/>
  <c r="I244" i="18"/>
  <c r="D246" i="4" s="1"/>
  <c r="AO244" i="18"/>
  <c r="H246" i="4" s="1"/>
  <c r="AO245" i="18"/>
  <c r="H247" i="4" s="1"/>
  <c r="Y250" i="18"/>
  <c r="F252" i="4" s="1"/>
  <c r="BE251" i="18"/>
  <c r="J253" i="4" s="1"/>
  <c r="BE252" i="18"/>
  <c r="J254" i="4" s="1"/>
  <c r="Y253" i="18"/>
  <c r="F255" i="4" s="1"/>
  <c r="Y254" i="18"/>
  <c r="F256" i="4" s="1"/>
  <c r="I260" i="18"/>
  <c r="D262" i="4" s="1"/>
  <c r="AO260" i="18"/>
  <c r="H262" i="4" s="1"/>
  <c r="AO261" i="18"/>
  <c r="H263" i="4" s="1"/>
  <c r="Y269" i="18"/>
  <c r="F271" i="4" s="1"/>
  <c r="Y271" i="18"/>
  <c r="F273" i="4" s="1"/>
  <c r="BE271" i="18"/>
  <c r="J273" i="4" s="1"/>
  <c r="I277" i="18"/>
  <c r="D279" i="4" s="1"/>
  <c r="AO278" i="18"/>
  <c r="H280" i="4" s="1"/>
  <c r="BE281" i="18"/>
  <c r="J283" i="4" s="1"/>
  <c r="Y285" i="18"/>
  <c r="F287" i="4" s="1"/>
  <c r="Y287" i="18"/>
  <c r="F289" i="4" s="1"/>
  <c r="K295" i="4"/>
  <c r="AG294" i="18"/>
  <c r="G296" i="4" s="1"/>
  <c r="Q297" i="18"/>
  <c r="E299" i="4" s="1"/>
  <c r="K307" i="4"/>
  <c r="K309" i="4"/>
  <c r="Q309" i="18"/>
  <c r="E311" i="4" s="1"/>
  <c r="Q311" i="18"/>
  <c r="E313" i="4" s="1"/>
  <c r="AG312" i="18"/>
  <c r="G314" i="4" s="1"/>
  <c r="K315" i="4"/>
  <c r="AG314" i="18"/>
  <c r="G316" i="4" s="1"/>
  <c r="Y380" i="18"/>
  <c r="F382" i="4" s="1"/>
  <c r="BE380" i="18"/>
  <c r="J382" i="4" s="1"/>
  <c r="Q381" i="18"/>
  <c r="E383" i="4" s="1"/>
  <c r="Q385" i="18"/>
  <c r="E387" i="4" s="1"/>
  <c r="Q387" i="18"/>
  <c r="E389" i="4" s="1"/>
  <c r="Q389" i="18"/>
  <c r="E391" i="4" s="1"/>
  <c r="Q391" i="18"/>
  <c r="E393" i="4" s="1"/>
  <c r="Q393" i="18"/>
  <c r="E395" i="4" s="1"/>
  <c r="AG395" i="18"/>
  <c r="G397" i="4" s="1"/>
  <c r="Q395" i="18"/>
  <c r="E397" i="4" s="1"/>
  <c r="Q399" i="18"/>
  <c r="E401" i="4" s="1"/>
  <c r="Q403" i="18"/>
  <c r="E405" i="4" s="1"/>
  <c r="AO410" i="18"/>
  <c r="H412" i="4" s="1"/>
  <c r="BE416" i="18"/>
  <c r="J418" i="4" s="1"/>
  <c r="AO144" i="18"/>
  <c r="H146" i="4" s="1"/>
  <c r="Y152" i="18"/>
  <c r="F154" i="4" s="1"/>
  <c r="BE152" i="18"/>
  <c r="J154" i="4" s="1"/>
  <c r="I162" i="18"/>
  <c r="D164" i="4" s="1"/>
  <c r="BE165" i="18"/>
  <c r="J167" i="4" s="1"/>
  <c r="Q168" i="18"/>
  <c r="E170" i="4" s="1"/>
  <c r="AW168" i="18"/>
  <c r="I170" i="4" s="1"/>
  <c r="K175" i="4"/>
  <c r="Y176" i="18"/>
  <c r="F178" i="4" s="1"/>
  <c r="Y178" i="18"/>
  <c r="F180" i="4" s="1"/>
  <c r="BE178" i="18"/>
  <c r="J180" i="4" s="1"/>
  <c r="AW224" i="18"/>
  <c r="I226" i="4" s="1"/>
  <c r="AO226" i="18"/>
  <c r="H228" i="4" s="1"/>
  <c r="I228" i="18"/>
  <c r="D230" i="4" s="1"/>
  <c r="AO228" i="18"/>
  <c r="H230" i="4" s="1"/>
  <c r="AO229" i="18"/>
  <c r="H231" i="4" s="1"/>
  <c r="Y239" i="18"/>
  <c r="F241" i="4" s="1"/>
  <c r="BE239" i="18"/>
  <c r="J241" i="4" s="1"/>
  <c r="Y241" i="18"/>
  <c r="F243" i="4" s="1"/>
  <c r="BE242" i="18"/>
  <c r="J244" i="4" s="1"/>
  <c r="Y242" i="18"/>
  <c r="F244" i="4" s="1"/>
  <c r="I248" i="18"/>
  <c r="D250" i="4" s="1"/>
  <c r="AO248" i="18"/>
  <c r="H250" i="4" s="1"/>
  <c r="Y255" i="18"/>
  <c r="F257" i="4" s="1"/>
  <c r="BE255" i="18"/>
  <c r="J257" i="4" s="1"/>
  <c r="Y257" i="18"/>
  <c r="F259" i="4" s="1"/>
  <c r="BE258" i="18"/>
  <c r="J260" i="4" s="1"/>
  <c r="Y258" i="18"/>
  <c r="F260" i="4" s="1"/>
  <c r="I264" i="18"/>
  <c r="D266" i="4" s="1"/>
  <c r="AO264" i="18"/>
  <c r="H266" i="4" s="1"/>
  <c r="I268" i="18"/>
  <c r="D270" i="4" s="1"/>
  <c r="Y273" i="18"/>
  <c r="F275" i="4" s="1"/>
  <c r="AO274" i="18"/>
  <c r="H276" i="4" s="1"/>
  <c r="BE275" i="18"/>
  <c r="J277" i="4" s="1"/>
  <c r="AO280" i="18"/>
  <c r="H282" i="4" s="1"/>
  <c r="I281" i="18"/>
  <c r="D283" i="4" s="1"/>
  <c r="Y289" i="18"/>
  <c r="F291" i="4" s="1"/>
  <c r="BE289" i="18"/>
  <c r="J291" i="4" s="1"/>
  <c r="Y291" i="18"/>
  <c r="F293" i="4" s="1"/>
  <c r="Y299" i="18"/>
  <c r="F301" i="4" s="1"/>
  <c r="AW299" i="18"/>
  <c r="I301" i="4" s="1"/>
  <c r="Q301" i="18"/>
  <c r="E303" i="4" s="1"/>
  <c r="Q303" i="18"/>
  <c r="E305" i="4" s="1"/>
  <c r="AW303" i="18"/>
  <c r="I305" i="4" s="1"/>
  <c r="AG308" i="18"/>
  <c r="G310" i="4" s="1"/>
  <c r="Y311" i="18"/>
  <c r="F313" i="4" s="1"/>
  <c r="AW311" i="18"/>
  <c r="I313" i="4" s="1"/>
  <c r="AG316" i="18"/>
  <c r="G318" i="4" s="1"/>
  <c r="AG381" i="18"/>
  <c r="G383" i="4" s="1"/>
  <c r="Q382" i="18"/>
  <c r="E384" i="4" s="1"/>
  <c r="AG394" i="18"/>
  <c r="G396" i="4" s="1"/>
  <c r="Q396" i="18"/>
  <c r="E398" i="4" s="1"/>
  <c r="AG399" i="18"/>
  <c r="G401" i="4" s="1"/>
  <c r="Q400" i="18"/>
  <c r="E402" i="4" s="1"/>
  <c r="AG403" i="18"/>
  <c r="G405" i="4" s="1"/>
  <c r="Q404" i="18"/>
  <c r="E406" i="4" s="1"/>
  <c r="Y409" i="18"/>
  <c r="F411" i="4" s="1"/>
  <c r="BE409" i="18"/>
  <c r="J411" i="4" s="1"/>
  <c r="Q411" i="18"/>
  <c r="E413" i="4" s="1"/>
  <c r="AO412" i="18"/>
  <c r="H414" i="4" s="1"/>
  <c r="AO414" i="18"/>
  <c r="H416" i="4" s="1"/>
  <c r="BE76" i="18"/>
  <c r="J78" i="4" s="1"/>
  <c r="BE75" i="18"/>
  <c r="J77" i="4" s="1"/>
  <c r="I81" i="18"/>
  <c r="D83" i="4" s="1"/>
  <c r="BE92" i="18"/>
  <c r="J94" i="4" s="1"/>
  <c r="Y5" i="18"/>
  <c r="F7" i="4" s="1"/>
  <c r="BE8" i="18"/>
  <c r="J10" i="4" s="1"/>
  <c r="Y9" i="18"/>
  <c r="F11" i="4" s="1"/>
  <c r="BE12" i="18"/>
  <c r="J14" i="4" s="1"/>
  <c r="Y13" i="18"/>
  <c r="F15" i="4" s="1"/>
  <c r="BE16" i="18"/>
  <c r="J18" i="4" s="1"/>
  <c r="Y17" i="18"/>
  <c r="F19" i="4" s="1"/>
  <c r="BE20" i="18"/>
  <c r="J22" i="4" s="1"/>
  <c r="Y21" i="18"/>
  <c r="F23" i="4" s="1"/>
  <c r="BE24" i="18"/>
  <c r="J26" i="4" s="1"/>
  <c r="Y25" i="18"/>
  <c r="F27" i="4" s="1"/>
  <c r="BE28" i="18"/>
  <c r="J30" i="4" s="1"/>
  <c r="Y29" i="18"/>
  <c r="F31" i="4" s="1"/>
  <c r="BE32" i="18"/>
  <c r="J34" i="4" s="1"/>
  <c r="Y33" i="18"/>
  <c r="F35" i="4" s="1"/>
  <c r="BE36" i="18"/>
  <c r="J38" i="4" s="1"/>
  <c r="Y37" i="18"/>
  <c r="F39" i="4" s="1"/>
  <c r="BE40" i="18"/>
  <c r="J42" i="4" s="1"/>
  <c r="Y41" i="18"/>
  <c r="F43" i="4" s="1"/>
  <c r="BE44" i="18"/>
  <c r="J46" i="4" s="1"/>
  <c r="Y45" i="18"/>
  <c r="F47" i="4" s="1"/>
  <c r="BE48" i="18"/>
  <c r="J50" i="4" s="1"/>
  <c r="Y49" i="18"/>
  <c r="F51" i="4" s="1"/>
  <c r="BE52" i="18"/>
  <c r="J54" i="4" s="1"/>
  <c r="Y53" i="18"/>
  <c r="F55" i="4" s="1"/>
  <c r="BE56" i="18"/>
  <c r="J58" i="4" s="1"/>
  <c r="Y57" i="18"/>
  <c r="F59" i="4" s="1"/>
  <c r="BE60" i="18"/>
  <c r="J62" i="4" s="1"/>
  <c r="Y61" i="18"/>
  <c r="F63" i="4" s="1"/>
  <c r="BE64" i="18"/>
  <c r="J66" i="4" s="1"/>
  <c r="Y65" i="18"/>
  <c r="F67" i="4" s="1"/>
  <c r="BE69" i="18"/>
  <c r="J71" i="4" s="1"/>
  <c r="Q72" i="18"/>
  <c r="E74" i="4" s="1"/>
  <c r="Q80" i="18"/>
  <c r="E82" i="4" s="1"/>
  <c r="Q88" i="18"/>
  <c r="E90" i="4" s="1"/>
  <c r="Q96" i="18"/>
  <c r="E98" i="4" s="1"/>
  <c r="Q104" i="18"/>
  <c r="E106" i="4" s="1"/>
  <c r="BE111" i="18"/>
  <c r="J113" i="4" s="1"/>
  <c r="BE127" i="18"/>
  <c r="J129" i="4" s="1"/>
  <c r="BE143" i="18"/>
  <c r="J145" i="4" s="1"/>
  <c r="Y246" i="18"/>
  <c r="F248" i="4" s="1"/>
  <c r="Y247" i="18"/>
  <c r="F249" i="4" s="1"/>
  <c r="Y262" i="18"/>
  <c r="F264" i="4" s="1"/>
  <c r="Y263" i="18"/>
  <c r="F265" i="4" s="1"/>
  <c r="AO73" i="18"/>
  <c r="H75" i="4" s="1"/>
  <c r="BE84" i="18"/>
  <c r="J86" i="4" s="1"/>
  <c r="AO97" i="18"/>
  <c r="H99" i="4" s="1"/>
  <c r="I105" i="18"/>
  <c r="D107" i="4" s="1"/>
  <c r="AO233" i="18"/>
  <c r="H235" i="4" s="1"/>
  <c r="AO234" i="18"/>
  <c r="H236" i="4" s="1"/>
  <c r="Y283" i="18"/>
  <c r="F285" i="4" s="1"/>
  <c r="Y284" i="18"/>
  <c r="F286" i="4" s="1"/>
  <c r="AG4" i="18"/>
  <c r="G6" i="4" s="1"/>
  <c r="Y6" i="18"/>
  <c r="F8" i="4" s="1"/>
  <c r="Q7" i="18"/>
  <c r="E9" i="4" s="1"/>
  <c r="AO8" i="18"/>
  <c r="H10" i="4" s="1"/>
  <c r="Q11" i="18"/>
  <c r="E13" i="4" s="1"/>
  <c r="AO12" i="18"/>
  <c r="H14" i="4" s="1"/>
  <c r="Q15" i="18"/>
  <c r="E17" i="4" s="1"/>
  <c r="AO16" i="18"/>
  <c r="H18" i="4" s="1"/>
  <c r="AO24" i="18"/>
  <c r="H26" i="4" s="1"/>
  <c r="Q27" i="18"/>
  <c r="E29" i="4" s="1"/>
  <c r="AO28" i="18"/>
  <c r="H30" i="4" s="1"/>
  <c r="Y30" i="18"/>
  <c r="F32" i="4" s="1"/>
  <c r="Q31" i="18"/>
  <c r="E33" i="4" s="1"/>
  <c r="AO32" i="18"/>
  <c r="H34" i="4" s="1"/>
  <c r="Y34" i="18"/>
  <c r="F36" i="4" s="1"/>
  <c r="AO69" i="18"/>
  <c r="H71" i="4" s="1"/>
  <c r="Y71" i="18"/>
  <c r="F73" i="4" s="1"/>
  <c r="BE71" i="18"/>
  <c r="J73" i="4" s="1"/>
  <c r="BE72" i="18"/>
  <c r="J74" i="4" s="1"/>
  <c r="AO77" i="18"/>
  <c r="H79" i="4" s="1"/>
  <c r="Y79" i="18"/>
  <c r="F81" i="4" s="1"/>
  <c r="BE79" i="18"/>
  <c r="J81" i="4" s="1"/>
  <c r="BE80" i="18"/>
  <c r="J82" i="4" s="1"/>
  <c r="I85" i="18"/>
  <c r="D87" i="4" s="1"/>
  <c r="AO85" i="18"/>
  <c r="H87" i="4" s="1"/>
  <c r="Y87" i="18"/>
  <c r="F89" i="4" s="1"/>
  <c r="BE87" i="18"/>
  <c r="J89" i="4" s="1"/>
  <c r="BE88" i="18"/>
  <c r="J90" i="4" s="1"/>
  <c r="I93" i="18"/>
  <c r="D95" i="4" s="1"/>
  <c r="AO93" i="18"/>
  <c r="H95" i="4" s="1"/>
  <c r="Y95" i="18"/>
  <c r="F97" i="4" s="1"/>
  <c r="BE95" i="18"/>
  <c r="J97" i="4" s="1"/>
  <c r="BE96" i="18"/>
  <c r="J98" i="4" s="1"/>
  <c r="I101" i="18"/>
  <c r="D103" i="4" s="1"/>
  <c r="AO101" i="18"/>
  <c r="H103" i="4" s="1"/>
  <c r="Y103" i="18"/>
  <c r="F105" i="4" s="1"/>
  <c r="BE103" i="18"/>
  <c r="J105" i="4" s="1"/>
  <c r="BE104" i="18"/>
  <c r="J106" i="4" s="1"/>
  <c r="BE115" i="18"/>
  <c r="J117" i="4" s="1"/>
  <c r="BE131" i="18"/>
  <c r="J133" i="4" s="1"/>
  <c r="BE147" i="18"/>
  <c r="J149" i="4" s="1"/>
  <c r="AO170" i="18"/>
  <c r="H172" i="4" s="1"/>
  <c r="BE172" i="18"/>
  <c r="J174" i="4" s="1"/>
  <c r="BE173" i="18"/>
  <c r="J175" i="4" s="1"/>
  <c r="Y230" i="18"/>
  <c r="F232" i="4" s="1"/>
  <c r="Y231" i="18"/>
  <c r="F233" i="4" s="1"/>
  <c r="AW4" i="18"/>
  <c r="I6" i="4" s="1"/>
  <c r="I73" i="18"/>
  <c r="D75" i="4" s="1"/>
  <c r="I89" i="18"/>
  <c r="D91" i="4" s="1"/>
  <c r="I97" i="18"/>
  <c r="D99" i="4" s="1"/>
  <c r="BE100" i="18"/>
  <c r="J102" i="4" s="1"/>
  <c r="AO105" i="18"/>
  <c r="H107" i="4" s="1"/>
  <c r="BE123" i="18"/>
  <c r="J125" i="4" s="1"/>
  <c r="BE139" i="18"/>
  <c r="J141" i="4" s="1"/>
  <c r="Q162" i="18"/>
  <c r="E164" i="4" s="1"/>
  <c r="BE224" i="18"/>
  <c r="J226" i="4" s="1"/>
  <c r="BE225" i="18"/>
  <c r="J227" i="4" s="1"/>
  <c r="BE277" i="18"/>
  <c r="J279" i="4" s="1"/>
  <c r="BE278" i="18"/>
  <c r="J280" i="4" s="1"/>
  <c r="AO4" i="18"/>
  <c r="H6" i="4" s="1"/>
  <c r="AO5" i="18"/>
  <c r="H7" i="4" s="1"/>
  <c r="Q64" i="18"/>
  <c r="E66" i="4" s="1"/>
  <c r="I65" i="18"/>
  <c r="D67" i="4" s="1"/>
  <c r="AO65" i="18"/>
  <c r="H67" i="4" s="1"/>
  <c r="Y67" i="18"/>
  <c r="F69" i="4" s="1"/>
  <c r="Q68" i="18"/>
  <c r="E70" i="4" s="1"/>
  <c r="Q76" i="18"/>
  <c r="E78" i="4" s="1"/>
  <c r="Q84" i="18"/>
  <c r="E86" i="4" s="1"/>
  <c r="Q92" i="18"/>
  <c r="E94" i="4" s="1"/>
  <c r="Q100" i="18"/>
  <c r="E102" i="4" s="1"/>
  <c r="BE119" i="18"/>
  <c r="J121" i="4" s="1"/>
  <c r="BE135" i="18"/>
  <c r="J137" i="4" s="1"/>
  <c r="BE176" i="18"/>
  <c r="J178" i="4" s="1"/>
  <c r="BE177" i="18"/>
  <c r="J179" i="4" s="1"/>
  <c r="BE240" i="18"/>
  <c r="J242" i="4" s="1"/>
  <c r="BE241" i="18"/>
  <c r="J243" i="4" s="1"/>
  <c r="AO249" i="18"/>
  <c r="H251" i="4" s="1"/>
  <c r="AO250" i="18"/>
  <c r="H252" i="4" s="1"/>
  <c r="BE256" i="18"/>
  <c r="J258" i="4" s="1"/>
  <c r="BE257" i="18"/>
  <c r="J259" i="4" s="1"/>
  <c r="AO265" i="18"/>
  <c r="H267" i="4" s="1"/>
  <c r="AO266" i="18"/>
  <c r="H268" i="4" s="1"/>
  <c r="Y107" i="18"/>
  <c r="F109" i="4" s="1"/>
  <c r="Q108" i="18"/>
  <c r="E110" i="4" s="1"/>
  <c r="I109" i="18"/>
  <c r="D111" i="4" s="1"/>
  <c r="AO109" i="18"/>
  <c r="H111" i="4" s="1"/>
  <c r="Y111" i="18"/>
  <c r="F113" i="4" s="1"/>
  <c r="Q112" i="18"/>
  <c r="E114" i="4" s="1"/>
  <c r="I113" i="18"/>
  <c r="D115" i="4" s="1"/>
  <c r="AO113" i="18"/>
  <c r="H115" i="4" s="1"/>
  <c r="Y115" i="18"/>
  <c r="F117" i="4" s="1"/>
  <c r="Q116" i="18"/>
  <c r="E118" i="4" s="1"/>
  <c r="I117" i="18"/>
  <c r="D119" i="4" s="1"/>
  <c r="AO117" i="18"/>
  <c r="H119" i="4" s="1"/>
  <c r="Y119" i="18"/>
  <c r="F121" i="4" s="1"/>
  <c r="Q120" i="18"/>
  <c r="E122" i="4" s="1"/>
  <c r="I121" i="18"/>
  <c r="D123" i="4" s="1"/>
  <c r="AO121" i="18"/>
  <c r="H123" i="4" s="1"/>
  <c r="Y123" i="18"/>
  <c r="F125" i="4" s="1"/>
  <c r="Q124" i="18"/>
  <c r="E126" i="4" s="1"/>
  <c r="I125" i="18"/>
  <c r="D127" i="4" s="1"/>
  <c r="AO125" i="18"/>
  <c r="H127" i="4" s="1"/>
  <c r="Y127" i="18"/>
  <c r="F129" i="4" s="1"/>
  <c r="Q128" i="18"/>
  <c r="E130" i="4" s="1"/>
  <c r="I129" i="18"/>
  <c r="D131" i="4" s="1"/>
  <c r="AO129" i="18"/>
  <c r="H131" i="4" s="1"/>
  <c r="Y131" i="18"/>
  <c r="F133" i="4" s="1"/>
  <c r="Q132" i="18"/>
  <c r="E134" i="4" s="1"/>
  <c r="I133" i="18"/>
  <c r="D135" i="4" s="1"/>
  <c r="AO133" i="18"/>
  <c r="H135" i="4" s="1"/>
  <c r="Y135" i="18"/>
  <c r="F137" i="4" s="1"/>
  <c r="Q136" i="18"/>
  <c r="E138" i="4" s="1"/>
  <c r="I137" i="18"/>
  <c r="D139" i="4" s="1"/>
  <c r="AO137" i="18"/>
  <c r="H139" i="4" s="1"/>
  <c r="Y139" i="18"/>
  <c r="F141" i="4" s="1"/>
  <c r="Q140" i="18"/>
  <c r="E142" i="4" s="1"/>
  <c r="I141" i="18"/>
  <c r="D143" i="4" s="1"/>
  <c r="AO141" i="18"/>
  <c r="H143" i="4" s="1"/>
  <c r="Y143" i="18"/>
  <c r="F145" i="4" s="1"/>
  <c r="Q144" i="18"/>
  <c r="E146" i="4" s="1"/>
  <c r="I145" i="18"/>
  <c r="D147" i="4" s="1"/>
  <c r="AO145" i="18"/>
  <c r="H147" i="4" s="1"/>
  <c r="Y147" i="18"/>
  <c r="F149" i="4" s="1"/>
  <c r="Y153" i="18"/>
  <c r="F155" i="4" s="1"/>
  <c r="BE153" i="18"/>
  <c r="J155" i="4" s="1"/>
  <c r="BE154" i="18"/>
  <c r="J156" i="4" s="1"/>
  <c r="AO159" i="18"/>
  <c r="H161" i="4" s="1"/>
  <c r="Y161" i="18"/>
  <c r="F163" i="4" s="1"/>
  <c r="BE161" i="18"/>
  <c r="J163" i="4" s="1"/>
  <c r="BE162" i="18"/>
  <c r="J164" i="4" s="1"/>
  <c r="AW169" i="18"/>
  <c r="I171" i="4" s="1"/>
  <c r="AO180" i="18"/>
  <c r="H182" i="4" s="1"/>
  <c r="AO210" i="18"/>
  <c r="H212" i="4" s="1"/>
  <c r="AO211" i="18"/>
  <c r="H213" i="4" s="1"/>
  <c r="AO212" i="18"/>
  <c r="H214" i="4" s="1"/>
  <c r="AO213" i="18"/>
  <c r="H215" i="4" s="1"/>
  <c r="AO214" i="18"/>
  <c r="H216" i="4" s="1"/>
  <c r="AO215" i="18"/>
  <c r="H217" i="4" s="1"/>
  <c r="AO216" i="18"/>
  <c r="H218" i="4" s="1"/>
  <c r="AO217" i="18"/>
  <c r="H219" i="4" s="1"/>
  <c r="AO218" i="18"/>
  <c r="H220" i="4" s="1"/>
  <c r="AO219" i="18"/>
  <c r="H221" i="4" s="1"/>
  <c r="AO220" i="18"/>
  <c r="H222" i="4" s="1"/>
  <c r="AG224" i="18"/>
  <c r="G226" i="4" s="1"/>
  <c r="Y235" i="18"/>
  <c r="F237" i="4" s="1"/>
  <c r="AO238" i="18"/>
  <c r="H240" i="4" s="1"/>
  <c r="Y251" i="18"/>
  <c r="F253" i="4" s="1"/>
  <c r="AO254" i="18"/>
  <c r="H256" i="4" s="1"/>
  <c r="Y267" i="18"/>
  <c r="F269" i="4" s="1"/>
  <c r="AO276" i="18"/>
  <c r="H278" i="4" s="1"/>
  <c r="AO277" i="18"/>
  <c r="H279" i="4" s="1"/>
  <c r="K313" i="4"/>
  <c r="K314" i="4"/>
  <c r="Y72" i="18"/>
  <c r="F74" i="4" s="1"/>
  <c r="I74" i="18"/>
  <c r="D76" i="4" s="1"/>
  <c r="Y76" i="18"/>
  <c r="F78" i="4" s="1"/>
  <c r="Y80" i="18"/>
  <c r="F82" i="4" s="1"/>
  <c r="I82" i="18"/>
  <c r="D84" i="4" s="1"/>
  <c r="Y84" i="18"/>
  <c r="F86" i="4" s="1"/>
  <c r="I86" i="18"/>
  <c r="D88" i="4" s="1"/>
  <c r="Y88" i="18"/>
  <c r="F90" i="4" s="1"/>
  <c r="I90" i="18"/>
  <c r="D92" i="4" s="1"/>
  <c r="Y92" i="18"/>
  <c r="F94" i="4" s="1"/>
  <c r="I94" i="18"/>
  <c r="D96" i="4" s="1"/>
  <c r="Y96" i="18"/>
  <c r="F98" i="4" s="1"/>
  <c r="I98" i="18"/>
  <c r="D100" i="4" s="1"/>
  <c r="Y100" i="18"/>
  <c r="F102" i="4" s="1"/>
  <c r="I102" i="18"/>
  <c r="D104" i="4" s="1"/>
  <c r="Y104" i="18"/>
  <c r="F106" i="4" s="1"/>
  <c r="I106" i="18"/>
  <c r="D108" i="4" s="1"/>
  <c r="Y108" i="18"/>
  <c r="F110" i="4" s="1"/>
  <c r="I110" i="18"/>
  <c r="D112" i="4" s="1"/>
  <c r="Y112" i="18"/>
  <c r="F114" i="4" s="1"/>
  <c r="I114" i="18"/>
  <c r="D116" i="4" s="1"/>
  <c r="Y116" i="18"/>
  <c r="F118" i="4" s="1"/>
  <c r="I118" i="18"/>
  <c r="D120" i="4" s="1"/>
  <c r="Y120" i="18"/>
  <c r="F122" i="4" s="1"/>
  <c r="I122" i="18"/>
  <c r="D124" i="4" s="1"/>
  <c r="Y124" i="18"/>
  <c r="F126" i="4" s="1"/>
  <c r="I126" i="18"/>
  <c r="D128" i="4" s="1"/>
  <c r="Y128" i="18"/>
  <c r="F130" i="4" s="1"/>
  <c r="I130" i="18"/>
  <c r="D132" i="4" s="1"/>
  <c r="Y132" i="18"/>
  <c r="F134" i="4" s="1"/>
  <c r="I134" i="18"/>
  <c r="D136" i="4" s="1"/>
  <c r="Y136" i="18"/>
  <c r="F138" i="4" s="1"/>
  <c r="I138" i="18"/>
  <c r="D140" i="4" s="1"/>
  <c r="Y140" i="18"/>
  <c r="F142" i="4" s="1"/>
  <c r="I142" i="18"/>
  <c r="D144" i="4" s="1"/>
  <c r="Y144" i="18"/>
  <c r="F146" i="4" s="1"/>
  <c r="I146" i="18"/>
  <c r="D148" i="4" s="1"/>
  <c r="Y148" i="18"/>
  <c r="F150" i="4" s="1"/>
  <c r="Q158" i="18"/>
  <c r="E160" i="4" s="1"/>
  <c r="Y168" i="18"/>
  <c r="F170" i="4" s="1"/>
  <c r="BE168" i="18"/>
  <c r="J170" i="4" s="1"/>
  <c r="BE169" i="18"/>
  <c r="J171" i="4" s="1"/>
  <c r="AO176" i="18"/>
  <c r="H178" i="4" s="1"/>
  <c r="AO224" i="18"/>
  <c r="H226" i="4" s="1"/>
  <c r="BE237" i="18"/>
  <c r="J239" i="4" s="1"/>
  <c r="BE253" i="18"/>
  <c r="J255" i="4" s="1"/>
  <c r="BE269" i="18"/>
  <c r="J271" i="4" s="1"/>
  <c r="BE270" i="18"/>
  <c r="J272" i="4" s="1"/>
  <c r="Y275" i="18"/>
  <c r="F277" i="4" s="1"/>
  <c r="Y276" i="18"/>
  <c r="F278" i="4" s="1"/>
  <c r="BE285" i="18"/>
  <c r="J287" i="4" s="1"/>
  <c r="BE286" i="18"/>
  <c r="J288" i="4" s="1"/>
  <c r="Q299" i="18"/>
  <c r="E301" i="4" s="1"/>
  <c r="Q300" i="18"/>
  <c r="E302" i="4" s="1"/>
  <c r="AG306" i="18"/>
  <c r="G308" i="4" s="1"/>
  <c r="AG307" i="18"/>
  <c r="G309" i="4" s="1"/>
  <c r="Y69" i="18"/>
  <c r="F71" i="4" s="1"/>
  <c r="I72" i="18"/>
  <c r="D74" i="4" s="1"/>
  <c r="Y73" i="18"/>
  <c r="F75" i="4" s="1"/>
  <c r="I76" i="18"/>
  <c r="D78" i="4" s="1"/>
  <c r="Y77" i="18"/>
  <c r="F79" i="4" s="1"/>
  <c r="I80" i="18"/>
  <c r="D82" i="4" s="1"/>
  <c r="Y81" i="18"/>
  <c r="F83" i="4" s="1"/>
  <c r="Y85" i="18"/>
  <c r="F87" i="4" s="1"/>
  <c r="Y89" i="18"/>
  <c r="F91" i="4" s="1"/>
  <c r="Y93" i="18"/>
  <c r="F95" i="4" s="1"/>
  <c r="Y97" i="18"/>
  <c r="F99" i="4" s="1"/>
  <c r="Y101" i="18"/>
  <c r="F103" i="4" s="1"/>
  <c r="Y105" i="18"/>
  <c r="F107" i="4" s="1"/>
  <c r="Y109" i="18"/>
  <c r="F111" i="4" s="1"/>
  <c r="Y113" i="18"/>
  <c r="F115" i="4" s="1"/>
  <c r="Y117" i="18"/>
  <c r="F119" i="4" s="1"/>
  <c r="Y121" i="18"/>
  <c r="F123" i="4" s="1"/>
  <c r="Y125" i="18"/>
  <c r="F127" i="4" s="1"/>
  <c r="Y129" i="18"/>
  <c r="F131" i="4" s="1"/>
  <c r="Y133" i="18"/>
  <c r="F135" i="4" s="1"/>
  <c r="Y137" i="18"/>
  <c r="F139" i="4" s="1"/>
  <c r="Y141" i="18"/>
  <c r="F143" i="4" s="1"/>
  <c r="Y145" i="18"/>
  <c r="F147" i="4" s="1"/>
  <c r="Y149" i="18"/>
  <c r="F151" i="4" s="1"/>
  <c r="BE150" i="18"/>
  <c r="J152" i="4" s="1"/>
  <c r="BE149" i="18"/>
  <c r="J151" i="4" s="1"/>
  <c r="Y157" i="18"/>
  <c r="F159" i="4" s="1"/>
  <c r="BE157" i="18"/>
  <c r="J159" i="4" s="1"/>
  <c r="BE158" i="18"/>
  <c r="J160" i="4" s="1"/>
  <c r="AO163" i="18"/>
  <c r="H165" i="4" s="1"/>
  <c r="Y165" i="18"/>
  <c r="F167" i="4" s="1"/>
  <c r="Q173" i="18"/>
  <c r="E175" i="4" s="1"/>
  <c r="Y227" i="18"/>
  <c r="F229" i="4" s="1"/>
  <c r="AO230" i="18"/>
  <c r="H232" i="4" s="1"/>
  <c r="BE233" i="18"/>
  <c r="J235" i="4" s="1"/>
  <c r="Y243" i="18"/>
  <c r="F245" i="4" s="1"/>
  <c r="AO246" i="18"/>
  <c r="H248" i="4" s="1"/>
  <c r="Y259" i="18"/>
  <c r="F261" i="4" s="1"/>
  <c r="AO262" i="18"/>
  <c r="H264" i="4" s="1"/>
  <c r="BE265" i="18"/>
  <c r="J267" i="4" s="1"/>
  <c r="AO268" i="18"/>
  <c r="H270" i="4" s="1"/>
  <c r="AO269" i="18"/>
  <c r="H271" i="4" s="1"/>
  <c r="AO284" i="18"/>
  <c r="H286" i="4" s="1"/>
  <c r="AO285" i="18"/>
  <c r="H287" i="4" s="1"/>
  <c r="K297" i="4"/>
  <c r="K298" i="4"/>
  <c r="AO148" i="18"/>
  <c r="H150" i="4" s="1"/>
  <c r="Y150" i="18"/>
  <c r="F152" i="4" s="1"/>
  <c r="Q151" i="18"/>
  <c r="E153" i="4" s="1"/>
  <c r="AO152" i="18"/>
  <c r="H154" i="4" s="1"/>
  <c r="Y154" i="18"/>
  <c r="F156" i="4" s="1"/>
  <c r="Q155" i="18"/>
  <c r="E157" i="4" s="1"/>
  <c r="AO156" i="18"/>
  <c r="H158" i="4" s="1"/>
  <c r="Y158" i="18"/>
  <c r="F160" i="4" s="1"/>
  <c r="Q159" i="18"/>
  <c r="E161" i="4" s="1"/>
  <c r="Y162" i="18"/>
  <c r="F164" i="4" s="1"/>
  <c r="Q166" i="18"/>
  <c r="E168" i="4" s="1"/>
  <c r="AW166" i="18"/>
  <c r="I168" i="4" s="1"/>
  <c r="AO167" i="18"/>
  <c r="H169" i="4" s="1"/>
  <c r="K169" i="4"/>
  <c r="Y169" i="18"/>
  <c r="F171" i="4" s="1"/>
  <c r="Q170" i="18"/>
  <c r="E172" i="4" s="1"/>
  <c r="AW170" i="18"/>
  <c r="I172" i="4" s="1"/>
  <c r="AO171" i="18"/>
  <c r="H173" i="4" s="1"/>
  <c r="K173" i="4"/>
  <c r="BE267" i="18"/>
  <c r="J269" i="4" s="1"/>
  <c r="Y270" i="18"/>
  <c r="F272" i="4" s="1"/>
  <c r="AO271" i="18"/>
  <c r="H273" i="4" s="1"/>
  <c r="BE272" i="18"/>
  <c r="J274" i="4" s="1"/>
  <c r="Y278" i="18"/>
  <c r="F280" i="4" s="1"/>
  <c r="AO279" i="18"/>
  <c r="H281" i="4" s="1"/>
  <c r="BE280" i="18"/>
  <c r="J282" i="4" s="1"/>
  <c r="Y286" i="18"/>
  <c r="F288" i="4" s="1"/>
  <c r="AO287" i="18"/>
  <c r="H289" i="4" s="1"/>
  <c r="K293" i="4"/>
  <c r="K302" i="4"/>
  <c r="Q304" i="18"/>
  <c r="E306" i="4" s="1"/>
  <c r="AW384" i="18"/>
  <c r="I386" i="4" s="1"/>
  <c r="AW398" i="18"/>
  <c r="I400" i="4" s="1"/>
  <c r="AW402" i="18"/>
  <c r="I404" i="4" s="1"/>
  <c r="BE413" i="18"/>
  <c r="J415" i="4" s="1"/>
  <c r="BE412" i="18"/>
  <c r="J414" i="4" s="1"/>
  <c r="Q148" i="18"/>
  <c r="E150" i="4" s="1"/>
  <c r="I149" i="18"/>
  <c r="D151" i="4" s="1"/>
  <c r="AO149" i="18"/>
  <c r="H151" i="4" s="1"/>
  <c r="Y151" i="18"/>
  <c r="F153" i="4" s="1"/>
  <c r="Y155" i="18"/>
  <c r="F157" i="4" s="1"/>
  <c r="Q156" i="18"/>
  <c r="E158" i="4" s="1"/>
  <c r="I157" i="18"/>
  <c r="D159" i="4" s="1"/>
  <c r="AO157" i="18"/>
  <c r="H159" i="4" s="1"/>
  <c r="Y159" i="18"/>
  <c r="F161" i="4" s="1"/>
  <c r="Q160" i="18"/>
  <c r="E162" i="4" s="1"/>
  <c r="I161" i="18"/>
  <c r="D163" i="4" s="1"/>
  <c r="AO161" i="18"/>
  <c r="H163" i="4" s="1"/>
  <c r="Y163" i="18"/>
  <c r="F165" i="4" s="1"/>
  <c r="Q164" i="18"/>
  <c r="E166" i="4" s="1"/>
  <c r="Q167" i="18"/>
  <c r="E169" i="4" s="1"/>
  <c r="AO168" i="18"/>
  <c r="H170" i="4" s="1"/>
  <c r="K170" i="4"/>
  <c r="Q171" i="18"/>
  <c r="E173" i="4" s="1"/>
  <c r="I172" i="18"/>
  <c r="D174" i="4" s="1"/>
  <c r="BE209" i="18"/>
  <c r="J211" i="4" s="1"/>
  <c r="Y210" i="18"/>
  <c r="F212" i="4" s="1"/>
  <c r="BE210" i="18"/>
  <c r="J212" i="4" s="1"/>
  <c r="Y211" i="18"/>
  <c r="F213" i="4" s="1"/>
  <c r="BE211" i="18"/>
  <c r="J213" i="4" s="1"/>
  <c r="Y212" i="18"/>
  <c r="F214" i="4" s="1"/>
  <c r="BE212" i="18"/>
  <c r="J214" i="4" s="1"/>
  <c r="Y213" i="18"/>
  <c r="F215" i="4" s="1"/>
  <c r="BE213" i="18"/>
  <c r="J215" i="4" s="1"/>
  <c r="Y214" i="18"/>
  <c r="F216" i="4" s="1"/>
  <c r="BE214" i="18"/>
  <c r="J216" i="4" s="1"/>
  <c r="Y215" i="18"/>
  <c r="F217" i="4" s="1"/>
  <c r="BE215" i="18"/>
  <c r="J217" i="4" s="1"/>
  <c r="Y216" i="18"/>
  <c r="F218" i="4" s="1"/>
  <c r="BE216" i="18"/>
  <c r="J218" i="4" s="1"/>
  <c r="Y217" i="18"/>
  <c r="F219" i="4" s="1"/>
  <c r="BE217" i="18"/>
  <c r="J219" i="4" s="1"/>
  <c r="Y218" i="18"/>
  <c r="F220" i="4" s="1"/>
  <c r="BE218" i="18"/>
  <c r="J220" i="4" s="1"/>
  <c r="Y219" i="18"/>
  <c r="F221" i="4" s="1"/>
  <c r="BE219" i="18"/>
  <c r="J221" i="4" s="1"/>
  <c r="Y220" i="18"/>
  <c r="F222" i="4" s="1"/>
  <c r="BE220" i="18"/>
  <c r="J222" i="4" s="1"/>
  <c r="AO288" i="18"/>
  <c r="H290" i="4" s="1"/>
  <c r="AO289" i="18"/>
  <c r="H291" i="4" s="1"/>
  <c r="AG292" i="18"/>
  <c r="G294" i="4" s="1"/>
  <c r="AG303" i="18"/>
  <c r="G305" i="4" s="1"/>
  <c r="AW381" i="18"/>
  <c r="I383" i="4" s="1"/>
  <c r="AW395" i="18"/>
  <c r="I397" i="4" s="1"/>
  <c r="AW399" i="18"/>
  <c r="I401" i="4" s="1"/>
  <c r="AW403" i="18"/>
  <c r="I405" i="4" s="1"/>
  <c r="I225" i="18"/>
  <c r="D227" i="4" s="1"/>
  <c r="I229" i="18"/>
  <c r="D231" i="4" s="1"/>
  <c r="I233" i="18"/>
  <c r="D235" i="4" s="1"/>
  <c r="I237" i="18"/>
  <c r="D239" i="4" s="1"/>
  <c r="I241" i="18"/>
  <c r="D243" i="4" s="1"/>
  <c r="I245" i="18"/>
  <c r="D247" i="4" s="1"/>
  <c r="I249" i="18"/>
  <c r="D251" i="4" s="1"/>
  <c r="I253" i="18"/>
  <c r="D255" i="4" s="1"/>
  <c r="I257" i="18"/>
  <c r="D259" i="4" s="1"/>
  <c r="I261" i="18"/>
  <c r="D263" i="4" s="1"/>
  <c r="I265" i="18"/>
  <c r="D267" i="4" s="1"/>
  <c r="BE287" i="18"/>
  <c r="J289" i="4" s="1"/>
  <c r="BE288" i="18"/>
  <c r="J290" i="4" s="1"/>
  <c r="AG361" i="18"/>
  <c r="G363" i="4" s="1"/>
  <c r="K363" i="4"/>
  <c r="AG362" i="18"/>
  <c r="G364" i="4" s="1"/>
  <c r="K364" i="4"/>
  <c r="AG363" i="18"/>
  <c r="G365" i="4" s="1"/>
  <c r="K365" i="4"/>
  <c r="AG364" i="18"/>
  <c r="G366" i="4" s="1"/>
  <c r="K366" i="4"/>
  <c r="AG365" i="18"/>
  <c r="G367" i="4" s="1"/>
  <c r="K367" i="4"/>
  <c r="AG366" i="18"/>
  <c r="G368" i="4" s="1"/>
  <c r="K368" i="4"/>
  <c r="AG367" i="18"/>
  <c r="G369" i="4" s="1"/>
  <c r="K369" i="4"/>
  <c r="AG368" i="18"/>
  <c r="G370" i="4" s="1"/>
  <c r="K370" i="4"/>
  <c r="AG369" i="18"/>
  <c r="G371" i="4" s="1"/>
  <c r="K371" i="4"/>
  <c r="AG370" i="18"/>
  <c r="G372" i="4" s="1"/>
  <c r="K372" i="4"/>
  <c r="AG371" i="18"/>
  <c r="G373" i="4" s="1"/>
  <c r="K373" i="4"/>
  <c r="AG372" i="18"/>
  <c r="G374" i="4" s="1"/>
  <c r="K374" i="4"/>
  <c r="AG373" i="18"/>
  <c r="G375" i="4" s="1"/>
  <c r="K375" i="4"/>
  <c r="AG374" i="18"/>
  <c r="G376" i="4" s="1"/>
  <c r="K376" i="4"/>
  <c r="AG375" i="18"/>
  <c r="G377" i="4" s="1"/>
  <c r="K377" i="4"/>
  <c r="AG376" i="18"/>
  <c r="G378" i="4" s="1"/>
  <c r="K378" i="4"/>
  <c r="AG377" i="18"/>
  <c r="G379" i="4" s="1"/>
  <c r="AW382" i="18"/>
  <c r="I384" i="4" s="1"/>
  <c r="AW385" i="18"/>
  <c r="I387" i="4" s="1"/>
  <c r="AW387" i="18"/>
  <c r="I389" i="4" s="1"/>
  <c r="AW389" i="18"/>
  <c r="I391" i="4" s="1"/>
  <c r="AW391" i="18"/>
  <c r="I393" i="4" s="1"/>
  <c r="AW393" i="18"/>
  <c r="I395" i="4" s="1"/>
  <c r="AW396" i="18"/>
  <c r="I398" i="4" s="1"/>
  <c r="AW400" i="18"/>
  <c r="I402" i="4" s="1"/>
  <c r="AW404" i="18"/>
  <c r="I406" i="4" s="1"/>
  <c r="I272" i="18"/>
  <c r="D274" i="4" s="1"/>
  <c r="I276" i="18"/>
  <c r="D278" i="4" s="1"/>
  <c r="I280" i="18"/>
  <c r="D282" i="4" s="1"/>
  <c r="I284" i="18"/>
  <c r="D286" i="4" s="1"/>
  <c r="I288" i="18"/>
  <c r="D290" i="4" s="1"/>
  <c r="AO291" i="18"/>
  <c r="H293" i="4" s="1"/>
  <c r="Y292" i="18"/>
  <c r="F294" i="4" s="1"/>
  <c r="I316" i="18"/>
  <c r="D318" i="4" s="1"/>
  <c r="Y407" i="18"/>
  <c r="F409" i="4" s="1"/>
  <c r="AO408" i="18"/>
  <c r="H410" i="4" s="1"/>
  <c r="I411" i="18"/>
  <c r="D413" i="4" s="1"/>
  <c r="Y413" i="18"/>
  <c r="F415" i="4" s="1"/>
  <c r="I415" i="18"/>
  <c r="D417" i="4" s="1"/>
  <c r="Y416" i="18"/>
  <c r="F418" i="4" s="1"/>
  <c r="Y290" i="18"/>
  <c r="F292" i="4" s="1"/>
  <c r="AW291" i="18"/>
  <c r="I293" i="4" s="1"/>
  <c r="AG293" i="18"/>
  <c r="G295" i="4" s="1"/>
  <c r="Q294" i="18"/>
  <c r="E296" i="4" s="1"/>
  <c r="K296" i="4"/>
  <c r="AG297" i="18"/>
  <c r="G299" i="4" s="1"/>
  <c r="Q298" i="18"/>
  <c r="E300" i="4" s="1"/>
  <c r="K300" i="4"/>
  <c r="AG301" i="18"/>
  <c r="G303" i="4" s="1"/>
  <c r="Q302" i="18"/>
  <c r="E304" i="4" s="1"/>
  <c r="K304" i="4"/>
  <c r="AG305" i="18"/>
  <c r="G307" i="4" s="1"/>
  <c r="Q306" i="18"/>
  <c r="E308" i="4" s="1"/>
  <c r="K308" i="4"/>
  <c r="AG309" i="18"/>
  <c r="G311" i="4" s="1"/>
  <c r="Q310" i="18"/>
  <c r="E312" i="4" s="1"/>
  <c r="K312" i="4"/>
  <c r="AG313" i="18"/>
  <c r="G315" i="4" s="1"/>
  <c r="Q314" i="18"/>
  <c r="E316" i="4" s="1"/>
  <c r="K316" i="4"/>
  <c r="Q316" i="18"/>
  <c r="E318" i="4" s="1"/>
  <c r="Q332" i="18"/>
  <c r="E334" i="4" s="1"/>
  <c r="Q361" i="18"/>
  <c r="E363" i="4" s="1"/>
  <c r="AW361" i="18"/>
  <c r="I363" i="4" s="1"/>
  <c r="Q362" i="18"/>
  <c r="E364" i="4" s="1"/>
  <c r="AW362" i="18"/>
  <c r="I364" i="4" s="1"/>
  <c r="Q363" i="18"/>
  <c r="E365" i="4" s="1"/>
  <c r="AW363" i="18"/>
  <c r="I365" i="4" s="1"/>
  <c r="Q364" i="18"/>
  <c r="E366" i="4" s="1"/>
  <c r="AW364" i="18"/>
  <c r="I366" i="4" s="1"/>
  <c r="Q365" i="18"/>
  <c r="E367" i="4" s="1"/>
  <c r="AW365" i="18"/>
  <c r="I367" i="4" s="1"/>
  <c r="Q366" i="18"/>
  <c r="E368" i="4" s="1"/>
  <c r="AW366" i="18"/>
  <c r="I368" i="4" s="1"/>
  <c r="Q367" i="18"/>
  <c r="E369" i="4" s="1"/>
  <c r="AW367" i="18"/>
  <c r="I369" i="4" s="1"/>
  <c r="Q368" i="18"/>
  <c r="E370" i="4" s="1"/>
  <c r="AW368" i="18"/>
  <c r="I370" i="4" s="1"/>
  <c r="Q369" i="18"/>
  <c r="E371" i="4" s="1"/>
  <c r="AW369" i="18"/>
  <c r="I371" i="4" s="1"/>
  <c r="Q370" i="18"/>
  <c r="E372" i="4" s="1"/>
  <c r="AW370" i="18"/>
  <c r="I372" i="4" s="1"/>
  <c r="Q371" i="18"/>
  <c r="E373" i="4" s="1"/>
  <c r="AW371" i="18"/>
  <c r="I373" i="4" s="1"/>
  <c r="Q372" i="18"/>
  <c r="E374" i="4" s="1"/>
  <c r="AW372" i="18"/>
  <c r="I374" i="4" s="1"/>
  <c r="Q373" i="18"/>
  <c r="E375" i="4" s="1"/>
  <c r="AW373" i="18"/>
  <c r="I375" i="4" s="1"/>
  <c r="Q374" i="18"/>
  <c r="E376" i="4" s="1"/>
  <c r="AW374" i="18"/>
  <c r="I376" i="4" s="1"/>
  <c r="Q375" i="18"/>
  <c r="E377" i="4" s="1"/>
  <c r="AW375" i="18"/>
  <c r="I377" i="4" s="1"/>
  <c r="Q376" i="18"/>
  <c r="E378" i="4" s="1"/>
  <c r="AW376" i="18"/>
  <c r="I378" i="4" s="1"/>
  <c r="Q377" i="18"/>
  <c r="E379" i="4" s="1"/>
  <c r="BE385" i="18"/>
  <c r="J387" i="4" s="1"/>
  <c r="BE403" i="18"/>
  <c r="J405" i="4" s="1"/>
  <c r="K408" i="4"/>
  <c r="AG407" i="18"/>
  <c r="G409" i="4" s="1"/>
  <c r="I409" i="18"/>
  <c r="D411" i="4" s="1"/>
  <c r="Y410" i="18"/>
  <c r="F412" i="4" s="1"/>
  <c r="Y414" i="18"/>
  <c r="F416" i="4" s="1"/>
  <c r="Q415" i="18"/>
  <c r="E417" i="4" s="1"/>
  <c r="Y294" i="18"/>
  <c r="F296" i="4" s="1"/>
  <c r="AW294" i="18"/>
  <c r="I296" i="4" s="1"/>
  <c r="Y298" i="18"/>
  <c r="F300" i="4" s="1"/>
  <c r="AW298" i="18"/>
  <c r="I300" i="4" s="1"/>
  <c r="Y302" i="18"/>
  <c r="F304" i="4" s="1"/>
  <c r="AW302" i="18"/>
  <c r="I304" i="4" s="1"/>
  <c r="Y306" i="18"/>
  <c r="F308" i="4" s="1"/>
  <c r="AW306" i="18"/>
  <c r="I308" i="4" s="1"/>
  <c r="Y310" i="18"/>
  <c r="F312" i="4" s="1"/>
  <c r="Y314" i="18"/>
  <c r="F316" i="4" s="1"/>
  <c r="AW314" i="18"/>
  <c r="I316" i="4" s="1"/>
  <c r="AO407" i="18"/>
  <c r="H409" i="4" s="1"/>
  <c r="Y408" i="18"/>
  <c r="F410" i="4" s="1"/>
  <c r="Q409" i="18"/>
  <c r="E411" i="4" s="1"/>
  <c r="Y411" i="18"/>
  <c r="F413" i="4" s="1"/>
  <c r="I413" i="18"/>
  <c r="D415" i="4" s="1"/>
  <c r="Y415" i="18"/>
  <c r="F417" i="4" s="1"/>
  <c r="AO416" i="18"/>
  <c r="H418" i="4" s="1"/>
  <c r="I131" i="18"/>
  <c r="D133" i="4" s="1"/>
  <c r="I139" i="18"/>
  <c r="D141" i="4" s="1"/>
  <c r="I147" i="18"/>
  <c r="D149" i="4" s="1"/>
  <c r="I159" i="18"/>
  <c r="D161" i="4" s="1"/>
  <c r="I8" i="18"/>
  <c r="D10" i="4" s="1"/>
  <c r="I12" i="18"/>
  <c r="D14" i="4" s="1"/>
  <c r="I16" i="18"/>
  <c r="D18" i="4" s="1"/>
  <c r="I20" i="18"/>
  <c r="D22" i="4" s="1"/>
  <c r="I24" i="18"/>
  <c r="D26" i="4" s="1"/>
  <c r="I28" i="18"/>
  <c r="D30" i="4" s="1"/>
  <c r="I32" i="18"/>
  <c r="D34" i="4" s="1"/>
  <c r="I36" i="18"/>
  <c r="D38" i="4" s="1"/>
  <c r="I40" i="18"/>
  <c r="D42" i="4" s="1"/>
  <c r="I44" i="18"/>
  <c r="D46" i="4" s="1"/>
  <c r="I48" i="18"/>
  <c r="D50" i="4" s="1"/>
  <c r="I52" i="18"/>
  <c r="D54" i="4" s="1"/>
  <c r="I56" i="18"/>
  <c r="D58" i="4" s="1"/>
  <c r="I60" i="18"/>
  <c r="D62" i="4" s="1"/>
  <c r="I64" i="18"/>
  <c r="D66" i="4" s="1"/>
  <c r="I68" i="18"/>
  <c r="D70" i="4" s="1"/>
  <c r="I77" i="18"/>
  <c r="D79" i="4" s="1"/>
  <c r="I84" i="18"/>
  <c r="D86" i="4" s="1"/>
  <c r="I88" i="18"/>
  <c r="D90" i="4" s="1"/>
  <c r="I92" i="18"/>
  <c r="D94" i="4" s="1"/>
  <c r="I96" i="18"/>
  <c r="D98" i="4" s="1"/>
  <c r="I100" i="18"/>
  <c r="D102" i="4" s="1"/>
  <c r="I227" i="18"/>
  <c r="D229" i="4" s="1"/>
  <c r="I231" i="18"/>
  <c r="D233" i="4" s="1"/>
  <c r="I235" i="18"/>
  <c r="D237" i="4" s="1"/>
  <c r="I239" i="18"/>
  <c r="D241" i="4" s="1"/>
  <c r="I243" i="18"/>
  <c r="D245" i="4" s="1"/>
  <c r="I247" i="18"/>
  <c r="D249" i="4" s="1"/>
  <c r="I251" i="18"/>
  <c r="D253" i="4" s="1"/>
  <c r="I255" i="18"/>
  <c r="D257" i="4" s="1"/>
  <c r="I259" i="18"/>
  <c r="D261" i="4" s="1"/>
  <c r="I263" i="18"/>
  <c r="D265" i="4" s="1"/>
  <c r="I267" i="18"/>
  <c r="D269" i="4" s="1"/>
  <c r="I271" i="18"/>
  <c r="D273" i="4" s="1"/>
  <c r="I275" i="18"/>
  <c r="D277" i="4" s="1"/>
  <c r="I279" i="18"/>
  <c r="D281" i="4" s="1"/>
  <c r="I283" i="18"/>
  <c r="D285" i="4" s="1"/>
  <c r="I287" i="18"/>
  <c r="D289" i="4" s="1"/>
  <c r="I414" i="18"/>
  <c r="D416" i="4" s="1"/>
  <c r="I7" i="18"/>
  <c r="D9" i="4" s="1"/>
  <c r="I11" i="18"/>
  <c r="D13" i="4" s="1"/>
  <c r="I15" i="18"/>
  <c r="D17" i="4" s="1"/>
  <c r="I19" i="18"/>
  <c r="D21" i="4" s="1"/>
  <c r="I23" i="18"/>
  <c r="D25" i="4" s="1"/>
  <c r="I27" i="18"/>
  <c r="D29" i="4" s="1"/>
  <c r="I31" i="18"/>
  <c r="D33" i="4" s="1"/>
  <c r="I35" i="18"/>
  <c r="D37" i="4" s="1"/>
  <c r="I39" i="18"/>
  <c r="D41" i="4" s="1"/>
  <c r="I43" i="18"/>
  <c r="D45" i="4" s="1"/>
  <c r="I47" i="18"/>
  <c r="D49" i="4" s="1"/>
  <c r="I51" i="18"/>
  <c r="D53" i="4" s="1"/>
  <c r="I55" i="18"/>
  <c r="D57" i="4" s="1"/>
  <c r="I59" i="18"/>
  <c r="D61" i="4" s="1"/>
  <c r="I63" i="18"/>
  <c r="D65" i="4" s="1"/>
  <c r="I67" i="18"/>
  <c r="D69" i="4" s="1"/>
  <c r="I83" i="18"/>
  <c r="D85" i="4" s="1"/>
  <c r="I87" i="18"/>
  <c r="D89" i="4" s="1"/>
  <c r="I91" i="18"/>
  <c r="D93" i="4" s="1"/>
  <c r="I95" i="18"/>
  <c r="D97" i="4" s="1"/>
  <c r="I99" i="18"/>
  <c r="D101" i="4" s="1"/>
  <c r="I103" i="18"/>
  <c r="D105" i="4" s="1"/>
  <c r="I107" i="18"/>
  <c r="D109" i="4" s="1"/>
  <c r="I111" i="18"/>
  <c r="D113" i="4" s="1"/>
  <c r="I115" i="18"/>
  <c r="D117" i="4" s="1"/>
  <c r="I119" i="18"/>
  <c r="D121" i="4" s="1"/>
  <c r="I123" i="18"/>
  <c r="D125" i="4" s="1"/>
  <c r="I127" i="18"/>
  <c r="D129" i="4" s="1"/>
  <c r="I135" i="18"/>
  <c r="D137" i="4" s="1"/>
  <c r="I143" i="18"/>
  <c r="D145" i="4" s="1"/>
  <c r="I151" i="18"/>
  <c r="D153" i="4" s="1"/>
  <c r="I155" i="18"/>
  <c r="D157" i="4" s="1"/>
  <c r="I163" i="18"/>
  <c r="D165" i="4" s="1"/>
  <c r="I5" i="18"/>
  <c r="D7" i="4" s="1"/>
  <c r="I41" i="18"/>
  <c r="D43" i="4" s="1"/>
  <c r="I45" i="18"/>
  <c r="D47" i="4" s="1"/>
  <c r="I49" i="18"/>
  <c r="D51" i="4" s="1"/>
  <c r="I53" i="18"/>
  <c r="D55" i="4" s="1"/>
  <c r="I70" i="18"/>
  <c r="D72" i="4" s="1"/>
  <c r="I78" i="18"/>
  <c r="D80" i="4" s="1"/>
  <c r="I226" i="18"/>
  <c r="D228" i="4" s="1"/>
  <c r="I230" i="18"/>
  <c r="D232" i="4" s="1"/>
  <c r="I234" i="18"/>
  <c r="D236" i="4" s="1"/>
  <c r="I238" i="18"/>
  <c r="D240" i="4" s="1"/>
  <c r="I242" i="18"/>
  <c r="D244" i="4" s="1"/>
  <c r="I246" i="18"/>
  <c r="D248" i="4" s="1"/>
  <c r="I250" i="18"/>
  <c r="D252" i="4" s="1"/>
  <c r="I254" i="18"/>
  <c r="D256" i="4" s="1"/>
  <c r="I258" i="18"/>
  <c r="D260" i="4" s="1"/>
  <c r="I262" i="18"/>
  <c r="D264" i="4" s="1"/>
  <c r="I266" i="18"/>
  <c r="D268" i="4" s="1"/>
  <c r="I270" i="18"/>
  <c r="D272" i="4" s="1"/>
  <c r="I274" i="18"/>
  <c r="D276" i="4" s="1"/>
  <c r="I278" i="18"/>
  <c r="D280" i="4" s="1"/>
  <c r="I282" i="18"/>
  <c r="D284" i="4" s="1"/>
  <c r="I286" i="18"/>
  <c r="D288" i="4" s="1"/>
  <c r="I290" i="18"/>
  <c r="D292" i="4" s="1"/>
  <c r="I412" i="18"/>
  <c r="D414" i="4" s="1"/>
  <c r="I170" i="18"/>
  <c r="D172" i="4" s="1"/>
  <c r="I180" i="18"/>
  <c r="D182" i="4" s="1"/>
  <c r="I210" i="18"/>
  <c r="D212" i="4" s="1"/>
  <c r="I211" i="18"/>
  <c r="D213" i="4" s="1"/>
  <c r="I212" i="18"/>
  <c r="D214" i="4" s="1"/>
  <c r="I213" i="18"/>
  <c r="D215" i="4" s="1"/>
  <c r="I214" i="18"/>
  <c r="D216" i="4" s="1"/>
  <c r="I215" i="18"/>
  <c r="D217" i="4" s="1"/>
  <c r="I216" i="18"/>
  <c r="D218" i="4" s="1"/>
  <c r="I217" i="18"/>
  <c r="D219" i="4" s="1"/>
  <c r="I218" i="18"/>
  <c r="D220" i="4" s="1"/>
  <c r="I219" i="18"/>
  <c r="D221" i="4" s="1"/>
  <c r="I220" i="18"/>
  <c r="D222" i="4" s="1"/>
  <c r="I221" i="18"/>
  <c r="D223" i="4" s="1"/>
  <c r="I104" i="18"/>
  <c r="D106" i="4" s="1"/>
  <c r="I108" i="18"/>
  <c r="D110" i="4" s="1"/>
  <c r="I112" i="18"/>
  <c r="D114" i="4" s="1"/>
  <c r="I116" i="18"/>
  <c r="D118" i="4" s="1"/>
  <c r="I120" i="18"/>
  <c r="D122" i="4" s="1"/>
  <c r="I124" i="18"/>
  <c r="D126" i="4" s="1"/>
  <c r="I128" i="18"/>
  <c r="D130" i="4" s="1"/>
  <c r="I132" i="18"/>
  <c r="D134" i="4" s="1"/>
  <c r="I136" i="18"/>
  <c r="D138" i="4" s="1"/>
  <c r="I140" i="18"/>
  <c r="D142" i="4" s="1"/>
  <c r="I144" i="18"/>
  <c r="D146" i="4" s="1"/>
  <c r="I148" i="18"/>
  <c r="D150" i="4" s="1"/>
  <c r="I152" i="18"/>
  <c r="D154" i="4" s="1"/>
  <c r="I156" i="18"/>
  <c r="D158" i="4" s="1"/>
  <c r="I160" i="18"/>
  <c r="D162" i="4" s="1"/>
  <c r="I164" i="18"/>
  <c r="D166" i="4" s="1"/>
  <c r="I167" i="18"/>
  <c r="D169" i="4" s="1"/>
  <c r="I171" i="18"/>
  <c r="D173" i="4" s="1"/>
  <c r="I174" i="18"/>
  <c r="D176" i="4" s="1"/>
  <c r="I176" i="18"/>
  <c r="D178" i="4" s="1"/>
  <c r="I178" i="18"/>
  <c r="D180" i="4" s="1"/>
  <c r="AW316" i="18"/>
  <c r="I318" i="4" s="1"/>
  <c r="Q317" i="18"/>
  <c r="E319" i="4" s="1"/>
  <c r="AW317" i="18"/>
  <c r="I319" i="4" s="1"/>
  <c r="Q318" i="18"/>
  <c r="E320" i="4" s="1"/>
  <c r="AW318" i="18"/>
  <c r="I320" i="4" s="1"/>
  <c r="Q319" i="18"/>
  <c r="E321" i="4" s="1"/>
  <c r="AW319" i="18"/>
  <c r="I321" i="4" s="1"/>
  <c r="Q320" i="18"/>
  <c r="E322" i="4" s="1"/>
  <c r="AW320" i="18"/>
  <c r="I322" i="4" s="1"/>
  <c r="Q321" i="18"/>
  <c r="E323" i="4" s="1"/>
  <c r="AW321" i="18"/>
  <c r="I323" i="4" s="1"/>
  <c r="Q322" i="18"/>
  <c r="E324" i="4" s="1"/>
  <c r="AW322" i="18"/>
  <c r="I324" i="4" s="1"/>
  <c r="Q323" i="18"/>
  <c r="E325" i="4" s="1"/>
  <c r="AW323" i="18"/>
  <c r="I325" i="4" s="1"/>
  <c r="Q324" i="18"/>
  <c r="E326" i="4" s="1"/>
  <c r="AW324" i="18"/>
  <c r="I326" i="4" s="1"/>
  <c r="Q325" i="18"/>
  <c r="E327" i="4" s="1"/>
  <c r="AW325" i="18"/>
  <c r="I327" i="4" s="1"/>
  <c r="Q326" i="18"/>
  <c r="E328" i="4" s="1"/>
  <c r="AW326" i="18"/>
  <c r="I328" i="4" s="1"/>
  <c r="Q327" i="18"/>
  <c r="E329" i="4" s="1"/>
  <c r="AW327" i="18"/>
  <c r="I329" i="4" s="1"/>
  <c r="Q328" i="18"/>
  <c r="E330" i="4" s="1"/>
  <c r="AW328" i="18"/>
  <c r="I330" i="4" s="1"/>
  <c r="Q329" i="18"/>
  <c r="E331" i="4" s="1"/>
  <c r="AW329" i="18"/>
  <c r="I331" i="4" s="1"/>
  <c r="Q330" i="18"/>
  <c r="E332" i="4" s="1"/>
  <c r="AW330" i="18"/>
  <c r="I332" i="4" s="1"/>
  <c r="Q331" i="18"/>
  <c r="E333" i="4" s="1"/>
  <c r="AW331" i="18"/>
  <c r="I333" i="4" s="1"/>
  <c r="AW332" i="18"/>
  <c r="I334" i="4" s="1"/>
  <c r="AW333" i="18"/>
  <c r="I335" i="4" s="1"/>
  <c r="AW334" i="18"/>
  <c r="I336" i="4" s="1"/>
  <c r="AW335" i="18"/>
  <c r="I337" i="4" s="1"/>
  <c r="AW336" i="18"/>
  <c r="I338" i="4" s="1"/>
  <c r="AW337" i="18"/>
  <c r="I339" i="4" s="1"/>
  <c r="AW338" i="18"/>
  <c r="I340" i="4" s="1"/>
  <c r="AW339" i="18"/>
  <c r="I341" i="4" s="1"/>
  <c r="AW340" i="18"/>
  <c r="I342" i="4" s="1"/>
  <c r="AW341" i="18"/>
  <c r="I343" i="4" s="1"/>
  <c r="AW342" i="18"/>
  <c r="I344" i="4" s="1"/>
  <c r="AW343" i="18"/>
  <c r="I345" i="4" s="1"/>
  <c r="AW344" i="18"/>
  <c r="I346" i="4" s="1"/>
  <c r="AW345" i="18"/>
  <c r="I347" i="4" s="1"/>
  <c r="Q346" i="18"/>
  <c r="E348" i="4" s="1"/>
  <c r="Q347" i="18"/>
  <c r="E349" i="4" s="1"/>
  <c r="Q348" i="18"/>
  <c r="E350" i="4" s="1"/>
  <c r="Q349" i="18"/>
  <c r="E351" i="4" s="1"/>
  <c r="Q350" i="18"/>
  <c r="E352" i="4" s="1"/>
  <c r="Q351" i="18"/>
  <c r="E353" i="4" s="1"/>
  <c r="Q352" i="18"/>
  <c r="E354" i="4" s="1"/>
  <c r="Q353" i="18"/>
  <c r="E355" i="4" s="1"/>
  <c r="Q354" i="18"/>
  <c r="E356" i="4" s="1"/>
  <c r="AW354" i="18"/>
  <c r="I356" i="4" s="1"/>
  <c r="AW355" i="18"/>
  <c r="I357" i="4" s="1"/>
  <c r="AW356" i="18"/>
  <c r="I358" i="4" s="1"/>
  <c r="Q358" i="18"/>
  <c r="E360" i="4" s="1"/>
  <c r="Q359" i="18"/>
  <c r="E361" i="4" s="1"/>
  <c r="Q360" i="18"/>
  <c r="E362" i="4" s="1"/>
  <c r="BE381" i="18"/>
  <c r="J383" i="4" s="1"/>
  <c r="BE383" i="18"/>
  <c r="J385" i="4" s="1"/>
  <c r="BE384" i="18"/>
  <c r="J386" i="4" s="1"/>
  <c r="BE386" i="18"/>
  <c r="J388" i="4" s="1"/>
  <c r="BE388" i="18"/>
  <c r="J390" i="4" s="1"/>
  <c r="BE390" i="18"/>
  <c r="J392" i="4" s="1"/>
  <c r="BE392" i="18"/>
  <c r="J394" i="4" s="1"/>
  <c r="BE394" i="18"/>
  <c r="J396" i="4" s="1"/>
  <c r="BE396" i="18"/>
  <c r="J398" i="4" s="1"/>
  <c r="BE398" i="18"/>
  <c r="J400" i="4" s="1"/>
  <c r="BE400" i="18"/>
  <c r="J402" i="4" s="1"/>
  <c r="BE404" i="18"/>
  <c r="J406" i="4" s="1"/>
  <c r="Q5" i="18"/>
  <c r="E7" i="4" s="1"/>
  <c r="AO6" i="18"/>
  <c r="H8" i="4" s="1"/>
  <c r="Q9" i="18"/>
  <c r="E11" i="4" s="1"/>
  <c r="AO10" i="18"/>
  <c r="H12" i="4" s="1"/>
  <c r="Q13" i="18"/>
  <c r="E15" i="4" s="1"/>
  <c r="AO14" i="18"/>
  <c r="H16" i="4" s="1"/>
  <c r="Q17" i="18"/>
  <c r="E19" i="4" s="1"/>
  <c r="AO18" i="18"/>
  <c r="H20" i="4" s="1"/>
  <c r="Q21" i="18"/>
  <c r="E23" i="4" s="1"/>
  <c r="AO22" i="18"/>
  <c r="H24" i="4" s="1"/>
  <c r="Q25" i="18"/>
  <c r="E27" i="4" s="1"/>
  <c r="AO26" i="18"/>
  <c r="H28" i="4" s="1"/>
  <c r="Q29" i="18"/>
  <c r="E31" i="4" s="1"/>
  <c r="AO30" i="18"/>
  <c r="H32" i="4" s="1"/>
  <c r="Q33" i="18"/>
  <c r="E35" i="4" s="1"/>
  <c r="AO34" i="18"/>
  <c r="H36" i="4" s="1"/>
  <c r="Q37" i="18"/>
  <c r="E39" i="4" s="1"/>
  <c r="AO38" i="18"/>
  <c r="H40" i="4" s="1"/>
  <c r="Q41" i="18"/>
  <c r="E43" i="4" s="1"/>
  <c r="AO42" i="18"/>
  <c r="H44" i="4" s="1"/>
  <c r="Q45" i="18"/>
  <c r="E47" i="4" s="1"/>
  <c r="AO46" i="18"/>
  <c r="H48" i="4" s="1"/>
  <c r="Q49" i="18"/>
  <c r="E51" i="4" s="1"/>
  <c r="AO50" i="18"/>
  <c r="H52" i="4" s="1"/>
  <c r="Q53" i="18"/>
  <c r="E55" i="4" s="1"/>
  <c r="AO54" i="18"/>
  <c r="H56" i="4" s="1"/>
  <c r="Q57" i="18"/>
  <c r="E59" i="4" s="1"/>
  <c r="AO58" i="18"/>
  <c r="H60" i="4" s="1"/>
  <c r="Q61" i="18"/>
  <c r="E63" i="4" s="1"/>
  <c r="AO62" i="18"/>
  <c r="H64" i="4" s="1"/>
  <c r="Q65" i="18"/>
  <c r="E67" i="4" s="1"/>
  <c r="AO66" i="18"/>
  <c r="H68" i="4" s="1"/>
  <c r="Q69" i="18"/>
  <c r="E71" i="4" s="1"/>
  <c r="AO70" i="18"/>
  <c r="H72" i="4" s="1"/>
  <c r="Q73" i="18"/>
  <c r="E75" i="4" s="1"/>
  <c r="AO74" i="18"/>
  <c r="H76" i="4" s="1"/>
  <c r="Q77" i="18"/>
  <c r="E79" i="4" s="1"/>
  <c r="AO78" i="18"/>
  <c r="H80" i="4" s="1"/>
  <c r="Q81" i="18"/>
  <c r="E83" i="4" s="1"/>
  <c r="AO82" i="18"/>
  <c r="H84" i="4" s="1"/>
  <c r="Q85" i="18"/>
  <c r="E87" i="4" s="1"/>
  <c r="AO86" i="18"/>
  <c r="H88" i="4" s="1"/>
  <c r="Q89" i="18"/>
  <c r="E91" i="4" s="1"/>
  <c r="AO90" i="18"/>
  <c r="H92" i="4" s="1"/>
  <c r="Q93" i="18"/>
  <c r="E95" i="4" s="1"/>
  <c r="AO94" i="18"/>
  <c r="H96" i="4" s="1"/>
  <c r="Q97" i="18"/>
  <c r="E99" i="4" s="1"/>
  <c r="AO98" i="18"/>
  <c r="H100" i="4" s="1"/>
  <c r="Q101" i="18"/>
  <c r="E103" i="4" s="1"/>
  <c r="AO102" i="18"/>
  <c r="H104" i="4" s="1"/>
  <c r="Q105" i="18"/>
  <c r="E107" i="4" s="1"/>
  <c r="AO106" i="18"/>
  <c r="H108" i="4" s="1"/>
  <c r="Q109" i="18"/>
  <c r="E111" i="4" s="1"/>
  <c r="AO110" i="18"/>
  <c r="H112" i="4" s="1"/>
  <c r="Q113" i="18"/>
  <c r="E115" i="4" s="1"/>
  <c r="AO114" i="18"/>
  <c r="H116" i="4" s="1"/>
  <c r="Q117" i="18"/>
  <c r="E119" i="4" s="1"/>
  <c r="AO118" i="18"/>
  <c r="H120" i="4" s="1"/>
  <c r="Q121" i="18"/>
  <c r="E123" i="4" s="1"/>
  <c r="AO122" i="18"/>
  <c r="H124" i="4" s="1"/>
  <c r="Q125" i="18"/>
  <c r="E127" i="4" s="1"/>
  <c r="AO126" i="18"/>
  <c r="H128" i="4" s="1"/>
  <c r="Q129" i="18"/>
  <c r="E131" i="4" s="1"/>
  <c r="AO130" i="18"/>
  <c r="H132" i="4" s="1"/>
  <c r="Q133" i="18"/>
  <c r="E135" i="4" s="1"/>
  <c r="AO134" i="18"/>
  <c r="H136" i="4" s="1"/>
  <c r="Q137" i="18"/>
  <c r="E139" i="4" s="1"/>
  <c r="AO138" i="18"/>
  <c r="H140" i="4" s="1"/>
  <c r="Q141" i="18"/>
  <c r="E143" i="4" s="1"/>
  <c r="AO142" i="18"/>
  <c r="H144" i="4" s="1"/>
  <c r="Q145" i="18"/>
  <c r="E147" i="4" s="1"/>
  <c r="AO146" i="18"/>
  <c r="H148" i="4" s="1"/>
  <c r="Q149" i="18"/>
  <c r="E151" i="4" s="1"/>
  <c r="AO150" i="18"/>
  <c r="H152" i="4" s="1"/>
  <c r="Q153" i="18"/>
  <c r="E155" i="4" s="1"/>
  <c r="AO154" i="18"/>
  <c r="H156" i="4" s="1"/>
  <c r="Q157" i="18"/>
  <c r="E159" i="4" s="1"/>
  <c r="AO158" i="18"/>
  <c r="H160" i="4" s="1"/>
  <c r="Q161" i="18"/>
  <c r="E163" i="4" s="1"/>
  <c r="AO162" i="18"/>
  <c r="H164" i="4" s="1"/>
  <c r="Y166" i="18"/>
  <c r="F168" i="4" s="1"/>
  <c r="Q333" i="18"/>
  <c r="E335" i="4" s="1"/>
  <c r="Q334" i="18"/>
  <c r="E336" i="4" s="1"/>
  <c r="Q335" i="18"/>
  <c r="E337" i="4" s="1"/>
  <c r="Q336" i="18"/>
  <c r="E338" i="4" s="1"/>
  <c r="Q337" i="18"/>
  <c r="E339" i="4" s="1"/>
  <c r="Q338" i="18"/>
  <c r="E340" i="4" s="1"/>
  <c r="Q339" i="18"/>
  <c r="E341" i="4" s="1"/>
  <c r="Q340" i="18"/>
  <c r="E342" i="4" s="1"/>
  <c r="Q341" i="18"/>
  <c r="E343" i="4" s="1"/>
  <c r="Q342" i="18"/>
  <c r="E344" i="4" s="1"/>
  <c r="Q343" i="18"/>
  <c r="E345" i="4" s="1"/>
  <c r="Q344" i="18"/>
  <c r="E346" i="4" s="1"/>
  <c r="Q345" i="18"/>
  <c r="E347" i="4" s="1"/>
  <c r="AW346" i="18"/>
  <c r="I348" i="4" s="1"/>
  <c r="AW347" i="18"/>
  <c r="I349" i="4" s="1"/>
  <c r="AW348" i="18"/>
  <c r="I350" i="4" s="1"/>
  <c r="AW349" i="18"/>
  <c r="I351" i="4" s="1"/>
  <c r="AW350" i="18"/>
  <c r="I352" i="4" s="1"/>
  <c r="AW351" i="18"/>
  <c r="I353" i="4" s="1"/>
  <c r="AW352" i="18"/>
  <c r="I354" i="4" s="1"/>
  <c r="AW353" i="18"/>
  <c r="I355" i="4" s="1"/>
  <c r="Q355" i="18"/>
  <c r="E357" i="4" s="1"/>
  <c r="Q356" i="18"/>
  <c r="E358" i="4" s="1"/>
  <c r="Q357" i="18"/>
  <c r="E359" i="4" s="1"/>
  <c r="AW357" i="18"/>
  <c r="I359" i="4" s="1"/>
  <c r="AW358" i="18"/>
  <c r="I360" i="4" s="1"/>
  <c r="AW359" i="18"/>
  <c r="I361" i="4" s="1"/>
  <c r="AW360" i="18"/>
  <c r="I362" i="4" s="1"/>
  <c r="BE382" i="18"/>
  <c r="J384" i="4" s="1"/>
  <c r="BE387" i="18"/>
  <c r="J389" i="4" s="1"/>
  <c r="BE389" i="18"/>
  <c r="J391" i="4" s="1"/>
  <c r="BE391" i="18"/>
  <c r="J393" i="4" s="1"/>
  <c r="BE393" i="18"/>
  <c r="J395" i="4" s="1"/>
  <c r="BE395" i="18"/>
  <c r="J397" i="4" s="1"/>
  <c r="BE397" i="18"/>
  <c r="J399" i="4" s="1"/>
  <c r="BE399" i="18"/>
  <c r="J401" i="4" s="1"/>
  <c r="BE401" i="18"/>
  <c r="J403" i="4" s="1"/>
  <c r="BE402" i="18"/>
  <c r="J404" i="4" s="1"/>
  <c r="BE405" i="18"/>
  <c r="J407" i="4" s="1"/>
  <c r="Y4" i="18"/>
  <c r="F6" i="4" s="1"/>
  <c r="BE4" i="18"/>
  <c r="J6" i="4" s="1"/>
  <c r="Q6" i="18"/>
  <c r="E8" i="4" s="1"/>
  <c r="AO7" i="18"/>
  <c r="H9" i="4" s="1"/>
  <c r="Q10" i="18"/>
  <c r="E12" i="4" s="1"/>
  <c r="AO11" i="18"/>
  <c r="H13" i="4" s="1"/>
  <c r="Q14" i="18"/>
  <c r="E16" i="4" s="1"/>
  <c r="AO15" i="18"/>
  <c r="H17" i="4" s="1"/>
  <c r="Q18" i="18"/>
  <c r="E20" i="4" s="1"/>
  <c r="AO19" i="18"/>
  <c r="H21" i="4" s="1"/>
  <c r="Q22" i="18"/>
  <c r="E24" i="4" s="1"/>
  <c r="AO23" i="18"/>
  <c r="H25" i="4" s="1"/>
  <c r="Q26" i="18"/>
  <c r="E28" i="4" s="1"/>
  <c r="AO27" i="18"/>
  <c r="H29" i="4" s="1"/>
  <c r="Q30" i="18"/>
  <c r="E32" i="4" s="1"/>
  <c r="AO31" i="18"/>
  <c r="H33" i="4" s="1"/>
  <c r="Q34" i="18"/>
  <c r="E36" i="4" s="1"/>
  <c r="AO35" i="18"/>
  <c r="H37" i="4" s="1"/>
  <c r="Q38" i="18"/>
  <c r="E40" i="4" s="1"/>
  <c r="AO39" i="18"/>
  <c r="H41" i="4" s="1"/>
  <c r="Q42" i="18"/>
  <c r="E44" i="4" s="1"/>
  <c r="AO43" i="18"/>
  <c r="H45" i="4" s="1"/>
  <c r="Q46" i="18"/>
  <c r="E48" i="4" s="1"/>
  <c r="AO47" i="18"/>
  <c r="H49" i="4" s="1"/>
  <c r="Q50" i="18"/>
  <c r="E52" i="4" s="1"/>
  <c r="AO51" i="18"/>
  <c r="H53" i="4" s="1"/>
  <c r="Q54" i="18"/>
  <c r="E56" i="4" s="1"/>
  <c r="AO55" i="18"/>
  <c r="H57" i="4" s="1"/>
  <c r="Q58" i="18"/>
  <c r="E60" i="4" s="1"/>
  <c r="AO59" i="18"/>
  <c r="H61" i="4" s="1"/>
  <c r="Q62" i="18"/>
  <c r="E64" i="4" s="1"/>
  <c r="AO63" i="18"/>
  <c r="H65" i="4" s="1"/>
  <c r="Q66" i="18"/>
  <c r="E68" i="4" s="1"/>
  <c r="AO67" i="18"/>
  <c r="H69" i="4" s="1"/>
  <c r="Q70" i="18"/>
  <c r="E72" i="4" s="1"/>
  <c r="AO71" i="18"/>
  <c r="H73" i="4" s="1"/>
  <c r="Q74" i="18"/>
  <c r="E76" i="4" s="1"/>
  <c r="AO75" i="18"/>
  <c r="H77" i="4" s="1"/>
  <c r="Q78" i="18"/>
  <c r="E80" i="4" s="1"/>
  <c r="AO79" i="18"/>
  <c r="H81" i="4" s="1"/>
  <c r="Q82" i="18"/>
  <c r="E84" i="4" s="1"/>
  <c r="AO83" i="18"/>
  <c r="H85" i="4" s="1"/>
  <c r="Q86" i="18"/>
  <c r="E88" i="4" s="1"/>
  <c r="AO87" i="18"/>
  <c r="H89" i="4" s="1"/>
  <c r="Q90" i="18"/>
  <c r="E92" i="4" s="1"/>
  <c r="AO91" i="18"/>
  <c r="H93" i="4" s="1"/>
  <c r="Q94" i="18"/>
  <c r="E96" i="4" s="1"/>
  <c r="AO95" i="18"/>
  <c r="H97" i="4" s="1"/>
  <c r="Q98" i="18"/>
  <c r="E100" i="4" s="1"/>
  <c r="AO99" i="18"/>
  <c r="H101" i="4" s="1"/>
  <c r="Q102" i="18"/>
  <c r="E104" i="4" s="1"/>
  <c r="AO103" i="18"/>
  <c r="H105" i="4" s="1"/>
  <c r="Q106" i="18"/>
  <c r="E108" i="4" s="1"/>
  <c r="AO107" i="18"/>
  <c r="H109" i="4" s="1"/>
  <c r="Q110" i="18"/>
  <c r="E112" i="4" s="1"/>
  <c r="AO111" i="18"/>
  <c r="H113" i="4" s="1"/>
  <c r="Q114" i="18"/>
  <c r="E116" i="4" s="1"/>
  <c r="AO115" i="18"/>
  <c r="H117" i="4" s="1"/>
  <c r="Q118" i="18"/>
  <c r="E120" i="4" s="1"/>
  <c r="AO119" i="18"/>
  <c r="H121" i="4" s="1"/>
  <c r="Q122" i="18"/>
  <c r="E124" i="4" s="1"/>
  <c r="AO123" i="18"/>
  <c r="H125" i="4" s="1"/>
  <c r="Q126" i="18"/>
  <c r="E128" i="4" s="1"/>
  <c r="AO127" i="18"/>
  <c r="H129" i="4" s="1"/>
  <c r="Q130" i="18"/>
  <c r="E132" i="4" s="1"/>
  <c r="AO131" i="18"/>
  <c r="H133" i="4" s="1"/>
  <c r="Q134" i="18"/>
  <c r="E136" i="4" s="1"/>
  <c r="AO135" i="18"/>
  <c r="H137" i="4" s="1"/>
  <c r="Q138" i="18"/>
  <c r="E140" i="4" s="1"/>
  <c r="AO139" i="18"/>
  <c r="H141" i="4" s="1"/>
  <c r="Q142" i="18"/>
  <c r="E144" i="4" s="1"/>
  <c r="AO143" i="18"/>
  <c r="H145" i="4" s="1"/>
  <c r="Q146" i="18"/>
  <c r="E148" i="4" s="1"/>
  <c r="AO147" i="18"/>
  <c r="H149" i="4" s="1"/>
  <c r="Q150" i="18"/>
  <c r="E152" i="4" s="1"/>
  <c r="AO151" i="18"/>
  <c r="H153" i="4" s="1"/>
  <c r="Q154" i="18"/>
  <c r="E156" i="4" s="1"/>
  <c r="AO155" i="18"/>
  <c r="H157" i="4" s="1"/>
  <c r="AO160" i="18"/>
  <c r="H162" i="4" s="1"/>
  <c r="Q163" i="18"/>
  <c r="E165" i="4" s="1"/>
  <c r="AO164" i="18"/>
  <c r="H166" i="4" s="1"/>
  <c r="AO169" i="18"/>
  <c r="H171" i="4" s="1"/>
  <c r="Y170" i="18"/>
  <c r="F172" i="4" s="1"/>
  <c r="AO172" i="18"/>
  <c r="H174" i="4" s="1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I181" i="18"/>
  <c r="D183" i="4" s="1"/>
  <c r="AO181" i="18"/>
  <c r="H183" i="4" s="1"/>
  <c r="I182" i="18"/>
  <c r="D184" i="4" s="1"/>
  <c r="AO182" i="18"/>
  <c r="H184" i="4" s="1"/>
  <c r="I183" i="18"/>
  <c r="D185" i="4" s="1"/>
  <c r="AO183" i="18"/>
  <c r="H185" i="4" s="1"/>
  <c r="I184" i="18"/>
  <c r="D186" i="4" s="1"/>
  <c r="AO184" i="18"/>
  <c r="H186" i="4" s="1"/>
  <c r="I185" i="18"/>
  <c r="D187" i="4" s="1"/>
  <c r="AO185" i="18"/>
  <c r="H187" i="4" s="1"/>
  <c r="I186" i="18"/>
  <c r="D188" i="4" s="1"/>
  <c r="AO186" i="18"/>
  <c r="H188" i="4" s="1"/>
  <c r="I187" i="18"/>
  <c r="D189" i="4" s="1"/>
  <c r="AO187" i="18"/>
  <c r="H189" i="4" s="1"/>
  <c r="I188" i="18"/>
  <c r="D190" i="4" s="1"/>
  <c r="AO188" i="18"/>
  <c r="H190" i="4" s="1"/>
  <c r="I189" i="18"/>
  <c r="D191" i="4" s="1"/>
  <c r="AO189" i="18"/>
  <c r="H191" i="4" s="1"/>
  <c r="I190" i="18"/>
  <c r="D192" i="4" s="1"/>
  <c r="AO190" i="18"/>
  <c r="H192" i="4" s="1"/>
  <c r="I191" i="18"/>
  <c r="D193" i="4" s="1"/>
  <c r="AO191" i="18"/>
  <c r="H193" i="4" s="1"/>
  <c r="I192" i="18"/>
  <c r="D194" i="4" s="1"/>
  <c r="AO192" i="18"/>
  <c r="H194" i="4" s="1"/>
  <c r="I193" i="18"/>
  <c r="D195" i="4" s="1"/>
  <c r="AO193" i="18"/>
  <c r="H195" i="4" s="1"/>
  <c r="I194" i="18"/>
  <c r="D196" i="4" s="1"/>
  <c r="AO194" i="18"/>
  <c r="H196" i="4" s="1"/>
  <c r="I195" i="18"/>
  <c r="D197" i="4" s="1"/>
  <c r="AO195" i="18"/>
  <c r="H197" i="4" s="1"/>
  <c r="I196" i="18"/>
  <c r="D198" i="4" s="1"/>
  <c r="AO196" i="18"/>
  <c r="H198" i="4" s="1"/>
  <c r="I197" i="18"/>
  <c r="D199" i="4" s="1"/>
  <c r="AO197" i="18"/>
  <c r="H199" i="4" s="1"/>
  <c r="I198" i="18"/>
  <c r="D200" i="4" s="1"/>
  <c r="AO198" i="18"/>
  <c r="H200" i="4" s="1"/>
  <c r="I199" i="18"/>
  <c r="D201" i="4" s="1"/>
  <c r="AO199" i="18"/>
  <c r="H201" i="4" s="1"/>
  <c r="I200" i="18"/>
  <c r="D202" i="4" s="1"/>
  <c r="AO200" i="18"/>
  <c r="H202" i="4" s="1"/>
  <c r="I201" i="18"/>
  <c r="D203" i="4" s="1"/>
  <c r="AO201" i="18"/>
  <c r="H203" i="4" s="1"/>
  <c r="I202" i="18"/>
  <c r="D204" i="4" s="1"/>
  <c r="AO202" i="18"/>
  <c r="H204" i="4" s="1"/>
  <c r="I203" i="18"/>
  <c r="D205" i="4" s="1"/>
  <c r="AO203" i="18"/>
  <c r="H205" i="4" s="1"/>
  <c r="I204" i="18"/>
  <c r="D206" i="4" s="1"/>
  <c r="AO204" i="18"/>
  <c r="H206" i="4" s="1"/>
  <c r="I205" i="18"/>
  <c r="D207" i="4" s="1"/>
  <c r="AO205" i="18"/>
  <c r="H207" i="4" s="1"/>
  <c r="I206" i="18"/>
  <c r="D208" i="4" s="1"/>
  <c r="AO206" i="18"/>
  <c r="H208" i="4" s="1"/>
  <c r="I207" i="18"/>
  <c r="D209" i="4" s="1"/>
  <c r="AO207" i="18"/>
  <c r="H209" i="4" s="1"/>
  <c r="I208" i="18"/>
  <c r="D210" i="4" s="1"/>
  <c r="AO208" i="18"/>
  <c r="H210" i="4" s="1"/>
  <c r="I209" i="18"/>
  <c r="D211" i="4" s="1"/>
  <c r="AO209" i="18"/>
  <c r="H211" i="4" s="1"/>
  <c r="AG225" i="18"/>
  <c r="G227" i="4" s="1"/>
  <c r="AG226" i="18"/>
  <c r="G228" i="4" s="1"/>
  <c r="AG227" i="18"/>
  <c r="G229" i="4" s="1"/>
  <c r="AG228" i="18"/>
  <c r="G230" i="4" s="1"/>
  <c r="AG229" i="18"/>
  <c r="G231" i="4" s="1"/>
  <c r="AG230" i="18"/>
  <c r="G232" i="4" s="1"/>
  <c r="AG231" i="18"/>
  <c r="G233" i="4" s="1"/>
  <c r="AG232" i="18"/>
  <c r="G234" i="4" s="1"/>
  <c r="AG233" i="18"/>
  <c r="G235" i="4" s="1"/>
  <c r="AG234" i="18"/>
  <c r="G236" i="4" s="1"/>
  <c r="AG235" i="18"/>
  <c r="G237" i="4" s="1"/>
  <c r="AG236" i="18"/>
  <c r="G238" i="4" s="1"/>
  <c r="AG237" i="18"/>
  <c r="G239" i="4" s="1"/>
  <c r="AG238" i="18"/>
  <c r="G240" i="4" s="1"/>
  <c r="AG239" i="18"/>
  <c r="G241" i="4" s="1"/>
  <c r="AG240" i="18"/>
  <c r="G242" i="4" s="1"/>
  <c r="AG241" i="18"/>
  <c r="G243" i="4" s="1"/>
  <c r="AG242" i="18"/>
  <c r="G244" i="4" s="1"/>
  <c r="AG243" i="18"/>
  <c r="G245" i="4" s="1"/>
  <c r="AG244" i="18"/>
  <c r="G246" i="4" s="1"/>
  <c r="AG245" i="18"/>
  <c r="G247" i="4" s="1"/>
  <c r="AG246" i="18"/>
  <c r="G248" i="4" s="1"/>
  <c r="AG247" i="18"/>
  <c r="G249" i="4" s="1"/>
  <c r="AG248" i="18"/>
  <c r="G250" i="4" s="1"/>
  <c r="AG249" i="18"/>
  <c r="G251" i="4" s="1"/>
  <c r="AG250" i="18"/>
  <c r="G252" i="4" s="1"/>
  <c r="AG251" i="18"/>
  <c r="G253" i="4" s="1"/>
  <c r="AG252" i="18"/>
  <c r="G254" i="4" s="1"/>
  <c r="AG253" i="18"/>
  <c r="G255" i="4" s="1"/>
  <c r="AG254" i="18"/>
  <c r="G256" i="4" s="1"/>
  <c r="AG255" i="18"/>
  <c r="G257" i="4" s="1"/>
  <c r="AG256" i="18"/>
  <c r="G258" i="4" s="1"/>
  <c r="AG257" i="18"/>
  <c r="G259" i="4" s="1"/>
  <c r="AG258" i="18"/>
  <c r="G260" i="4" s="1"/>
  <c r="AG259" i="18"/>
  <c r="G261" i="4" s="1"/>
  <c r="AG260" i="18"/>
  <c r="G262" i="4" s="1"/>
  <c r="AG261" i="18"/>
  <c r="G263" i="4" s="1"/>
  <c r="AG262" i="18"/>
  <c r="G264" i="4" s="1"/>
  <c r="AG263" i="18"/>
  <c r="G265" i="4" s="1"/>
  <c r="AG264" i="18"/>
  <c r="G266" i="4" s="1"/>
  <c r="AG265" i="18"/>
  <c r="G267" i="4" s="1"/>
  <c r="AG266" i="18"/>
  <c r="G268" i="4" s="1"/>
  <c r="AG267" i="18"/>
  <c r="G269" i="4" s="1"/>
  <c r="AG268" i="18"/>
  <c r="G270" i="4" s="1"/>
  <c r="AG269" i="18"/>
  <c r="G271" i="4" s="1"/>
  <c r="AG270" i="18"/>
  <c r="G272" i="4" s="1"/>
  <c r="AG271" i="18"/>
  <c r="G273" i="4" s="1"/>
  <c r="AG272" i="18"/>
  <c r="G274" i="4" s="1"/>
  <c r="AG273" i="18"/>
  <c r="G275" i="4" s="1"/>
  <c r="AG274" i="18"/>
  <c r="G276" i="4" s="1"/>
  <c r="AG275" i="18"/>
  <c r="G277" i="4" s="1"/>
  <c r="AG276" i="18"/>
  <c r="G278" i="4" s="1"/>
  <c r="AG277" i="18"/>
  <c r="G279" i="4" s="1"/>
  <c r="AG278" i="18"/>
  <c r="G280" i="4" s="1"/>
  <c r="AG279" i="18"/>
  <c r="G281" i="4" s="1"/>
  <c r="AG280" i="18"/>
  <c r="G282" i="4" s="1"/>
  <c r="AG281" i="18"/>
  <c r="G283" i="4" s="1"/>
  <c r="AG282" i="18"/>
  <c r="G284" i="4" s="1"/>
  <c r="AG283" i="18"/>
  <c r="G285" i="4" s="1"/>
  <c r="AG284" i="18"/>
  <c r="G286" i="4" s="1"/>
  <c r="AG285" i="18"/>
  <c r="G287" i="4" s="1"/>
  <c r="AG286" i="18"/>
  <c r="G288" i="4" s="1"/>
  <c r="AG287" i="18"/>
  <c r="G289" i="4" s="1"/>
  <c r="AG288" i="18"/>
  <c r="G290" i="4" s="1"/>
  <c r="AG289" i="18"/>
  <c r="G291" i="4" s="1"/>
  <c r="AG291" i="18"/>
  <c r="G293" i="4" s="1"/>
  <c r="AG290" i="18"/>
  <c r="G292" i="4" s="1"/>
  <c r="AW5" i="18"/>
  <c r="I7" i="4" s="1"/>
  <c r="AW6" i="18"/>
  <c r="I8" i="4" s="1"/>
  <c r="AW7" i="18"/>
  <c r="I9" i="4" s="1"/>
  <c r="AW8" i="18"/>
  <c r="I10" i="4" s="1"/>
  <c r="AW9" i="18"/>
  <c r="I11" i="4" s="1"/>
  <c r="AW10" i="18"/>
  <c r="I12" i="4" s="1"/>
  <c r="AW11" i="18"/>
  <c r="I13" i="4" s="1"/>
  <c r="AW12" i="18"/>
  <c r="I14" i="4" s="1"/>
  <c r="AW13" i="18"/>
  <c r="I15" i="4" s="1"/>
  <c r="AW14" i="18"/>
  <c r="I16" i="4" s="1"/>
  <c r="AW15" i="18"/>
  <c r="I17" i="4" s="1"/>
  <c r="AW16" i="18"/>
  <c r="I18" i="4" s="1"/>
  <c r="AW17" i="18"/>
  <c r="I19" i="4" s="1"/>
  <c r="AW18" i="18"/>
  <c r="I20" i="4" s="1"/>
  <c r="AW19" i="18"/>
  <c r="I21" i="4" s="1"/>
  <c r="AW20" i="18"/>
  <c r="I22" i="4" s="1"/>
  <c r="AW21" i="18"/>
  <c r="I23" i="4" s="1"/>
  <c r="AW22" i="18"/>
  <c r="I24" i="4" s="1"/>
  <c r="AW23" i="18"/>
  <c r="I25" i="4" s="1"/>
  <c r="AW24" i="18"/>
  <c r="I26" i="4" s="1"/>
  <c r="AW25" i="18"/>
  <c r="I27" i="4" s="1"/>
  <c r="AW26" i="18"/>
  <c r="I28" i="4" s="1"/>
  <c r="AW27" i="18"/>
  <c r="I29" i="4" s="1"/>
  <c r="AW28" i="18"/>
  <c r="I30" i="4" s="1"/>
  <c r="AW29" i="18"/>
  <c r="I31" i="4" s="1"/>
  <c r="AW30" i="18"/>
  <c r="I32" i="4" s="1"/>
  <c r="AW31" i="18"/>
  <c r="I33" i="4" s="1"/>
  <c r="AW32" i="18"/>
  <c r="I34" i="4" s="1"/>
  <c r="AW33" i="18"/>
  <c r="I35" i="4" s="1"/>
  <c r="AW34" i="18"/>
  <c r="I36" i="4" s="1"/>
  <c r="AW35" i="18"/>
  <c r="I37" i="4" s="1"/>
  <c r="AW36" i="18"/>
  <c r="I38" i="4" s="1"/>
  <c r="AW37" i="18"/>
  <c r="I39" i="4" s="1"/>
  <c r="AW38" i="18"/>
  <c r="I40" i="4" s="1"/>
  <c r="AW39" i="18"/>
  <c r="I41" i="4" s="1"/>
  <c r="AW40" i="18"/>
  <c r="I42" i="4" s="1"/>
  <c r="AW41" i="18"/>
  <c r="I43" i="4" s="1"/>
  <c r="AW42" i="18"/>
  <c r="I44" i="4" s="1"/>
  <c r="AW43" i="18"/>
  <c r="I45" i="4" s="1"/>
  <c r="AW44" i="18"/>
  <c r="I46" i="4" s="1"/>
  <c r="AW45" i="18"/>
  <c r="I47" i="4" s="1"/>
  <c r="AW46" i="18"/>
  <c r="I48" i="4" s="1"/>
  <c r="AW47" i="18"/>
  <c r="I49" i="4" s="1"/>
  <c r="AW48" i="18"/>
  <c r="I50" i="4" s="1"/>
  <c r="AW49" i="18"/>
  <c r="I51" i="4" s="1"/>
  <c r="AW50" i="18"/>
  <c r="I52" i="4" s="1"/>
  <c r="AW51" i="18"/>
  <c r="I53" i="4" s="1"/>
  <c r="AW52" i="18"/>
  <c r="I54" i="4" s="1"/>
  <c r="AW53" i="18"/>
  <c r="I55" i="4" s="1"/>
  <c r="AW54" i="18"/>
  <c r="I56" i="4" s="1"/>
  <c r="AW55" i="18"/>
  <c r="I57" i="4" s="1"/>
  <c r="AW56" i="18"/>
  <c r="I58" i="4" s="1"/>
  <c r="AW57" i="18"/>
  <c r="I59" i="4" s="1"/>
  <c r="AW58" i="18"/>
  <c r="I60" i="4" s="1"/>
  <c r="AW59" i="18"/>
  <c r="I61" i="4" s="1"/>
  <c r="AW60" i="18"/>
  <c r="I62" i="4" s="1"/>
  <c r="AW61" i="18"/>
  <c r="I63" i="4" s="1"/>
  <c r="AW62" i="18"/>
  <c r="I64" i="4" s="1"/>
  <c r="AW63" i="18"/>
  <c r="I65" i="4" s="1"/>
  <c r="AW64" i="18"/>
  <c r="I66" i="4" s="1"/>
  <c r="AW65" i="18"/>
  <c r="I67" i="4" s="1"/>
  <c r="AW66" i="18"/>
  <c r="I68" i="4" s="1"/>
  <c r="AW67" i="18"/>
  <c r="I69" i="4" s="1"/>
  <c r="AW68" i="18"/>
  <c r="I70" i="4" s="1"/>
  <c r="AW69" i="18"/>
  <c r="I71" i="4" s="1"/>
  <c r="AW70" i="18"/>
  <c r="I72" i="4" s="1"/>
  <c r="AW71" i="18"/>
  <c r="I73" i="4" s="1"/>
  <c r="AW72" i="18"/>
  <c r="I74" i="4" s="1"/>
  <c r="AW73" i="18"/>
  <c r="I75" i="4" s="1"/>
  <c r="AW74" i="18"/>
  <c r="I76" i="4" s="1"/>
  <c r="AW75" i="18"/>
  <c r="I77" i="4" s="1"/>
  <c r="AW76" i="18"/>
  <c r="I78" i="4" s="1"/>
  <c r="AW77" i="18"/>
  <c r="I79" i="4" s="1"/>
  <c r="AW78" i="18"/>
  <c r="I80" i="4" s="1"/>
  <c r="AW79" i="18"/>
  <c r="I81" i="4" s="1"/>
  <c r="AW80" i="18"/>
  <c r="I82" i="4" s="1"/>
  <c r="AW81" i="18"/>
  <c r="I83" i="4" s="1"/>
  <c r="AW82" i="18"/>
  <c r="I84" i="4" s="1"/>
  <c r="AW83" i="18"/>
  <c r="I85" i="4" s="1"/>
  <c r="AW84" i="18"/>
  <c r="I86" i="4" s="1"/>
  <c r="AW85" i="18"/>
  <c r="I87" i="4" s="1"/>
  <c r="AW86" i="18"/>
  <c r="I88" i="4" s="1"/>
  <c r="AW87" i="18"/>
  <c r="I89" i="4" s="1"/>
  <c r="AW88" i="18"/>
  <c r="I90" i="4" s="1"/>
  <c r="AW89" i="18"/>
  <c r="I91" i="4" s="1"/>
  <c r="AW90" i="18"/>
  <c r="I92" i="4" s="1"/>
  <c r="AW91" i="18"/>
  <c r="I93" i="4" s="1"/>
  <c r="AW92" i="18"/>
  <c r="I94" i="4" s="1"/>
  <c r="AW93" i="18"/>
  <c r="I95" i="4" s="1"/>
  <c r="AW94" i="18"/>
  <c r="I96" i="4" s="1"/>
  <c r="AW95" i="18"/>
  <c r="I97" i="4" s="1"/>
  <c r="AW96" i="18"/>
  <c r="I98" i="4" s="1"/>
  <c r="AW97" i="18"/>
  <c r="I99" i="4" s="1"/>
  <c r="AW98" i="18"/>
  <c r="I100" i="4" s="1"/>
  <c r="AW99" i="18"/>
  <c r="I101" i="4" s="1"/>
  <c r="AW100" i="18"/>
  <c r="I102" i="4" s="1"/>
  <c r="AW101" i="18"/>
  <c r="I103" i="4" s="1"/>
  <c r="AW102" i="18"/>
  <c r="I104" i="4" s="1"/>
  <c r="AW103" i="18"/>
  <c r="I105" i="4" s="1"/>
  <c r="AW104" i="18"/>
  <c r="I106" i="4" s="1"/>
  <c r="AW105" i="18"/>
  <c r="I107" i="4" s="1"/>
  <c r="AW106" i="18"/>
  <c r="I108" i="4" s="1"/>
  <c r="AW107" i="18"/>
  <c r="I109" i="4" s="1"/>
  <c r="AW108" i="18"/>
  <c r="I110" i="4" s="1"/>
  <c r="AW109" i="18"/>
  <c r="I111" i="4" s="1"/>
  <c r="AW110" i="18"/>
  <c r="I112" i="4" s="1"/>
  <c r="AW111" i="18"/>
  <c r="I113" i="4" s="1"/>
  <c r="AW112" i="18"/>
  <c r="I114" i="4" s="1"/>
  <c r="AW113" i="18"/>
  <c r="I115" i="4" s="1"/>
  <c r="AW114" i="18"/>
  <c r="I116" i="4" s="1"/>
  <c r="AW115" i="18"/>
  <c r="I117" i="4" s="1"/>
  <c r="AW116" i="18"/>
  <c r="I118" i="4" s="1"/>
  <c r="AW117" i="18"/>
  <c r="I119" i="4" s="1"/>
  <c r="AW118" i="18"/>
  <c r="I120" i="4" s="1"/>
  <c r="AW119" i="18"/>
  <c r="I121" i="4" s="1"/>
  <c r="AW120" i="18"/>
  <c r="I122" i="4" s="1"/>
  <c r="AW121" i="18"/>
  <c r="I123" i="4" s="1"/>
  <c r="AW122" i="18"/>
  <c r="I124" i="4" s="1"/>
  <c r="AW123" i="18"/>
  <c r="I125" i="4" s="1"/>
  <c r="AW124" i="18"/>
  <c r="I126" i="4" s="1"/>
  <c r="AW125" i="18"/>
  <c r="I127" i="4" s="1"/>
  <c r="AW126" i="18"/>
  <c r="I128" i="4" s="1"/>
  <c r="AW127" i="18"/>
  <c r="I129" i="4" s="1"/>
  <c r="AW128" i="18"/>
  <c r="I130" i="4" s="1"/>
  <c r="AW129" i="18"/>
  <c r="I131" i="4" s="1"/>
  <c r="AW130" i="18"/>
  <c r="I132" i="4" s="1"/>
  <c r="AW131" i="18"/>
  <c r="I133" i="4" s="1"/>
  <c r="AW132" i="18"/>
  <c r="I134" i="4" s="1"/>
  <c r="AW133" i="18"/>
  <c r="I135" i="4" s="1"/>
  <c r="AW134" i="18"/>
  <c r="I136" i="4" s="1"/>
  <c r="AW135" i="18"/>
  <c r="I137" i="4" s="1"/>
  <c r="AW136" i="18"/>
  <c r="I138" i="4" s="1"/>
  <c r="AW137" i="18"/>
  <c r="I139" i="4" s="1"/>
  <c r="AW138" i="18"/>
  <c r="I140" i="4" s="1"/>
  <c r="AW139" i="18"/>
  <c r="I141" i="4" s="1"/>
  <c r="AW140" i="18"/>
  <c r="I142" i="4" s="1"/>
  <c r="AW141" i="18"/>
  <c r="I143" i="4" s="1"/>
  <c r="AW142" i="18"/>
  <c r="I144" i="4" s="1"/>
  <c r="AW143" i="18"/>
  <c r="I145" i="4" s="1"/>
  <c r="AW144" i="18"/>
  <c r="I146" i="4" s="1"/>
  <c r="AW145" i="18"/>
  <c r="I147" i="4" s="1"/>
  <c r="AW146" i="18"/>
  <c r="I148" i="4" s="1"/>
  <c r="AW147" i="18"/>
  <c r="I149" i="4" s="1"/>
  <c r="AW148" i="18"/>
  <c r="I150" i="4" s="1"/>
  <c r="AW149" i="18"/>
  <c r="I151" i="4" s="1"/>
  <c r="AW150" i="18"/>
  <c r="I152" i="4" s="1"/>
  <c r="AW151" i="18"/>
  <c r="I153" i="4" s="1"/>
  <c r="AW152" i="18"/>
  <c r="I154" i="4" s="1"/>
  <c r="AW153" i="18"/>
  <c r="I155" i="4" s="1"/>
  <c r="AW154" i="18"/>
  <c r="I156" i="4" s="1"/>
  <c r="AW155" i="18"/>
  <c r="I157" i="4" s="1"/>
  <c r="AW156" i="18"/>
  <c r="I158" i="4" s="1"/>
  <c r="AW157" i="18"/>
  <c r="I159" i="4" s="1"/>
  <c r="AW158" i="18"/>
  <c r="I160" i="4" s="1"/>
  <c r="AW159" i="18"/>
  <c r="I161" i="4" s="1"/>
  <c r="AW160" i="18"/>
  <c r="I162" i="4" s="1"/>
  <c r="AW161" i="18"/>
  <c r="I163" i="4" s="1"/>
  <c r="AW162" i="18"/>
  <c r="I164" i="4" s="1"/>
  <c r="AW163" i="18"/>
  <c r="I165" i="4" s="1"/>
  <c r="AW164" i="18"/>
  <c r="I166" i="4" s="1"/>
  <c r="I165" i="18"/>
  <c r="D167" i="4" s="1"/>
  <c r="Y173" i="18"/>
  <c r="F175" i="4" s="1"/>
  <c r="Y175" i="18"/>
  <c r="F177" i="4" s="1"/>
  <c r="Y177" i="18"/>
  <c r="F179" i="4" s="1"/>
  <c r="Y179" i="18"/>
  <c r="F181" i="4" s="1"/>
  <c r="AG5" i="18"/>
  <c r="G7" i="4" s="1"/>
  <c r="AG6" i="18"/>
  <c r="G8" i="4" s="1"/>
  <c r="AG7" i="18"/>
  <c r="G9" i="4" s="1"/>
  <c r="AG8" i="18"/>
  <c r="G10" i="4" s="1"/>
  <c r="AG9" i="18"/>
  <c r="G11" i="4" s="1"/>
  <c r="AG10" i="18"/>
  <c r="G12" i="4" s="1"/>
  <c r="AG11" i="18"/>
  <c r="G13" i="4" s="1"/>
  <c r="AG12" i="18"/>
  <c r="G14" i="4" s="1"/>
  <c r="AG13" i="18"/>
  <c r="G15" i="4" s="1"/>
  <c r="AG14" i="18"/>
  <c r="G16" i="4" s="1"/>
  <c r="AG15" i="18"/>
  <c r="G17" i="4" s="1"/>
  <c r="AG16" i="18"/>
  <c r="G18" i="4" s="1"/>
  <c r="AG17" i="18"/>
  <c r="G19" i="4" s="1"/>
  <c r="AG18" i="18"/>
  <c r="G20" i="4" s="1"/>
  <c r="AG19" i="18"/>
  <c r="G21" i="4" s="1"/>
  <c r="AG20" i="18"/>
  <c r="G22" i="4" s="1"/>
  <c r="AG21" i="18"/>
  <c r="G23" i="4" s="1"/>
  <c r="AG22" i="18"/>
  <c r="G24" i="4" s="1"/>
  <c r="AG23" i="18"/>
  <c r="G25" i="4" s="1"/>
  <c r="AG24" i="18"/>
  <c r="G26" i="4" s="1"/>
  <c r="AG25" i="18"/>
  <c r="G27" i="4" s="1"/>
  <c r="AG26" i="18"/>
  <c r="G28" i="4" s="1"/>
  <c r="AG27" i="18"/>
  <c r="G29" i="4" s="1"/>
  <c r="AG28" i="18"/>
  <c r="G30" i="4" s="1"/>
  <c r="AG29" i="18"/>
  <c r="G31" i="4" s="1"/>
  <c r="AG30" i="18"/>
  <c r="G32" i="4" s="1"/>
  <c r="AG31" i="18"/>
  <c r="G33" i="4" s="1"/>
  <c r="AG32" i="18"/>
  <c r="G34" i="4" s="1"/>
  <c r="AG33" i="18"/>
  <c r="G35" i="4" s="1"/>
  <c r="AG34" i="18"/>
  <c r="G36" i="4" s="1"/>
  <c r="AG35" i="18"/>
  <c r="G37" i="4" s="1"/>
  <c r="AG36" i="18"/>
  <c r="G38" i="4" s="1"/>
  <c r="AG37" i="18"/>
  <c r="G39" i="4" s="1"/>
  <c r="AG38" i="18"/>
  <c r="G40" i="4" s="1"/>
  <c r="AG39" i="18"/>
  <c r="G41" i="4" s="1"/>
  <c r="AG40" i="18"/>
  <c r="G42" i="4" s="1"/>
  <c r="AG41" i="18"/>
  <c r="G43" i="4" s="1"/>
  <c r="AG42" i="18"/>
  <c r="G44" i="4" s="1"/>
  <c r="AG43" i="18"/>
  <c r="G45" i="4" s="1"/>
  <c r="AG44" i="18"/>
  <c r="G46" i="4" s="1"/>
  <c r="AG45" i="18"/>
  <c r="G47" i="4" s="1"/>
  <c r="AG46" i="18"/>
  <c r="G48" i="4" s="1"/>
  <c r="AG47" i="18"/>
  <c r="G49" i="4" s="1"/>
  <c r="AG48" i="18"/>
  <c r="G50" i="4" s="1"/>
  <c r="AG49" i="18"/>
  <c r="G51" i="4" s="1"/>
  <c r="AG50" i="18"/>
  <c r="G52" i="4" s="1"/>
  <c r="AG51" i="18"/>
  <c r="G53" i="4" s="1"/>
  <c r="AG52" i="18"/>
  <c r="G54" i="4" s="1"/>
  <c r="AG53" i="18"/>
  <c r="G55" i="4" s="1"/>
  <c r="AG54" i="18"/>
  <c r="G56" i="4" s="1"/>
  <c r="AG55" i="18"/>
  <c r="G57" i="4" s="1"/>
  <c r="AG56" i="18"/>
  <c r="G58" i="4" s="1"/>
  <c r="AG57" i="18"/>
  <c r="G59" i="4" s="1"/>
  <c r="AG58" i="18"/>
  <c r="G60" i="4" s="1"/>
  <c r="AG59" i="18"/>
  <c r="G61" i="4" s="1"/>
  <c r="AG60" i="18"/>
  <c r="G62" i="4" s="1"/>
  <c r="AG61" i="18"/>
  <c r="G63" i="4" s="1"/>
  <c r="AG62" i="18"/>
  <c r="G64" i="4" s="1"/>
  <c r="AG63" i="18"/>
  <c r="G65" i="4" s="1"/>
  <c r="AG64" i="18"/>
  <c r="G66" i="4" s="1"/>
  <c r="AG65" i="18"/>
  <c r="G67" i="4" s="1"/>
  <c r="AG66" i="18"/>
  <c r="G68" i="4" s="1"/>
  <c r="AG67" i="18"/>
  <c r="G69" i="4" s="1"/>
  <c r="AG68" i="18"/>
  <c r="G70" i="4" s="1"/>
  <c r="I69" i="18"/>
  <c r="D71" i="4" s="1"/>
  <c r="AG69" i="18"/>
  <c r="G71" i="4" s="1"/>
  <c r="AG70" i="18"/>
  <c r="G72" i="4" s="1"/>
  <c r="AG71" i="18"/>
  <c r="G73" i="4" s="1"/>
  <c r="AG72" i="18"/>
  <c r="G74" i="4" s="1"/>
  <c r="AG73" i="18"/>
  <c r="G75" i="4" s="1"/>
  <c r="AG74" i="18"/>
  <c r="G76" i="4" s="1"/>
  <c r="I75" i="18"/>
  <c r="D77" i="4" s="1"/>
  <c r="AG75" i="18"/>
  <c r="G77" i="4" s="1"/>
  <c r="AG76" i="18"/>
  <c r="G78" i="4" s="1"/>
  <c r="AG77" i="18"/>
  <c r="G79" i="4" s="1"/>
  <c r="AG78" i="18"/>
  <c r="G80" i="4" s="1"/>
  <c r="I79" i="18"/>
  <c r="D81" i="4" s="1"/>
  <c r="AG79" i="18"/>
  <c r="G81" i="4" s="1"/>
  <c r="AG80" i="18"/>
  <c r="G82" i="4" s="1"/>
  <c r="AG81" i="18"/>
  <c r="G83" i="4" s="1"/>
  <c r="AG82" i="18"/>
  <c r="G84" i="4" s="1"/>
  <c r="AG83" i="18"/>
  <c r="G85" i="4" s="1"/>
  <c r="AG84" i="18"/>
  <c r="G86" i="4" s="1"/>
  <c r="AG85" i="18"/>
  <c r="G87" i="4" s="1"/>
  <c r="AG86" i="18"/>
  <c r="G88" i="4" s="1"/>
  <c r="AG87" i="18"/>
  <c r="G89" i="4" s="1"/>
  <c r="AG88" i="18"/>
  <c r="G90" i="4" s="1"/>
  <c r="AG89" i="18"/>
  <c r="G91" i="4" s="1"/>
  <c r="AG90" i="18"/>
  <c r="G92" i="4" s="1"/>
  <c r="AG91" i="18"/>
  <c r="G93" i="4" s="1"/>
  <c r="AG92" i="18"/>
  <c r="G94" i="4" s="1"/>
  <c r="AG93" i="18"/>
  <c r="G95" i="4" s="1"/>
  <c r="AG94" i="18"/>
  <c r="G96" i="4" s="1"/>
  <c r="AG95" i="18"/>
  <c r="G97" i="4" s="1"/>
  <c r="AG96" i="18"/>
  <c r="G98" i="4" s="1"/>
  <c r="AG97" i="18"/>
  <c r="G99" i="4" s="1"/>
  <c r="AG98" i="18"/>
  <c r="G100" i="4" s="1"/>
  <c r="AG99" i="18"/>
  <c r="G101" i="4" s="1"/>
  <c r="AG100" i="18"/>
  <c r="G102" i="4" s="1"/>
  <c r="AG101" i="18"/>
  <c r="G103" i="4" s="1"/>
  <c r="AG102" i="18"/>
  <c r="G104" i="4" s="1"/>
  <c r="AG103" i="18"/>
  <c r="G105" i="4" s="1"/>
  <c r="AG104" i="18"/>
  <c r="G106" i="4" s="1"/>
  <c r="AG105" i="18"/>
  <c r="G107" i="4" s="1"/>
  <c r="AG106" i="18"/>
  <c r="G108" i="4" s="1"/>
  <c r="AG107" i="18"/>
  <c r="G109" i="4" s="1"/>
  <c r="AG108" i="18"/>
  <c r="G110" i="4" s="1"/>
  <c r="AG109" i="18"/>
  <c r="G111" i="4" s="1"/>
  <c r="AG110" i="18"/>
  <c r="G112" i="4" s="1"/>
  <c r="AG111" i="18"/>
  <c r="G113" i="4" s="1"/>
  <c r="AG112" i="18"/>
  <c r="G114" i="4" s="1"/>
  <c r="AG113" i="18"/>
  <c r="G115" i="4" s="1"/>
  <c r="AG114" i="18"/>
  <c r="G116" i="4" s="1"/>
  <c r="AG115" i="18"/>
  <c r="G117" i="4" s="1"/>
  <c r="AG116" i="18"/>
  <c r="G118" i="4" s="1"/>
  <c r="AG117" i="18"/>
  <c r="G119" i="4" s="1"/>
  <c r="AG118" i="18"/>
  <c r="G120" i="4" s="1"/>
  <c r="AG119" i="18"/>
  <c r="G121" i="4" s="1"/>
  <c r="AG120" i="18"/>
  <c r="G122" i="4" s="1"/>
  <c r="AG121" i="18"/>
  <c r="G123" i="4" s="1"/>
  <c r="AG122" i="18"/>
  <c r="G124" i="4" s="1"/>
  <c r="AG123" i="18"/>
  <c r="G125" i="4" s="1"/>
  <c r="AG124" i="18"/>
  <c r="G126" i="4" s="1"/>
  <c r="AG125" i="18"/>
  <c r="G127" i="4" s="1"/>
  <c r="AG126" i="18"/>
  <c r="G128" i="4" s="1"/>
  <c r="AG127" i="18"/>
  <c r="G129" i="4" s="1"/>
  <c r="AG128" i="18"/>
  <c r="G130" i="4" s="1"/>
  <c r="AG129" i="18"/>
  <c r="G131" i="4" s="1"/>
  <c r="AG130" i="18"/>
  <c r="G132" i="4" s="1"/>
  <c r="AG131" i="18"/>
  <c r="G133" i="4" s="1"/>
  <c r="AG132" i="18"/>
  <c r="G134" i="4" s="1"/>
  <c r="AG133" i="18"/>
  <c r="G135" i="4" s="1"/>
  <c r="AG134" i="18"/>
  <c r="G136" i="4" s="1"/>
  <c r="AG135" i="18"/>
  <c r="G137" i="4" s="1"/>
  <c r="AG136" i="18"/>
  <c r="G138" i="4" s="1"/>
  <c r="AG137" i="18"/>
  <c r="G139" i="4" s="1"/>
  <c r="AG138" i="18"/>
  <c r="G140" i="4" s="1"/>
  <c r="AG139" i="18"/>
  <c r="G141" i="4" s="1"/>
  <c r="AG140" i="18"/>
  <c r="G142" i="4" s="1"/>
  <c r="AG141" i="18"/>
  <c r="G143" i="4" s="1"/>
  <c r="AG142" i="18"/>
  <c r="G144" i="4" s="1"/>
  <c r="AG143" i="18"/>
  <c r="G145" i="4" s="1"/>
  <c r="AG144" i="18"/>
  <c r="G146" i="4" s="1"/>
  <c r="AG145" i="18"/>
  <c r="G147" i="4" s="1"/>
  <c r="AG146" i="18"/>
  <c r="G148" i="4" s="1"/>
  <c r="AG147" i="18"/>
  <c r="G149" i="4" s="1"/>
  <c r="AG148" i="18"/>
  <c r="G150" i="4" s="1"/>
  <c r="AG149" i="18"/>
  <c r="G151" i="4" s="1"/>
  <c r="AG150" i="18"/>
  <c r="G152" i="4" s="1"/>
  <c r="AG151" i="18"/>
  <c r="G153" i="4" s="1"/>
  <c r="AG152" i="18"/>
  <c r="G154" i="4" s="1"/>
  <c r="AG153" i="18"/>
  <c r="G155" i="4" s="1"/>
  <c r="AG154" i="18"/>
  <c r="G156" i="4" s="1"/>
  <c r="AG155" i="18"/>
  <c r="G157" i="4" s="1"/>
  <c r="AG156" i="18"/>
  <c r="G158" i="4" s="1"/>
  <c r="AG157" i="18"/>
  <c r="G159" i="4" s="1"/>
  <c r="AG158" i="18"/>
  <c r="G160" i="4" s="1"/>
  <c r="AG159" i="18"/>
  <c r="G161" i="4" s="1"/>
  <c r="AG160" i="18"/>
  <c r="G162" i="4" s="1"/>
  <c r="AG161" i="18"/>
  <c r="G163" i="4" s="1"/>
  <c r="AG162" i="18"/>
  <c r="G164" i="4" s="1"/>
  <c r="AG163" i="18"/>
  <c r="G165" i="4" s="1"/>
  <c r="Q165" i="18"/>
  <c r="E167" i="4" s="1"/>
  <c r="K168" i="4"/>
  <c r="AW167" i="18"/>
  <c r="I169" i="4" s="1"/>
  <c r="I168" i="18"/>
  <c r="D170" i="4" s="1"/>
  <c r="Q169" i="18"/>
  <c r="E171" i="4" s="1"/>
  <c r="K172" i="4"/>
  <c r="Q172" i="18"/>
  <c r="E174" i="4" s="1"/>
  <c r="K174" i="4"/>
  <c r="K176" i="4"/>
  <c r="K178" i="4"/>
  <c r="K180" i="4"/>
  <c r="AW171" i="18"/>
  <c r="I173" i="4" s="1"/>
  <c r="AW172" i="18"/>
  <c r="I174" i="4" s="1"/>
  <c r="AW173" i="18"/>
  <c r="I175" i="4" s="1"/>
  <c r="AW174" i="18"/>
  <c r="I176" i="4" s="1"/>
  <c r="AW175" i="18"/>
  <c r="I177" i="4" s="1"/>
  <c r="AW176" i="18"/>
  <c r="I178" i="4" s="1"/>
  <c r="AW177" i="18"/>
  <c r="I179" i="4" s="1"/>
  <c r="AW178" i="18"/>
  <c r="I180" i="4" s="1"/>
  <c r="AW179" i="18"/>
  <c r="I181" i="4" s="1"/>
  <c r="Q180" i="18"/>
  <c r="E182" i="4" s="1"/>
  <c r="AW180" i="18"/>
  <c r="I182" i="4" s="1"/>
  <c r="Q181" i="18"/>
  <c r="E183" i="4" s="1"/>
  <c r="AW181" i="18"/>
  <c r="I183" i="4" s="1"/>
  <c r="Q182" i="18"/>
  <c r="E184" i="4" s="1"/>
  <c r="AW182" i="18"/>
  <c r="I184" i="4" s="1"/>
  <c r="Q183" i="18"/>
  <c r="E185" i="4" s="1"/>
  <c r="AW183" i="18"/>
  <c r="I185" i="4" s="1"/>
  <c r="Q184" i="18"/>
  <c r="E186" i="4" s="1"/>
  <c r="AW184" i="18"/>
  <c r="I186" i="4" s="1"/>
  <c r="Q185" i="18"/>
  <c r="E187" i="4" s="1"/>
  <c r="AW185" i="18"/>
  <c r="I187" i="4" s="1"/>
  <c r="Q186" i="18"/>
  <c r="E188" i="4" s="1"/>
  <c r="AW186" i="18"/>
  <c r="I188" i="4" s="1"/>
  <c r="Q187" i="18"/>
  <c r="E189" i="4" s="1"/>
  <c r="AW187" i="18"/>
  <c r="I189" i="4" s="1"/>
  <c r="Q188" i="18"/>
  <c r="E190" i="4" s="1"/>
  <c r="AW188" i="18"/>
  <c r="I190" i="4" s="1"/>
  <c r="Q189" i="18"/>
  <c r="E191" i="4" s="1"/>
  <c r="AW189" i="18"/>
  <c r="I191" i="4" s="1"/>
  <c r="Q190" i="18"/>
  <c r="E192" i="4" s="1"/>
  <c r="AW190" i="18"/>
  <c r="I192" i="4" s="1"/>
  <c r="Q191" i="18"/>
  <c r="E193" i="4" s="1"/>
  <c r="AW191" i="18"/>
  <c r="I193" i="4" s="1"/>
  <c r="Q192" i="18"/>
  <c r="E194" i="4" s="1"/>
  <c r="AW192" i="18"/>
  <c r="I194" i="4" s="1"/>
  <c r="Q193" i="18"/>
  <c r="E195" i="4" s="1"/>
  <c r="AW193" i="18"/>
  <c r="I195" i="4" s="1"/>
  <c r="Q194" i="18"/>
  <c r="E196" i="4" s="1"/>
  <c r="AW194" i="18"/>
  <c r="I196" i="4" s="1"/>
  <c r="Q195" i="18"/>
  <c r="E197" i="4" s="1"/>
  <c r="AW195" i="18"/>
  <c r="I197" i="4" s="1"/>
  <c r="Q196" i="18"/>
  <c r="E198" i="4" s="1"/>
  <c r="AW196" i="18"/>
  <c r="I198" i="4" s="1"/>
  <c r="Q197" i="18"/>
  <c r="E199" i="4" s="1"/>
  <c r="AW197" i="18"/>
  <c r="I199" i="4" s="1"/>
  <c r="Q198" i="18"/>
  <c r="E200" i="4" s="1"/>
  <c r="AW198" i="18"/>
  <c r="I200" i="4" s="1"/>
  <c r="Q199" i="18"/>
  <c r="E201" i="4" s="1"/>
  <c r="AW199" i="18"/>
  <c r="I201" i="4" s="1"/>
  <c r="Q200" i="18"/>
  <c r="E202" i="4" s="1"/>
  <c r="AW200" i="18"/>
  <c r="I202" i="4" s="1"/>
  <c r="Q201" i="18"/>
  <c r="E203" i="4" s="1"/>
  <c r="AW201" i="18"/>
  <c r="I203" i="4" s="1"/>
  <c r="Q202" i="18"/>
  <c r="E204" i="4" s="1"/>
  <c r="AW202" i="18"/>
  <c r="I204" i="4" s="1"/>
  <c r="Q203" i="18"/>
  <c r="E205" i="4" s="1"/>
  <c r="AW203" i="18"/>
  <c r="I205" i="4" s="1"/>
  <c r="Q204" i="18"/>
  <c r="E206" i="4" s="1"/>
  <c r="AW204" i="18"/>
  <c r="I206" i="4" s="1"/>
  <c r="Q205" i="18"/>
  <c r="E207" i="4" s="1"/>
  <c r="AW205" i="18"/>
  <c r="I207" i="4" s="1"/>
  <c r="Q206" i="18"/>
  <c r="E208" i="4" s="1"/>
  <c r="AW206" i="18"/>
  <c r="I208" i="4" s="1"/>
  <c r="Q207" i="18"/>
  <c r="E209" i="4" s="1"/>
  <c r="AW207" i="18"/>
  <c r="I209" i="4" s="1"/>
  <c r="Q208" i="18"/>
  <c r="E210" i="4" s="1"/>
  <c r="AW208" i="18"/>
  <c r="I210" i="4" s="1"/>
  <c r="Q209" i="18"/>
  <c r="E211" i="4" s="1"/>
  <c r="AW209" i="18"/>
  <c r="I211" i="4" s="1"/>
  <c r="Q210" i="18"/>
  <c r="E212" i="4" s="1"/>
  <c r="AW210" i="18"/>
  <c r="I212" i="4" s="1"/>
  <c r="Q211" i="18"/>
  <c r="E213" i="4" s="1"/>
  <c r="AW211" i="18"/>
  <c r="I213" i="4" s="1"/>
  <c r="Q212" i="18"/>
  <c r="E214" i="4" s="1"/>
  <c r="AW212" i="18"/>
  <c r="I214" i="4" s="1"/>
  <c r="Q213" i="18"/>
  <c r="E215" i="4" s="1"/>
  <c r="AW213" i="18"/>
  <c r="I215" i="4" s="1"/>
  <c r="Q214" i="18"/>
  <c r="E216" i="4" s="1"/>
  <c r="AW214" i="18"/>
  <c r="I216" i="4" s="1"/>
  <c r="Q215" i="18"/>
  <c r="E217" i="4" s="1"/>
  <c r="AW215" i="18"/>
  <c r="I217" i="4" s="1"/>
  <c r="Q216" i="18"/>
  <c r="E218" i="4" s="1"/>
  <c r="AW216" i="18"/>
  <c r="I218" i="4" s="1"/>
  <c r="Q217" i="18"/>
  <c r="E219" i="4" s="1"/>
  <c r="AW217" i="18"/>
  <c r="I219" i="4" s="1"/>
  <c r="Q218" i="18"/>
  <c r="E220" i="4" s="1"/>
  <c r="AW218" i="18"/>
  <c r="I220" i="4" s="1"/>
  <c r="Q219" i="18"/>
  <c r="E221" i="4" s="1"/>
  <c r="AW219" i="18"/>
  <c r="I221" i="4" s="1"/>
  <c r="Q220" i="18"/>
  <c r="E222" i="4" s="1"/>
  <c r="AW220" i="18"/>
  <c r="I222" i="4" s="1"/>
  <c r="Q221" i="18"/>
  <c r="E223" i="4" s="1"/>
  <c r="AW221" i="18"/>
  <c r="I223" i="4" s="1"/>
  <c r="Q222" i="18"/>
  <c r="E224" i="4" s="1"/>
  <c r="AW222" i="18"/>
  <c r="I224" i="4" s="1"/>
  <c r="Q223" i="18"/>
  <c r="E225" i="4" s="1"/>
  <c r="AW223" i="18"/>
  <c r="I225" i="4" s="1"/>
  <c r="Q224" i="18"/>
  <c r="E226" i="4" s="1"/>
  <c r="Q225" i="18"/>
  <c r="E227" i="4" s="1"/>
  <c r="Q226" i="18"/>
  <c r="E228" i="4" s="1"/>
  <c r="Q227" i="18"/>
  <c r="E229" i="4" s="1"/>
  <c r="Q228" i="18"/>
  <c r="E230" i="4" s="1"/>
  <c r="Q229" i="18"/>
  <c r="E231" i="4" s="1"/>
  <c r="Q230" i="18"/>
  <c r="E232" i="4" s="1"/>
  <c r="Q231" i="18"/>
  <c r="E233" i="4" s="1"/>
  <c r="Q232" i="18"/>
  <c r="E234" i="4" s="1"/>
  <c r="Q233" i="18"/>
  <c r="E235" i="4" s="1"/>
  <c r="Q234" i="18"/>
  <c r="E236" i="4" s="1"/>
  <c r="Q235" i="18"/>
  <c r="E237" i="4" s="1"/>
  <c r="Q236" i="18"/>
  <c r="E238" i="4" s="1"/>
  <c r="Q237" i="18"/>
  <c r="E239" i="4" s="1"/>
  <c r="Q238" i="18"/>
  <c r="E240" i="4" s="1"/>
  <c r="Q239" i="18"/>
  <c r="E241" i="4" s="1"/>
  <c r="Q240" i="18"/>
  <c r="E242" i="4" s="1"/>
  <c r="Q241" i="18"/>
  <c r="E243" i="4" s="1"/>
  <c r="Q242" i="18"/>
  <c r="E244" i="4" s="1"/>
  <c r="Q243" i="18"/>
  <c r="E245" i="4" s="1"/>
  <c r="Q244" i="18"/>
  <c r="E246" i="4" s="1"/>
  <c r="Q245" i="18"/>
  <c r="E247" i="4" s="1"/>
  <c r="Q246" i="18"/>
  <c r="E248" i="4" s="1"/>
  <c r="Q247" i="18"/>
  <c r="E249" i="4" s="1"/>
  <c r="Q248" i="18"/>
  <c r="E250" i="4" s="1"/>
  <c r="Q249" i="18"/>
  <c r="E251" i="4" s="1"/>
  <c r="Q250" i="18"/>
  <c r="E252" i="4" s="1"/>
  <c r="Q251" i="18"/>
  <c r="E253" i="4" s="1"/>
  <c r="Q252" i="18"/>
  <c r="E254" i="4" s="1"/>
  <c r="Q253" i="18"/>
  <c r="E255" i="4" s="1"/>
  <c r="Q254" i="18"/>
  <c r="E256" i="4" s="1"/>
  <c r="Q255" i="18"/>
  <c r="E257" i="4" s="1"/>
  <c r="Q256" i="18"/>
  <c r="E258" i="4" s="1"/>
  <c r="Q257" i="18"/>
  <c r="E259" i="4" s="1"/>
  <c r="Q258" i="18"/>
  <c r="E260" i="4" s="1"/>
  <c r="Q259" i="18"/>
  <c r="E261" i="4" s="1"/>
  <c r="Q260" i="18"/>
  <c r="E262" i="4" s="1"/>
  <c r="Q261" i="18"/>
  <c r="E263" i="4" s="1"/>
  <c r="Q262" i="18"/>
  <c r="E264" i="4" s="1"/>
  <c r="Q263" i="18"/>
  <c r="E265" i="4" s="1"/>
  <c r="Q264" i="18"/>
  <c r="E266" i="4" s="1"/>
  <c r="Q265" i="18"/>
  <c r="E267" i="4" s="1"/>
  <c r="Q266" i="18"/>
  <c r="E268" i="4" s="1"/>
  <c r="Q267" i="18"/>
  <c r="E269" i="4" s="1"/>
  <c r="Q268" i="18"/>
  <c r="E270" i="4" s="1"/>
  <c r="Q269" i="18"/>
  <c r="E271" i="4" s="1"/>
  <c r="Q270" i="18"/>
  <c r="E272" i="4" s="1"/>
  <c r="Q271" i="18"/>
  <c r="E273" i="4" s="1"/>
  <c r="Q272" i="18"/>
  <c r="E274" i="4" s="1"/>
  <c r="Q273" i="18"/>
  <c r="E275" i="4" s="1"/>
  <c r="Q274" i="18"/>
  <c r="E276" i="4" s="1"/>
  <c r="Q275" i="18"/>
  <c r="E277" i="4" s="1"/>
  <c r="Q276" i="18"/>
  <c r="E278" i="4" s="1"/>
  <c r="Q277" i="18"/>
  <c r="E279" i="4" s="1"/>
  <c r="Q278" i="18"/>
  <c r="E280" i="4" s="1"/>
  <c r="Q279" i="18"/>
  <c r="E281" i="4" s="1"/>
  <c r="Q280" i="18"/>
  <c r="E282" i="4" s="1"/>
  <c r="Q281" i="18"/>
  <c r="E283" i="4" s="1"/>
  <c r="Q282" i="18"/>
  <c r="E284" i="4" s="1"/>
  <c r="Q283" i="18"/>
  <c r="E285" i="4" s="1"/>
  <c r="Q284" i="18"/>
  <c r="E286" i="4" s="1"/>
  <c r="Q285" i="18"/>
  <c r="E287" i="4" s="1"/>
  <c r="Q286" i="18"/>
  <c r="E288" i="4" s="1"/>
  <c r="Q287" i="18"/>
  <c r="E289" i="4" s="1"/>
  <c r="Q288" i="18"/>
  <c r="E290" i="4" s="1"/>
  <c r="Q289" i="18"/>
  <c r="E291" i="4" s="1"/>
  <c r="Q291" i="18"/>
  <c r="E293" i="4" s="1"/>
  <c r="Q290" i="18"/>
  <c r="E292" i="4" s="1"/>
  <c r="AW310" i="18"/>
  <c r="I312" i="4" s="1"/>
  <c r="AG164" i="18"/>
  <c r="G166" i="4" s="1"/>
  <c r="AG165" i="18"/>
  <c r="G167" i="4" s="1"/>
  <c r="AG166" i="18"/>
  <c r="G168" i="4" s="1"/>
  <c r="AG167" i="18"/>
  <c r="G169" i="4" s="1"/>
  <c r="AG168" i="18"/>
  <c r="G170" i="4" s="1"/>
  <c r="AG169" i="18"/>
  <c r="G171" i="4" s="1"/>
  <c r="AG170" i="18"/>
  <c r="G172" i="4" s="1"/>
  <c r="AG171" i="18"/>
  <c r="G173" i="4" s="1"/>
  <c r="AG172" i="18"/>
  <c r="G174" i="4" s="1"/>
  <c r="AG173" i="18"/>
  <c r="G175" i="4" s="1"/>
  <c r="AG174" i="18"/>
  <c r="G176" i="4" s="1"/>
  <c r="AG175" i="18"/>
  <c r="G177" i="4" s="1"/>
  <c r="AG176" i="18"/>
  <c r="G178" i="4" s="1"/>
  <c r="AG177" i="18"/>
  <c r="G179" i="4" s="1"/>
  <c r="AG178" i="18"/>
  <c r="G180" i="4" s="1"/>
  <c r="AG179" i="18"/>
  <c r="G181" i="4" s="1"/>
  <c r="BE179" i="18"/>
  <c r="J181" i="4" s="1"/>
  <c r="Y180" i="18"/>
  <c r="F182" i="4" s="1"/>
  <c r="BE180" i="18"/>
  <c r="J182" i="4" s="1"/>
  <c r="Y181" i="18"/>
  <c r="F183" i="4" s="1"/>
  <c r="BE181" i="18"/>
  <c r="J183" i="4" s="1"/>
  <c r="Y182" i="18"/>
  <c r="F184" i="4" s="1"/>
  <c r="BE182" i="18"/>
  <c r="J184" i="4" s="1"/>
  <c r="Y183" i="18"/>
  <c r="F185" i="4" s="1"/>
  <c r="BE183" i="18"/>
  <c r="J185" i="4" s="1"/>
  <c r="Y184" i="18"/>
  <c r="F186" i="4" s="1"/>
  <c r="BE184" i="18"/>
  <c r="J186" i="4" s="1"/>
  <c r="Y185" i="18"/>
  <c r="F187" i="4" s="1"/>
  <c r="BE185" i="18"/>
  <c r="J187" i="4" s="1"/>
  <c r="Y186" i="18"/>
  <c r="F188" i="4" s="1"/>
  <c r="BE186" i="18"/>
  <c r="J188" i="4" s="1"/>
  <c r="Y187" i="18"/>
  <c r="F189" i="4" s="1"/>
  <c r="BE187" i="18"/>
  <c r="J189" i="4" s="1"/>
  <c r="Y188" i="18"/>
  <c r="F190" i="4" s="1"/>
  <c r="BE188" i="18"/>
  <c r="J190" i="4" s="1"/>
  <c r="Y189" i="18"/>
  <c r="F191" i="4" s="1"/>
  <c r="BE189" i="18"/>
  <c r="J191" i="4" s="1"/>
  <c r="Y190" i="18"/>
  <c r="F192" i="4" s="1"/>
  <c r="BE190" i="18"/>
  <c r="J192" i="4" s="1"/>
  <c r="Y191" i="18"/>
  <c r="F193" i="4" s="1"/>
  <c r="BE191" i="18"/>
  <c r="J193" i="4" s="1"/>
  <c r="Y192" i="18"/>
  <c r="F194" i="4" s="1"/>
  <c r="BE192" i="18"/>
  <c r="J194" i="4" s="1"/>
  <c r="Y193" i="18"/>
  <c r="F195" i="4" s="1"/>
  <c r="BE193" i="18"/>
  <c r="J195" i="4" s="1"/>
  <c r="Y194" i="18"/>
  <c r="F196" i="4" s="1"/>
  <c r="BE194" i="18"/>
  <c r="J196" i="4" s="1"/>
  <c r="Y195" i="18"/>
  <c r="F197" i="4" s="1"/>
  <c r="BE195" i="18"/>
  <c r="J197" i="4" s="1"/>
  <c r="Y196" i="18"/>
  <c r="F198" i="4" s="1"/>
  <c r="BE196" i="18"/>
  <c r="J198" i="4" s="1"/>
  <c r="Y197" i="18"/>
  <c r="F199" i="4" s="1"/>
  <c r="BE197" i="18"/>
  <c r="J199" i="4" s="1"/>
  <c r="Y198" i="18"/>
  <c r="F200" i="4" s="1"/>
  <c r="BE198" i="18"/>
  <c r="J200" i="4" s="1"/>
  <c r="Y199" i="18"/>
  <c r="F201" i="4" s="1"/>
  <c r="BE199" i="18"/>
  <c r="J201" i="4" s="1"/>
  <c r="Y200" i="18"/>
  <c r="F202" i="4" s="1"/>
  <c r="BE200" i="18"/>
  <c r="J202" i="4" s="1"/>
  <c r="Y201" i="18"/>
  <c r="F203" i="4" s="1"/>
  <c r="BE201" i="18"/>
  <c r="J203" i="4" s="1"/>
  <c r="Y202" i="18"/>
  <c r="F204" i="4" s="1"/>
  <c r="BE202" i="18"/>
  <c r="J204" i="4" s="1"/>
  <c r="Y203" i="18"/>
  <c r="F205" i="4" s="1"/>
  <c r="BE203" i="18"/>
  <c r="J205" i="4" s="1"/>
  <c r="Y204" i="18"/>
  <c r="F206" i="4" s="1"/>
  <c r="BE204" i="18"/>
  <c r="J206" i="4" s="1"/>
  <c r="Y205" i="18"/>
  <c r="F207" i="4" s="1"/>
  <c r="BE205" i="18"/>
  <c r="J207" i="4" s="1"/>
  <c r="Y206" i="18"/>
  <c r="F208" i="4" s="1"/>
  <c r="BE206" i="18"/>
  <c r="J208" i="4" s="1"/>
  <c r="Y207" i="18"/>
  <c r="F209" i="4" s="1"/>
  <c r="BE207" i="18"/>
  <c r="J209" i="4" s="1"/>
  <c r="Y208" i="18"/>
  <c r="F210" i="4" s="1"/>
  <c r="BE208" i="18"/>
  <c r="J210" i="4" s="1"/>
  <c r="Y209" i="18"/>
  <c r="F211" i="4" s="1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Y293" i="18"/>
  <c r="F295" i="4" s="1"/>
  <c r="AW293" i="18"/>
  <c r="I295" i="4" s="1"/>
  <c r="Y297" i="18"/>
  <c r="F299" i="4" s="1"/>
  <c r="AW297" i="18"/>
  <c r="I299" i="4" s="1"/>
  <c r="Y301" i="18"/>
  <c r="F303" i="4" s="1"/>
  <c r="AW301" i="18"/>
  <c r="I303" i="4" s="1"/>
  <c r="Y305" i="18"/>
  <c r="F307" i="4" s="1"/>
  <c r="AW305" i="18"/>
  <c r="I307" i="4" s="1"/>
  <c r="Y309" i="18"/>
  <c r="F311" i="4" s="1"/>
  <c r="AW309" i="18"/>
  <c r="I311" i="4" s="1"/>
  <c r="Y313" i="18"/>
  <c r="F315" i="4" s="1"/>
  <c r="AW313" i="18"/>
  <c r="I315" i="4" s="1"/>
  <c r="Q174" i="18"/>
  <c r="E176" i="4" s="1"/>
  <c r="Q175" i="18"/>
  <c r="E177" i="4" s="1"/>
  <c r="Q176" i="18"/>
  <c r="E178" i="4" s="1"/>
  <c r="Q177" i="18"/>
  <c r="E179" i="4" s="1"/>
  <c r="Q178" i="18"/>
  <c r="E180" i="4" s="1"/>
  <c r="Q179" i="18"/>
  <c r="E181" i="4" s="1"/>
  <c r="K181" i="4"/>
  <c r="K182" i="4"/>
  <c r="AG181" i="18"/>
  <c r="G183" i="4" s="1"/>
  <c r="K183" i="4"/>
  <c r="AG182" i="18"/>
  <c r="G184" i="4" s="1"/>
  <c r="K184" i="4"/>
  <c r="AG183" i="18"/>
  <c r="G185" i="4" s="1"/>
  <c r="K185" i="4"/>
  <c r="AG184" i="18"/>
  <c r="G186" i="4" s="1"/>
  <c r="K186" i="4"/>
  <c r="AG185" i="18"/>
  <c r="G187" i="4" s="1"/>
  <c r="K187" i="4"/>
  <c r="AG186" i="18"/>
  <c r="G188" i="4" s="1"/>
  <c r="K188" i="4"/>
  <c r="AG187" i="18"/>
  <c r="G189" i="4" s="1"/>
  <c r="K189" i="4"/>
  <c r="AG188" i="18"/>
  <c r="G190" i="4" s="1"/>
  <c r="K190" i="4"/>
  <c r="AG189" i="18"/>
  <c r="G191" i="4" s="1"/>
  <c r="K191" i="4"/>
  <c r="AG190" i="18"/>
  <c r="G192" i="4" s="1"/>
  <c r="K192" i="4"/>
  <c r="AG191" i="18"/>
  <c r="G193" i="4" s="1"/>
  <c r="K193" i="4"/>
  <c r="AG192" i="18"/>
  <c r="G194" i="4" s="1"/>
  <c r="K194" i="4"/>
  <c r="AG193" i="18"/>
  <c r="G195" i="4" s="1"/>
  <c r="K195" i="4"/>
  <c r="AG194" i="18"/>
  <c r="G196" i="4" s="1"/>
  <c r="K196" i="4"/>
  <c r="AG195" i="18"/>
  <c r="G197" i="4" s="1"/>
  <c r="K197" i="4"/>
  <c r="AG196" i="18"/>
  <c r="G198" i="4" s="1"/>
  <c r="K198" i="4"/>
  <c r="AG197" i="18"/>
  <c r="G199" i="4" s="1"/>
  <c r="K199" i="4"/>
  <c r="AG198" i="18"/>
  <c r="G200" i="4" s="1"/>
  <c r="K200" i="4"/>
  <c r="AG199" i="18"/>
  <c r="G201" i="4" s="1"/>
  <c r="K201" i="4"/>
  <c r="AG200" i="18"/>
  <c r="G202" i="4" s="1"/>
  <c r="K202" i="4"/>
  <c r="AG201" i="18"/>
  <c r="G203" i="4" s="1"/>
  <c r="K203" i="4"/>
  <c r="AG202" i="18"/>
  <c r="G204" i="4" s="1"/>
  <c r="K204" i="4"/>
  <c r="AG203" i="18"/>
  <c r="G205" i="4" s="1"/>
  <c r="K205" i="4"/>
  <c r="AG204" i="18"/>
  <c r="G206" i="4" s="1"/>
  <c r="K206" i="4"/>
  <c r="AG205" i="18"/>
  <c r="G207" i="4" s="1"/>
  <c r="K207" i="4"/>
  <c r="AG206" i="18"/>
  <c r="G208" i="4" s="1"/>
  <c r="K208" i="4"/>
  <c r="AG207" i="18"/>
  <c r="G209" i="4" s="1"/>
  <c r="K209" i="4"/>
  <c r="AG208" i="18"/>
  <c r="G210" i="4" s="1"/>
  <c r="K210" i="4"/>
  <c r="AG209" i="18"/>
  <c r="G211" i="4" s="1"/>
  <c r="K211" i="4"/>
  <c r="AG210" i="18"/>
  <c r="G212" i="4" s="1"/>
  <c r="K212" i="4"/>
  <c r="AG211" i="18"/>
  <c r="G213" i="4" s="1"/>
  <c r="K213" i="4"/>
  <c r="AG212" i="18"/>
  <c r="G214" i="4" s="1"/>
  <c r="K214" i="4"/>
  <c r="AG213" i="18"/>
  <c r="G215" i="4" s="1"/>
  <c r="K215" i="4"/>
  <c r="AG214" i="18"/>
  <c r="G216" i="4" s="1"/>
  <c r="K216" i="4"/>
  <c r="AG215" i="18"/>
  <c r="G217" i="4" s="1"/>
  <c r="K217" i="4"/>
  <c r="AG216" i="18"/>
  <c r="G218" i="4" s="1"/>
  <c r="K218" i="4"/>
  <c r="AG217" i="18"/>
  <c r="G219" i="4" s="1"/>
  <c r="K219" i="4"/>
  <c r="AG218" i="18"/>
  <c r="G220" i="4" s="1"/>
  <c r="K220" i="4"/>
  <c r="AG219" i="18"/>
  <c r="G221" i="4" s="1"/>
  <c r="K221" i="4"/>
  <c r="AG220" i="18"/>
  <c r="G222" i="4" s="1"/>
  <c r="K222" i="4"/>
  <c r="AG221" i="18"/>
  <c r="G223" i="4" s="1"/>
  <c r="K223" i="4"/>
  <c r="AG222" i="18"/>
  <c r="G224" i="4" s="1"/>
  <c r="K224" i="4"/>
  <c r="AG223" i="18"/>
  <c r="G225" i="4" s="1"/>
  <c r="K225" i="4"/>
  <c r="AW225" i="18"/>
  <c r="I227" i="4" s="1"/>
  <c r="AW226" i="18"/>
  <c r="I228" i="4" s="1"/>
  <c r="AW227" i="18"/>
  <c r="I229" i="4" s="1"/>
  <c r="AW228" i="18"/>
  <c r="I230" i="4" s="1"/>
  <c r="AW229" i="18"/>
  <c r="I231" i="4" s="1"/>
  <c r="AW230" i="18"/>
  <c r="I232" i="4" s="1"/>
  <c r="AW231" i="18"/>
  <c r="I233" i="4" s="1"/>
  <c r="AW232" i="18"/>
  <c r="I234" i="4" s="1"/>
  <c r="AW233" i="18"/>
  <c r="I235" i="4" s="1"/>
  <c r="AW234" i="18"/>
  <c r="I236" i="4" s="1"/>
  <c r="AW235" i="18"/>
  <c r="I237" i="4" s="1"/>
  <c r="AW236" i="18"/>
  <c r="I238" i="4" s="1"/>
  <c r="AW237" i="18"/>
  <c r="I239" i="4" s="1"/>
  <c r="AW238" i="18"/>
  <c r="I240" i="4" s="1"/>
  <c r="AW239" i="18"/>
  <c r="I241" i="4" s="1"/>
  <c r="AW240" i="18"/>
  <c r="I242" i="4" s="1"/>
  <c r="AW241" i="18"/>
  <c r="I243" i="4" s="1"/>
  <c r="AW242" i="18"/>
  <c r="I244" i="4" s="1"/>
  <c r="AW243" i="18"/>
  <c r="I245" i="4" s="1"/>
  <c r="AW244" i="18"/>
  <c r="I246" i="4" s="1"/>
  <c r="AW245" i="18"/>
  <c r="I247" i="4" s="1"/>
  <c r="AW246" i="18"/>
  <c r="I248" i="4" s="1"/>
  <c r="AW247" i="18"/>
  <c r="I249" i="4" s="1"/>
  <c r="AW248" i="18"/>
  <c r="I250" i="4" s="1"/>
  <c r="AW249" i="18"/>
  <c r="I251" i="4" s="1"/>
  <c r="AW250" i="18"/>
  <c r="I252" i="4" s="1"/>
  <c r="AW251" i="18"/>
  <c r="I253" i="4" s="1"/>
  <c r="AW252" i="18"/>
  <c r="I254" i="4" s="1"/>
  <c r="AW253" i="18"/>
  <c r="I255" i="4" s="1"/>
  <c r="AW254" i="18"/>
  <c r="I256" i="4" s="1"/>
  <c r="AW255" i="18"/>
  <c r="I257" i="4" s="1"/>
  <c r="AW256" i="18"/>
  <c r="I258" i="4" s="1"/>
  <c r="AW257" i="18"/>
  <c r="I259" i="4" s="1"/>
  <c r="AW258" i="18"/>
  <c r="I260" i="4" s="1"/>
  <c r="AW259" i="18"/>
  <c r="I261" i="4" s="1"/>
  <c r="AW260" i="18"/>
  <c r="I262" i="4" s="1"/>
  <c r="AW261" i="18"/>
  <c r="I263" i="4" s="1"/>
  <c r="AW262" i="18"/>
  <c r="I264" i="4" s="1"/>
  <c r="AW263" i="18"/>
  <c r="I265" i="4" s="1"/>
  <c r="AW264" i="18"/>
  <c r="I266" i="4" s="1"/>
  <c r="AW265" i="18"/>
  <c r="I267" i="4" s="1"/>
  <c r="AW266" i="18"/>
  <c r="I268" i="4" s="1"/>
  <c r="AW267" i="18"/>
  <c r="I269" i="4" s="1"/>
  <c r="AW268" i="18"/>
  <c r="I270" i="4" s="1"/>
  <c r="AW269" i="18"/>
  <c r="I271" i="4" s="1"/>
  <c r="AW270" i="18"/>
  <c r="I272" i="4" s="1"/>
  <c r="AW271" i="18"/>
  <c r="I273" i="4" s="1"/>
  <c r="AW272" i="18"/>
  <c r="I274" i="4" s="1"/>
  <c r="AW273" i="18"/>
  <c r="I275" i="4" s="1"/>
  <c r="AW274" i="18"/>
  <c r="I276" i="4" s="1"/>
  <c r="AW275" i="18"/>
  <c r="I277" i="4" s="1"/>
  <c r="AW276" i="18"/>
  <c r="I278" i="4" s="1"/>
  <c r="AW277" i="18"/>
  <c r="I279" i="4" s="1"/>
  <c r="AW278" i="18"/>
  <c r="I280" i="4" s="1"/>
  <c r="AW279" i="18"/>
  <c r="I281" i="4" s="1"/>
  <c r="AW280" i="18"/>
  <c r="I282" i="4" s="1"/>
  <c r="AW281" i="18"/>
  <c r="I283" i="4" s="1"/>
  <c r="AW282" i="18"/>
  <c r="I284" i="4" s="1"/>
  <c r="AW283" i="18"/>
  <c r="I285" i="4" s="1"/>
  <c r="AW284" i="18"/>
  <c r="I286" i="4" s="1"/>
  <c r="AW285" i="18"/>
  <c r="I287" i="4" s="1"/>
  <c r="AW286" i="18"/>
  <c r="I288" i="4" s="1"/>
  <c r="AW287" i="18"/>
  <c r="I289" i="4" s="1"/>
  <c r="AW288" i="18"/>
  <c r="I290" i="4" s="1"/>
  <c r="AW289" i="18"/>
  <c r="I291" i="4" s="1"/>
  <c r="AW290" i="18"/>
  <c r="I292" i="4" s="1"/>
  <c r="AW292" i="18"/>
  <c r="I294" i="4" s="1"/>
  <c r="Y296" i="18"/>
  <c r="F298" i="4" s="1"/>
  <c r="AW296" i="18"/>
  <c r="I298" i="4" s="1"/>
  <c r="Y300" i="18"/>
  <c r="F302" i="4" s="1"/>
  <c r="AW300" i="18"/>
  <c r="I302" i="4" s="1"/>
  <c r="Y304" i="18"/>
  <c r="F306" i="4" s="1"/>
  <c r="AW304" i="18"/>
  <c r="I306" i="4" s="1"/>
  <c r="Y308" i="18"/>
  <c r="F310" i="4" s="1"/>
  <c r="AW308" i="18"/>
  <c r="I310" i="4" s="1"/>
  <c r="Y312" i="18"/>
  <c r="F314" i="4" s="1"/>
  <c r="AW312" i="18"/>
  <c r="I314" i="4" s="1"/>
  <c r="I291" i="18"/>
  <c r="D293" i="4" s="1"/>
  <c r="I292" i="18"/>
  <c r="D294" i="4" s="1"/>
  <c r="I293" i="18"/>
  <c r="D295" i="4" s="1"/>
  <c r="I294" i="18"/>
  <c r="D296" i="4" s="1"/>
  <c r="I295" i="18"/>
  <c r="D297" i="4" s="1"/>
  <c r="I296" i="18"/>
  <c r="D298" i="4" s="1"/>
  <c r="I297" i="18"/>
  <c r="D299" i="4" s="1"/>
  <c r="I298" i="18"/>
  <c r="D300" i="4" s="1"/>
  <c r="I299" i="18"/>
  <c r="D301" i="4" s="1"/>
  <c r="I300" i="18"/>
  <c r="D302" i="4" s="1"/>
  <c r="I301" i="18"/>
  <c r="D303" i="4" s="1"/>
  <c r="I302" i="18"/>
  <c r="D304" i="4" s="1"/>
  <c r="I303" i="18"/>
  <c r="D305" i="4" s="1"/>
  <c r="I304" i="18"/>
  <c r="D306" i="4" s="1"/>
  <c r="I305" i="18"/>
  <c r="D307" i="4" s="1"/>
  <c r="I306" i="18"/>
  <c r="D308" i="4" s="1"/>
  <c r="I307" i="18"/>
  <c r="D309" i="4" s="1"/>
  <c r="I308" i="18"/>
  <c r="D310" i="4" s="1"/>
  <c r="I309" i="18"/>
  <c r="D311" i="4" s="1"/>
  <c r="I310" i="18"/>
  <c r="D312" i="4" s="1"/>
  <c r="I311" i="18"/>
  <c r="D313" i="4" s="1"/>
  <c r="I312" i="18"/>
  <c r="D314" i="4" s="1"/>
  <c r="I313" i="18"/>
  <c r="D315" i="4" s="1"/>
  <c r="I314" i="18"/>
  <c r="D316" i="4" s="1"/>
  <c r="I315" i="18"/>
  <c r="D317" i="4" s="1"/>
  <c r="BE315" i="18"/>
  <c r="J317" i="4" s="1"/>
  <c r="Y316" i="18"/>
  <c r="F318" i="4" s="1"/>
  <c r="BE316" i="18"/>
  <c r="J318" i="4" s="1"/>
  <c r="Y317" i="18"/>
  <c r="F319" i="4" s="1"/>
  <c r="BE317" i="18"/>
  <c r="J319" i="4" s="1"/>
  <c r="Y318" i="18"/>
  <c r="F320" i="4" s="1"/>
  <c r="BE318" i="18"/>
  <c r="J320" i="4" s="1"/>
  <c r="Y319" i="18"/>
  <c r="F321" i="4" s="1"/>
  <c r="BE319" i="18"/>
  <c r="J321" i="4" s="1"/>
  <c r="Y320" i="18"/>
  <c r="F322" i="4" s="1"/>
  <c r="BE320" i="18"/>
  <c r="J322" i="4" s="1"/>
  <c r="Y321" i="18"/>
  <c r="F323" i="4" s="1"/>
  <c r="BE321" i="18"/>
  <c r="J323" i="4" s="1"/>
  <c r="Y322" i="18"/>
  <c r="F324" i="4" s="1"/>
  <c r="BE322" i="18"/>
  <c r="J324" i="4" s="1"/>
  <c r="Y323" i="18"/>
  <c r="F325" i="4" s="1"/>
  <c r="BE323" i="18"/>
  <c r="J325" i="4" s="1"/>
  <c r="Y324" i="18"/>
  <c r="F326" i="4" s="1"/>
  <c r="BE324" i="18"/>
  <c r="J326" i="4" s="1"/>
  <c r="Y325" i="18"/>
  <c r="F327" i="4" s="1"/>
  <c r="BE325" i="18"/>
  <c r="J327" i="4" s="1"/>
  <c r="Y326" i="18"/>
  <c r="F328" i="4" s="1"/>
  <c r="BE326" i="18"/>
  <c r="J328" i="4" s="1"/>
  <c r="Y327" i="18"/>
  <c r="F329" i="4" s="1"/>
  <c r="BE327" i="18"/>
  <c r="J329" i="4" s="1"/>
  <c r="Y328" i="18"/>
  <c r="F330" i="4" s="1"/>
  <c r="BE328" i="18"/>
  <c r="J330" i="4" s="1"/>
  <c r="Y329" i="18"/>
  <c r="F331" i="4" s="1"/>
  <c r="BE329" i="18"/>
  <c r="J331" i="4" s="1"/>
  <c r="Y330" i="18"/>
  <c r="F332" i="4" s="1"/>
  <c r="BE330" i="18"/>
  <c r="J332" i="4" s="1"/>
  <c r="Y331" i="18"/>
  <c r="F333" i="4" s="1"/>
  <c r="BE331" i="18"/>
  <c r="J333" i="4" s="1"/>
  <c r="Y332" i="18"/>
  <c r="F334" i="4" s="1"/>
  <c r="BE332" i="18"/>
  <c r="J334" i="4" s="1"/>
  <c r="Y333" i="18"/>
  <c r="F335" i="4" s="1"/>
  <c r="BE333" i="18"/>
  <c r="J335" i="4" s="1"/>
  <c r="Y334" i="18"/>
  <c r="F336" i="4" s="1"/>
  <c r="BE334" i="18"/>
  <c r="J336" i="4" s="1"/>
  <c r="Y335" i="18"/>
  <c r="F337" i="4" s="1"/>
  <c r="BE335" i="18"/>
  <c r="J337" i="4" s="1"/>
  <c r="Y336" i="18"/>
  <c r="F338" i="4" s="1"/>
  <c r="BE336" i="18"/>
  <c r="J338" i="4" s="1"/>
  <c r="Y337" i="18"/>
  <c r="F339" i="4" s="1"/>
  <c r="BE337" i="18"/>
  <c r="J339" i="4" s="1"/>
  <c r="Y338" i="18"/>
  <c r="F340" i="4" s="1"/>
  <c r="BE338" i="18"/>
  <c r="J340" i="4" s="1"/>
  <c r="Y339" i="18"/>
  <c r="F341" i="4" s="1"/>
  <c r="BE339" i="18"/>
  <c r="J341" i="4" s="1"/>
  <c r="Y340" i="18"/>
  <c r="F342" i="4" s="1"/>
  <c r="BE340" i="18"/>
  <c r="J342" i="4" s="1"/>
  <c r="Y341" i="18"/>
  <c r="F343" i="4" s="1"/>
  <c r="BE341" i="18"/>
  <c r="J343" i="4" s="1"/>
  <c r="Y342" i="18"/>
  <c r="F344" i="4" s="1"/>
  <c r="BE342" i="18"/>
  <c r="J344" i="4" s="1"/>
  <c r="Y343" i="18"/>
  <c r="F345" i="4" s="1"/>
  <c r="BE343" i="18"/>
  <c r="J345" i="4" s="1"/>
  <c r="Y344" i="18"/>
  <c r="F346" i="4" s="1"/>
  <c r="BE344" i="18"/>
  <c r="J346" i="4" s="1"/>
  <c r="Y345" i="18"/>
  <c r="F347" i="4" s="1"/>
  <c r="BE345" i="18"/>
  <c r="J347" i="4" s="1"/>
  <c r="Y346" i="18"/>
  <c r="F348" i="4" s="1"/>
  <c r="BE346" i="18"/>
  <c r="J348" i="4" s="1"/>
  <c r="Y347" i="18"/>
  <c r="F349" i="4" s="1"/>
  <c r="BE347" i="18"/>
  <c r="J349" i="4" s="1"/>
  <c r="Y348" i="18"/>
  <c r="F350" i="4" s="1"/>
  <c r="BE348" i="18"/>
  <c r="J350" i="4" s="1"/>
  <c r="Y349" i="18"/>
  <c r="F351" i="4" s="1"/>
  <c r="BE349" i="18"/>
  <c r="J351" i="4" s="1"/>
  <c r="Y350" i="18"/>
  <c r="F352" i="4" s="1"/>
  <c r="BE350" i="18"/>
  <c r="J352" i="4" s="1"/>
  <c r="Y351" i="18"/>
  <c r="F353" i="4" s="1"/>
  <c r="BE351" i="18"/>
  <c r="J353" i="4" s="1"/>
  <c r="Y352" i="18"/>
  <c r="F354" i="4" s="1"/>
  <c r="BE352" i="18"/>
  <c r="J354" i="4" s="1"/>
  <c r="Y353" i="18"/>
  <c r="F355" i="4" s="1"/>
  <c r="BE353" i="18"/>
  <c r="J355" i="4" s="1"/>
  <c r="Y354" i="18"/>
  <c r="F356" i="4" s="1"/>
  <c r="BE354" i="18"/>
  <c r="J356" i="4" s="1"/>
  <c r="Y355" i="18"/>
  <c r="F357" i="4" s="1"/>
  <c r="BE355" i="18"/>
  <c r="J357" i="4" s="1"/>
  <c r="Y356" i="18"/>
  <c r="F358" i="4" s="1"/>
  <c r="BE356" i="18"/>
  <c r="J358" i="4" s="1"/>
  <c r="Y357" i="18"/>
  <c r="F359" i="4" s="1"/>
  <c r="BE357" i="18"/>
  <c r="J359" i="4" s="1"/>
  <c r="Y358" i="18"/>
  <c r="F360" i="4" s="1"/>
  <c r="BE358" i="18"/>
  <c r="J360" i="4" s="1"/>
  <c r="Y359" i="18"/>
  <c r="F361" i="4" s="1"/>
  <c r="BE359" i="18"/>
  <c r="J361" i="4" s="1"/>
  <c r="Y360" i="18"/>
  <c r="F362" i="4" s="1"/>
  <c r="BE360" i="18"/>
  <c r="J362" i="4" s="1"/>
  <c r="Y361" i="18"/>
  <c r="F363" i="4" s="1"/>
  <c r="BE361" i="18"/>
  <c r="J363" i="4" s="1"/>
  <c r="Y362" i="18"/>
  <c r="F364" i="4" s="1"/>
  <c r="BE362" i="18"/>
  <c r="J364" i="4" s="1"/>
  <c r="Y363" i="18"/>
  <c r="F365" i="4" s="1"/>
  <c r="BE363" i="18"/>
  <c r="J365" i="4" s="1"/>
  <c r="Y364" i="18"/>
  <c r="F366" i="4" s="1"/>
  <c r="BE364" i="18"/>
  <c r="J366" i="4" s="1"/>
  <c r="Y365" i="18"/>
  <c r="F367" i="4" s="1"/>
  <c r="BE365" i="18"/>
  <c r="J367" i="4" s="1"/>
  <c r="Y366" i="18"/>
  <c r="F368" i="4" s="1"/>
  <c r="BE366" i="18"/>
  <c r="J368" i="4" s="1"/>
  <c r="Y367" i="18"/>
  <c r="F369" i="4" s="1"/>
  <c r="BE367" i="18"/>
  <c r="J369" i="4" s="1"/>
  <c r="Y368" i="18"/>
  <c r="F370" i="4" s="1"/>
  <c r="BE368" i="18"/>
  <c r="J370" i="4" s="1"/>
  <c r="Y369" i="18"/>
  <c r="F371" i="4" s="1"/>
  <c r="BE369" i="18"/>
  <c r="J371" i="4" s="1"/>
  <c r="Y370" i="18"/>
  <c r="F372" i="4" s="1"/>
  <c r="BE370" i="18"/>
  <c r="J372" i="4" s="1"/>
  <c r="Y371" i="18"/>
  <c r="F373" i="4" s="1"/>
  <c r="BE371" i="18"/>
  <c r="J373" i="4" s="1"/>
  <c r="Y372" i="18"/>
  <c r="F374" i="4" s="1"/>
  <c r="BE372" i="18"/>
  <c r="J374" i="4" s="1"/>
  <c r="Y373" i="18"/>
  <c r="F375" i="4" s="1"/>
  <c r="BE373" i="18"/>
  <c r="J375" i="4" s="1"/>
  <c r="Y374" i="18"/>
  <c r="F376" i="4" s="1"/>
  <c r="BE374" i="18"/>
  <c r="J376" i="4" s="1"/>
  <c r="Y375" i="18"/>
  <c r="F377" i="4" s="1"/>
  <c r="BE375" i="18"/>
  <c r="J377" i="4" s="1"/>
  <c r="Y376" i="18"/>
  <c r="F378" i="4" s="1"/>
  <c r="BE376" i="18"/>
  <c r="J378" i="4" s="1"/>
  <c r="Y377" i="18"/>
  <c r="F379" i="4" s="1"/>
  <c r="BE377" i="18"/>
  <c r="J379" i="4" s="1"/>
  <c r="Y378" i="18"/>
  <c r="F380" i="4" s="1"/>
  <c r="BE378" i="18"/>
  <c r="J380" i="4" s="1"/>
  <c r="Y379" i="18"/>
  <c r="F381" i="4" s="1"/>
  <c r="BE379" i="18"/>
  <c r="J381" i="4" s="1"/>
  <c r="AO380" i="18"/>
  <c r="H382" i="4" s="1"/>
  <c r="AO381" i="18"/>
  <c r="H383" i="4" s="1"/>
  <c r="AO382" i="18"/>
  <c r="H384" i="4" s="1"/>
  <c r="AO383" i="18"/>
  <c r="H385" i="4" s="1"/>
  <c r="AO384" i="18"/>
  <c r="H386" i="4" s="1"/>
  <c r="AO385" i="18"/>
  <c r="H387" i="4" s="1"/>
  <c r="AO386" i="18"/>
  <c r="H388" i="4" s="1"/>
  <c r="AO387" i="18"/>
  <c r="H389" i="4" s="1"/>
  <c r="AO388" i="18"/>
  <c r="H390" i="4" s="1"/>
  <c r="AO389" i="18"/>
  <c r="H391" i="4" s="1"/>
  <c r="AO390" i="18"/>
  <c r="H392" i="4" s="1"/>
  <c r="AO391" i="18"/>
  <c r="H393" i="4" s="1"/>
  <c r="AO392" i="18"/>
  <c r="H394" i="4" s="1"/>
  <c r="AO393" i="18"/>
  <c r="H395" i="4" s="1"/>
  <c r="AO394" i="18"/>
  <c r="H396" i="4" s="1"/>
  <c r="AO395" i="18"/>
  <c r="H397" i="4" s="1"/>
  <c r="AO396" i="18"/>
  <c r="H398" i="4" s="1"/>
  <c r="AO397" i="18"/>
  <c r="H399" i="4" s="1"/>
  <c r="AO398" i="18"/>
  <c r="H400" i="4" s="1"/>
  <c r="AO399" i="18"/>
  <c r="H401" i="4" s="1"/>
  <c r="AO400" i="18"/>
  <c r="H402" i="4" s="1"/>
  <c r="AO401" i="18"/>
  <c r="H403" i="4" s="1"/>
  <c r="AO402" i="18"/>
  <c r="H404" i="4" s="1"/>
  <c r="AO403" i="18"/>
  <c r="H405" i="4" s="1"/>
  <c r="AO404" i="18"/>
  <c r="H406" i="4" s="1"/>
  <c r="AO405" i="18"/>
  <c r="H407" i="4" s="1"/>
  <c r="AO406" i="18"/>
  <c r="H408" i="4" s="1"/>
  <c r="Q408" i="18"/>
  <c r="E410" i="4" s="1"/>
  <c r="Q410" i="18"/>
  <c r="E412" i="4" s="1"/>
  <c r="Q412" i="18"/>
  <c r="E414" i="4" s="1"/>
  <c r="Q414" i="18"/>
  <c r="E416" i="4" s="1"/>
  <c r="Q416" i="18"/>
  <c r="E418" i="4" s="1"/>
  <c r="BE290" i="18"/>
  <c r="J292" i="4" s="1"/>
  <c r="BE291" i="18"/>
  <c r="J293" i="4" s="1"/>
  <c r="BE292" i="18"/>
  <c r="J294" i="4" s="1"/>
  <c r="BE293" i="18"/>
  <c r="J295" i="4" s="1"/>
  <c r="BE294" i="18"/>
  <c r="J296" i="4" s="1"/>
  <c r="BE295" i="18"/>
  <c r="J297" i="4" s="1"/>
  <c r="BE296" i="18"/>
  <c r="J298" i="4" s="1"/>
  <c r="BE297" i="18"/>
  <c r="J299" i="4" s="1"/>
  <c r="BE298" i="18"/>
  <c r="J300" i="4" s="1"/>
  <c r="BE299" i="18"/>
  <c r="J301" i="4" s="1"/>
  <c r="BE300" i="18"/>
  <c r="J302" i="4" s="1"/>
  <c r="BE301" i="18"/>
  <c r="J303" i="4" s="1"/>
  <c r="BE302" i="18"/>
  <c r="J304" i="4" s="1"/>
  <c r="BE303" i="18"/>
  <c r="J305" i="4" s="1"/>
  <c r="BE304" i="18"/>
  <c r="J306" i="4" s="1"/>
  <c r="BE305" i="18"/>
  <c r="J307" i="4" s="1"/>
  <c r="BE306" i="18"/>
  <c r="J308" i="4" s="1"/>
  <c r="BE307" i="18"/>
  <c r="J309" i="4" s="1"/>
  <c r="BE308" i="18"/>
  <c r="J310" i="4" s="1"/>
  <c r="BE309" i="18"/>
  <c r="J311" i="4" s="1"/>
  <c r="BE310" i="18"/>
  <c r="J312" i="4" s="1"/>
  <c r="BE311" i="18"/>
  <c r="J313" i="4" s="1"/>
  <c r="BE312" i="18"/>
  <c r="J314" i="4" s="1"/>
  <c r="BE313" i="18"/>
  <c r="J315" i="4" s="1"/>
  <c r="BE314" i="18"/>
  <c r="J316" i="4" s="1"/>
  <c r="K317" i="4"/>
  <c r="K318" i="4"/>
  <c r="AG317" i="18"/>
  <c r="G319" i="4" s="1"/>
  <c r="K319" i="4"/>
  <c r="AG318" i="18"/>
  <c r="G320" i="4" s="1"/>
  <c r="K320" i="4"/>
  <c r="AG319" i="18"/>
  <c r="G321" i="4" s="1"/>
  <c r="K321" i="4"/>
  <c r="AG320" i="18"/>
  <c r="G322" i="4" s="1"/>
  <c r="K322" i="4"/>
  <c r="AG321" i="18"/>
  <c r="G323" i="4" s="1"/>
  <c r="K323" i="4"/>
  <c r="AG322" i="18"/>
  <c r="G324" i="4" s="1"/>
  <c r="K324" i="4"/>
  <c r="AG323" i="18"/>
  <c r="G325" i="4" s="1"/>
  <c r="K325" i="4"/>
  <c r="AG324" i="18"/>
  <c r="G326" i="4" s="1"/>
  <c r="K326" i="4"/>
  <c r="AG325" i="18"/>
  <c r="G327" i="4" s="1"/>
  <c r="K327" i="4"/>
  <c r="AG326" i="18"/>
  <c r="G328" i="4" s="1"/>
  <c r="K328" i="4"/>
  <c r="AG327" i="18"/>
  <c r="G329" i="4" s="1"/>
  <c r="K329" i="4"/>
  <c r="AG328" i="18"/>
  <c r="G330" i="4" s="1"/>
  <c r="K330" i="4"/>
  <c r="AG329" i="18"/>
  <c r="G331" i="4" s="1"/>
  <c r="K331" i="4"/>
  <c r="AG330" i="18"/>
  <c r="G332" i="4" s="1"/>
  <c r="K332" i="4"/>
  <c r="AG331" i="18"/>
  <c r="G333" i="4" s="1"/>
  <c r="K333" i="4"/>
  <c r="AG332" i="18"/>
  <c r="G334" i="4" s="1"/>
  <c r="K334" i="4"/>
  <c r="AG333" i="18"/>
  <c r="G335" i="4" s="1"/>
  <c r="K335" i="4"/>
  <c r="AG334" i="18"/>
  <c r="G336" i="4" s="1"/>
  <c r="K336" i="4"/>
  <c r="AG335" i="18"/>
  <c r="G337" i="4" s="1"/>
  <c r="K337" i="4"/>
  <c r="AG336" i="18"/>
  <c r="G338" i="4" s="1"/>
  <c r="K338" i="4"/>
  <c r="AG337" i="18"/>
  <c r="G339" i="4" s="1"/>
  <c r="K339" i="4"/>
  <c r="AG338" i="18"/>
  <c r="G340" i="4" s="1"/>
  <c r="K340" i="4"/>
  <c r="AG339" i="18"/>
  <c r="G341" i="4" s="1"/>
  <c r="K341" i="4"/>
  <c r="AG340" i="18"/>
  <c r="G342" i="4" s="1"/>
  <c r="K342" i="4"/>
  <c r="AG341" i="18"/>
  <c r="G343" i="4" s="1"/>
  <c r="K343" i="4"/>
  <c r="AG342" i="18"/>
  <c r="G344" i="4" s="1"/>
  <c r="K344" i="4"/>
  <c r="AG343" i="18"/>
  <c r="G345" i="4" s="1"/>
  <c r="K345" i="4"/>
  <c r="AG344" i="18"/>
  <c r="G346" i="4" s="1"/>
  <c r="K346" i="4"/>
  <c r="AG345" i="18"/>
  <c r="G347" i="4" s="1"/>
  <c r="K347" i="4"/>
  <c r="AG346" i="18"/>
  <c r="G348" i="4" s="1"/>
  <c r="K348" i="4"/>
  <c r="AG347" i="18"/>
  <c r="G349" i="4" s="1"/>
  <c r="K349" i="4"/>
  <c r="AG348" i="18"/>
  <c r="G350" i="4" s="1"/>
  <c r="K350" i="4"/>
  <c r="AG349" i="18"/>
  <c r="G351" i="4" s="1"/>
  <c r="K351" i="4"/>
  <c r="AG350" i="18"/>
  <c r="G352" i="4" s="1"/>
  <c r="K352" i="4"/>
  <c r="AG351" i="18"/>
  <c r="G353" i="4" s="1"/>
  <c r="K353" i="4"/>
  <c r="AG352" i="18"/>
  <c r="G354" i="4" s="1"/>
  <c r="K354" i="4"/>
  <c r="AG353" i="18"/>
  <c r="G355" i="4" s="1"/>
  <c r="K355" i="4"/>
  <c r="AG354" i="18"/>
  <c r="G356" i="4" s="1"/>
  <c r="K356" i="4"/>
  <c r="AG355" i="18"/>
  <c r="G357" i="4" s="1"/>
  <c r="K357" i="4"/>
  <c r="AG356" i="18"/>
  <c r="G358" i="4" s="1"/>
  <c r="K358" i="4"/>
  <c r="AG357" i="18"/>
  <c r="G359" i="4" s="1"/>
  <c r="K359" i="4"/>
  <c r="AG358" i="18"/>
  <c r="G360" i="4" s="1"/>
  <c r="K360" i="4"/>
  <c r="AG359" i="18"/>
  <c r="G361" i="4" s="1"/>
  <c r="K361" i="4"/>
  <c r="AG360" i="18"/>
  <c r="G362" i="4" s="1"/>
  <c r="K362" i="4"/>
  <c r="Y381" i="18"/>
  <c r="F383" i="4" s="1"/>
  <c r="Y382" i="18"/>
  <c r="F384" i="4" s="1"/>
  <c r="Y383" i="18"/>
  <c r="F385" i="4" s="1"/>
  <c r="Y384" i="18"/>
  <c r="F386" i="4" s="1"/>
  <c r="Y385" i="18"/>
  <c r="F387" i="4" s="1"/>
  <c r="Y386" i="18"/>
  <c r="F388" i="4" s="1"/>
  <c r="Y387" i="18"/>
  <c r="F389" i="4" s="1"/>
  <c r="Y388" i="18"/>
  <c r="F390" i="4" s="1"/>
  <c r="Y389" i="18"/>
  <c r="F391" i="4" s="1"/>
  <c r="Y390" i="18"/>
  <c r="F392" i="4" s="1"/>
  <c r="Y391" i="18"/>
  <c r="F393" i="4" s="1"/>
  <c r="Y392" i="18"/>
  <c r="F394" i="4" s="1"/>
  <c r="Y393" i="18"/>
  <c r="F395" i="4" s="1"/>
  <c r="Y394" i="18"/>
  <c r="F396" i="4" s="1"/>
  <c r="Y395" i="18"/>
  <c r="F397" i="4" s="1"/>
  <c r="Y396" i="18"/>
  <c r="F398" i="4" s="1"/>
  <c r="Y397" i="18"/>
  <c r="F399" i="4" s="1"/>
  <c r="Y398" i="18"/>
  <c r="F400" i="4" s="1"/>
  <c r="Y399" i="18"/>
  <c r="F401" i="4" s="1"/>
  <c r="Y400" i="18"/>
  <c r="F402" i="4" s="1"/>
  <c r="Y401" i="18"/>
  <c r="F403" i="4" s="1"/>
  <c r="Y402" i="18"/>
  <c r="F404" i="4" s="1"/>
  <c r="Y403" i="18"/>
  <c r="F405" i="4" s="1"/>
  <c r="Y404" i="18"/>
  <c r="F406" i="4" s="1"/>
  <c r="Y405" i="18"/>
  <c r="F407" i="4" s="1"/>
  <c r="Y406" i="18"/>
  <c r="F408" i="4" s="1"/>
  <c r="AO409" i="18"/>
  <c r="H411" i="4" s="1"/>
  <c r="AO411" i="18"/>
  <c r="H413" i="4" s="1"/>
  <c r="AO413" i="18"/>
  <c r="H415" i="4" s="1"/>
  <c r="AO415" i="18"/>
  <c r="H417" i="4" s="1"/>
  <c r="Y221" i="18"/>
  <c r="F223" i="4" s="1"/>
  <c r="AO221" i="18"/>
  <c r="H223" i="4" s="1"/>
  <c r="BE221" i="18"/>
  <c r="J223" i="4" s="1"/>
  <c r="I222" i="18"/>
  <c r="D224" i="4" s="1"/>
  <c r="AO292" i="18"/>
  <c r="H294" i="4" s="1"/>
  <c r="AO293" i="18"/>
  <c r="H295" i="4" s="1"/>
  <c r="AO294" i="18"/>
  <c r="H296" i="4" s="1"/>
  <c r="AO295" i="18"/>
  <c r="H297" i="4" s="1"/>
  <c r="AO296" i="18"/>
  <c r="H298" i="4" s="1"/>
  <c r="AO297" i="18"/>
  <c r="H299" i="4" s="1"/>
  <c r="AO298" i="18"/>
  <c r="H300" i="4" s="1"/>
  <c r="AO299" i="18"/>
  <c r="H301" i="4" s="1"/>
  <c r="AO300" i="18"/>
  <c r="H302" i="4" s="1"/>
  <c r="AO301" i="18"/>
  <c r="H303" i="4" s="1"/>
  <c r="AO302" i="18"/>
  <c r="H304" i="4" s="1"/>
  <c r="AO303" i="18"/>
  <c r="H305" i="4" s="1"/>
  <c r="AO304" i="18"/>
  <c r="H306" i="4" s="1"/>
  <c r="AO305" i="18"/>
  <c r="H307" i="4" s="1"/>
  <c r="AO306" i="18"/>
  <c r="H308" i="4" s="1"/>
  <c r="AO307" i="18"/>
  <c r="H309" i="4" s="1"/>
  <c r="AO308" i="18"/>
  <c r="H310" i="4" s="1"/>
  <c r="AO309" i="18"/>
  <c r="H311" i="4" s="1"/>
  <c r="AO310" i="18"/>
  <c r="H312" i="4" s="1"/>
  <c r="AO311" i="18"/>
  <c r="H313" i="4" s="1"/>
  <c r="AO312" i="18"/>
  <c r="H314" i="4" s="1"/>
  <c r="AO313" i="18"/>
  <c r="H315" i="4" s="1"/>
  <c r="AO314" i="18"/>
  <c r="H316" i="4" s="1"/>
  <c r="AO315" i="18"/>
  <c r="H317" i="4" s="1"/>
  <c r="AO316" i="18"/>
  <c r="H318" i="4" s="1"/>
  <c r="I317" i="18"/>
  <c r="D319" i="4" s="1"/>
  <c r="AO317" i="18"/>
  <c r="H319" i="4" s="1"/>
  <c r="I318" i="18"/>
  <c r="D320" i="4" s="1"/>
  <c r="AO318" i="18"/>
  <c r="H320" i="4" s="1"/>
  <c r="I319" i="18"/>
  <c r="D321" i="4" s="1"/>
  <c r="AO319" i="18"/>
  <c r="H321" i="4" s="1"/>
  <c r="I320" i="18"/>
  <c r="D322" i="4" s="1"/>
  <c r="AO320" i="18"/>
  <c r="H322" i="4" s="1"/>
  <c r="I321" i="18"/>
  <c r="D323" i="4" s="1"/>
  <c r="AO321" i="18"/>
  <c r="H323" i="4" s="1"/>
  <c r="I322" i="18"/>
  <c r="D324" i="4" s="1"/>
  <c r="AO322" i="18"/>
  <c r="H324" i="4" s="1"/>
  <c r="I323" i="18"/>
  <c r="D325" i="4" s="1"/>
  <c r="AO323" i="18"/>
  <c r="H325" i="4" s="1"/>
  <c r="I324" i="18"/>
  <c r="D326" i="4" s="1"/>
  <c r="AO324" i="18"/>
  <c r="H326" i="4" s="1"/>
  <c r="I325" i="18"/>
  <c r="D327" i="4" s="1"/>
  <c r="AO325" i="18"/>
  <c r="H327" i="4" s="1"/>
  <c r="I326" i="18"/>
  <c r="D328" i="4" s="1"/>
  <c r="AO326" i="18"/>
  <c r="H328" i="4" s="1"/>
  <c r="I327" i="18"/>
  <c r="D329" i="4" s="1"/>
  <c r="AO327" i="18"/>
  <c r="H329" i="4" s="1"/>
  <c r="I328" i="18"/>
  <c r="D330" i="4" s="1"/>
  <c r="AO328" i="18"/>
  <c r="H330" i="4" s="1"/>
  <c r="I329" i="18"/>
  <c r="D331" i="4" s="1"/>
  <c r="AO329" i="18"/>
  <c r="H331" i="4" s="1"/>
  <c r="I330" i="18"/>
  <c r="D332" i="4" s="1"/>
  <c r="AO330" i="18"/>
  <c r="H332" i="4" s="1"/>
  <c r="I331" i="18"/>
  <c r="D333" i="4" s="1"/>
  <c r="AO331" i="18"/>
  <c r="H333" i="4" s="1"/>
  <c r="I332" i="18"/>
  <c r="D334" i="4" s="1"/>
  <c r="AO332" i="18"/>
  <c r="H334" i="4" s="1"/>
  <c r="I333" i="18"/>
  <c r="D335" i="4" s="1"/>
  <c r="AO333" i="18"/>
  <c r="H335" i="4" s="1"/>
  <c r="I334" i="18"/>
  <c r="D336" i="4" s="1"/>
  <c r="AO334" i="18"/>
  <c r="H336" i="4" s="1"/>
  <c r="I335" i="18"/>
  <c r="D337" i="4" s="1"/>
  <c r="AO335" i="18"/>
  <c r="H337" i="4" s="1"/>
  <c r="I336" i="18"/>
  <c r="D338" i="4" s="1"/>
  <c r="AO336" i="18"/>
  <c r="H338" i="4" s="1"/>
  <c r="I337" i="18"/>
  <c r="D339" i="4" s="1"/>
  <c r="AO337" i="18"/>
  <c r="H339" i="4" s="1"/>
  <c r="I338" i="18"/>
  <c r="D340" i="4" s="1"/>
  <c r="AO338" i="18"/>
  <c r="H340" i="4" s="1"/>
  <c r="I339" i="18"/>
  <c r="D341" i="4" s="1"/>
  <c r="AO339" i="18"/>
  <c r="H341" i="4" s="1"/>
  <c r="I340" i="18"/>
  <c r="D342" i="4" s="1"/>
  <c r="AO340" i="18"/>
  <c r="H342" i="4" s="1"/>
  <c r="I341" i="18"/>
  <c r="D343" i="4" s="1"/>
  <c r="AO341" i="18"/>
  <c r="H343" i="4" s="1"/>
  <c r="I342" i="18"/>
  <c r="D344" i="4" s="1"/>
  <c r="AO342" i="18"/>
  <c r="H344" i="4" s="1"/>
  <c r="I343" i="18"/>
  <c r="D345" i="4" s="1"/>
  <c r="AO343" i="18"/>
  <c r="H345" i="4" s="1"/>
  <c r="I344" i="18"/>
  <c r="D346" i="4" s="1"/>
  <c r="AO344" i="18"/>
  <c r="H346" i="4" s="1"/>
  <c r="I345" i="18"/>
  <c r="D347" i="4" s="1"/>
  <c r="AO345" i="18"/>
  <c r="H347" i="4" s="1"/>
  <c r="I346" i="18"/>
  <c r="D348" i="4" s="1"/>
  <c r="AO346" i="18"/>
  <c r="H348" i="4" s="1"/>
  <c r="I347" i="18"/>
  <c r="D349" i="4" s="1"/>
  <c r="AO347" i="18"/>
  <c r="H349" i="4" s="1"/>
  <c r="I348" i="18"/>
  <c r="D350" i="4" s="1"/>
  <c r="AO348" i="18"/>
  <c r="H350" i="4" s="1"/>
  <c r="I349" i="18"/>
  <c r="D351" i="4" s="1"/>
  <c r="AO349" i="18"/>
  <c r="H351" i="4" s="1"/>
  <c r="I350" i="18"/>
  <c r="D352" i="4" s="1"/>
  <c r="AO350" i="18"/>
  <c r="H352" i="4" s="1"/>
  <c r="I351" i="18"/>
  <c r="D353" i="4" s="1"/>
  <c r="AO351" i="18"/>
  <c r="H353" i="4" s="1"/>
  <c r="I352" i="18"/>
  <c r="D354" i="4" s="1"/>
  <c r="AO352" i="18"/>
  <c r="H354" i="4" s="1"/>
  <c r="I353" i="18"/>
  <c r="D355" i="4" s="1"/>
  <c r="AO353" i="18"/>
  <c r="H355" i="4" s="1"/>
  <c r="I354" i="18"/>
  <c r="D356" i="4" s="1"/>
  <c r="AO354" i="18"/>
  <c r="H356" i="4" s="1"/>
  <c r="I355" i="18"/>
  <c r="D357" i="4" s="1"/>
  <c r="AO355" i="18"/>
  <c r="H357" i="4" s="1"/>
  <c r="I356" i="18"/>
  <c r="D358" i="4" s="1"/>
  <c r="AO356" i="18"/>
  <c r="H358" i="4" s="1"/>
  <c r="I357" i="18"/>
  <c r="D359" i="4" s="1"/>
  <c r="AO357" i="18"/>
  <c r="H359" i="4" s="1"/>
  <c r="I358" i="18"/>
  <c r="D360" i="4" s="1"/>
  <c r="AO358" i="18"/>
  <c r="H360" i="4" s="1"/>
  <c r="I359" i="18"/>
  <c r="D361" i="4" s="1"/>
  <c r="AO359" i="18"/>
  <c r="H361" i="4" s="1"/>
  <c r="I360" i="18"/>
  <c r="D362" i="4" s="1"/>
  <c r="AO360" i="18"/>
  <c r="H362" i="4" s="1"/>
  <c r="I361" i="18"/>
  <c r="D363" i="4" s="1"/>
  <c r="AO361" i="18"/>
  <c r="H363" i="4" s="1"/>
  <c r="I362" i="18"/>
  <c r="D364" i="4" s="1"/>
  <c r="AO362" i="18"/>
  <c r="H364" i="4" s="1"/>
  <c r="I363" i="18"/>
  <c r="D365" i="4" s="1"/>
  <c r="AO363" i="18"/>
  <c r="H365" i="4" s="1"/>
  <c r="I364" i="18"/>
  <c r="D366" i="4" s="1"/>
  <c r="AO364" i="18"/>
  <c r="H366" i="4" s="1"/>
  <c r="I365" i="18"/>
  <c r="D367" i="4" s="1"/>
  <c r="AO365" i="18"/>
  <c r="H367" i="4" s="1"/>
  <c r="I366" i="18"/>
  <c r="D368" i="4" s="1"/>
  <c r="AO366" i="18"/>
  <c r="H368" i="4" s="1"/>
  <c r="I367" i="18"/>
  <c r="D369" i="4" s="1"/>
  <c r="AO367" i="18"/>
  <c r="H369" i="4" s="1"/>
  <c r="I368" i="18"/>
  <c r="D370" i="4" s="1"/>
  <c r="AO368" i="18"/>
  <c r="H370" i="4" s="1"/>
  <c r="I369" i="18"/>
  <c r="D371" i="4" s="1"/>
  <c r="AO369" i="18"/>
  <c r="H371" i="4" s="1"/>
  <c r="I370" i="18"/>
  <c r="D372" i="4" s="1"/>
  <c r="AO370" i="18"/>
  <c r="H372" i="4" s="1"/>
  <c r="I371" i="18"/>
  <c r="D373" i="4" s="1"/>
  <c r="AO371" i="18"/>
  <c r="H373" i="4" s="1"/>
  <c r="I372" i="18"/>
  <c r="D374" i="4" s="1"/>
  <c r="AO372" i="18"/>
  <c r="H374" i="4" s="1"/>
  <c r="I373" i="18"/>
  <c r="D375" i="4" s="1"/>
  <c r="AO373" i="18"/>
  <c r="H375" i="4" s="1"/>
  <c r="I374" i="18"/>
  <c r="D376" i="4" s="1"/>
  <c r="AO374" i="18"/>
  <c r="H376" i="4" s="1"/>
  <c r="I375" i="18"/>
  <c r="D377" i="4" s="1"/>
  <c r="AO375" i="18"/>
  <c r="H377" i="4" s="1"/>
  <c r="I376" i="18"/>
  <c r="D378" i="4" s="1"/>
  <c r="AO376" i="18"/>
  <c r="H378" i="4" s="1"/>
  <c r="I377" i="18"/>
  <c r="D379" i="4" s="1"/>
  <c r="AO377" i="18"/>
  <c r="H379" i="4" s="1"/>
  <c r="I378" i="18"/>
  <c r="D380" i="4" s="1"/>
  <c r="AO378" i="18"/>
  <c r="H380" i="4" s="1"/>
  <c r="I379" i="18"/>
  <c r="D381" i="4" s="1"/>
  <c r="AO379" i="18"/>
  <c r="H381" i="4" s="1"/>
  <c r="I380" i="18"/>
  <c r="D382" i="4" s="1"/>
  <c r="I381" i="18"/>
  <c r="D383" i="4" s="1"/>
  <c r="I382" i="18"/>
  <c r="D384" i="4" s="1"/>
  <c r="I383" i="18"/>
  <c r="D385" i="4" s="1"/>
  <c r="I384" i="18"/>
  <c r="D386" i="4" s="1"/>
  <c r="I385" i="18"/>
  <c r="D387" i="4" s="1"/>
  <c r="I386" i="18"/>
  <c r="D388" i="4" s="1"/>
  <c r="I387" i="18"/>
  <c r="D389" i="4" s="1"/>
  <c r="I388" i="18"/>
  <c r="D390" i="4" s="1"/>
  <c r="I389" i="18"/>
  <c r="D391" i="4" s="1"/>
  <c r="I390" i="18"/>
  <c r="D392" i="4" s="1"/>
  <c r="I391" i="18"/>
  <c r="D393" i="4" s="1"/>
  <c r="I392" i="18"/>
  <c r="D394" i="4" s="1"/>
  <c r="I393" i="18"/>
  <c r="D395" i="4" s="1"/>
  <c r="I394" i="18"/>
  <c r="D396" i="4" s="1"/>
  <c r="I395" i="18"/>
  <c r="D397" i="4" s="1"/>
  <c r="I396" i="18"/>
  <c r="D398" i="4" s="1"/>
  <c r="I397" i="18"/>
  <c r="D399" i="4" s="1"/>
  <c r="I398" i="18"/>
  <c r="D400" i="4" s="1"/>
  <c r="I399" i="18"/>
  <c r="D401" i="4" s="1"/>
  <c r="I400" i="18"/>
  <c r="D402" i="4" s="1"/>
  <c r="I401" i="18"/>
  <c r="D403" i="4" s="1"/>
  <c r="I402" i="18"/>
  <c r="D404" i="4" s="1"/>
  <c r="I403" i="18"/>
  <c r="D405" i="4" s="1"/>
  <c r="I404" i="18"/>
  <c r="D406" i="4" s="1"/>
  <c r="I405" i="18"/>
  <c r="D407" i="4" s="1"/>
  <c r="I407" i="18"/>
  <c r="D409" i="4" s="1"/>
  <c r="I406" i="18"/>
  <c r="D408" i="4" s="1"/>
  <c r="K409" i="4"/>
  <c r="K410" i="4"/>
  <c r="K411" i="4"/>
  <c r="K412" i="4"/>
  <c r="K413" i="4"/>
  <c r="K414" i="4"/>
  <c r="K415" i="4"/>
  <c r="K416" i="4"/>
  <c r="K417" i="4"/>
  <c r="K418" i="4"/>
  <c r="AW406" i="18"/>
  <c r="I408" i="4" s="1"/>
  <c r="AW407" i="18"/>
  <c r="I409" i="4" s="1"/>
  <c r="AW408" i="18"/>
  <c r="I410" i="4" s="1"/>
  <c r="AW409" i="18"/>
  <c r="I411" i="4" s="1"/>
  <c r="AW410" i="18"/>
  <c r="I412" i="4" s="1"/>
  <c r="AW411" i="18"/>
  <c r="I413" i="4" s="1"/>
  <c r="AW412" i="18"/>
  <c r="I414" i="4" s="1"/>
  <c r="AW413" i="18"/>
  <c r="I415" i="4" s="1"/>
  <c r="AW414" i="18"/>
  <c r="I416" i="4" s="1"/>
  <c r="AW415" i="18"/>
  <c r="I417" i="4" s="1"/>
  <c r="AW416" i="18"/>
  <c r="I418" i="4" s="1"/>
  <c r="AW377" i="18"/>
  <c r="I379" i="4" s="1"/>
  <c r="K379" i="4"/>
  <c r="Q378" i="18"/>
  <c r="E380" i="4" s="1"/>
  <c r="AG378" i="18"/>
  <c r="G380" i="4" s="1"/>
  <c r="AG408" i="18"/>
  <c r="G410" i="4" s="1"/>
  <c r="AG409" i="18"/>
  <c r="G411" i="4" s="1"/>
  <c r="AG410" i="18"/>
  <c r="G412" i="4" s="1"/>
  <c r="AG411" i="18"/>
  <c r="G413" i="4" s="1"/>
  <c r="AG412" i="18"/>
  <c r="G414" i="4" s="1"/>
  <c r="AG413" i="18"/>
  <c r="G415" i="4" s="1"/>
  <c r="AG414" i="18"/>
  <c r="G416" i="4" s="1"/>
  <c r="AG415" i="18"/>
  <c r="G417" i="4" s="1"/>
  <c r="AG416" i="18"/>
  <c r="G418" i="4" s="1"/>
  <c r="H32" i="14" l="1"/>
  <c r="H25" i="14"/>
  <c r="D25" i="14"/>
  <c r="H27" i="14"/>
  <c r="C157" i="25"/>
  <c r="I152" i="25"/>
  <c r="D157" i="25" s="1"/>
  <c r="C128" i="25"/>
  <c r="H123" i="25"/>
  <c r="D170" i="25"/>
  <c r="E168" i="25"/>
  <c r="D122" i="25"/>
  <c r="C127" i="25" s="1"/>
  <c r="C129" i="25" s="1"/>
  <c r="E45" i="17" s="1"/>
  <c r="D151" i="25"/>
  <c r="C156" i="25" s="1"/>
  <c r="H73" i="25"/>
  <c r="H149" i="25"/>
  <c r="G120" i="25"/>
  <c r="E39" i="26"/>
  <c r="F39" i="26" s="1"/>
  <c r="G39" i="26" s="1"/>
  <c r="E12" i="25"/>
  <c r="E11" i="26"/>
  <c r="F11" i="26" s="1"/>
  <c r="E12" i="26"/>
  <c r="F12" i="26" s="1"/>
  <c r="J12" i="26" s="1"/>
  <c r="E13" i="25"/>
  <c r="E40" i="26"/>
  <c r="F40" i="26" s="1"/>
  <c r="G40" i="26" s="1"/>
  <c r="I40" i="26" s="1"/>
  <c r="M145" i="25"/>
  <c r="M69" i="25"/>
  <c r="I116" i="25"/>
  <c r="R69" i="25"/>
  <c r="K116" i="25"/>
  <c r="R145" i="25"/>
  <c r="M72" i="25"/>
  <c r="I119" i="25"/>
  <c r="M148" i="25"/>
  <c r="M74" i="25"/>
  <c r="I121" i="25"/>
  <c r="M150" i="25"/>
  <c r="H68" i="25"/>
  <c r="G115" i="25"/>
  <c r="H144" i="25"/>
  <c r="M71" i="25"/>
  <c r="M147" i="25"/>
  <c r="I118" i="25"/>
  <c r="E15" i="26"/>
  <c r="F15" i="26" s="1"/>
  <c r="H15" i="26" s="1"/>
  <c r="E43" i="26"/>
  <c r="F43" i="26" s="1"/>
  <c r="G43" i="26" s="1"/>
  <c r="I43" i="26" s="1"/>
  <c r="E16" i="25"/>
  <c r="K11" i="26"/>
  <c r="R12" i="25"/>
  <c r="R39" i="26"/>
  <c r="H36" i="26"/>
  <c r="G8" i="26"/>
  <c r="H9" i="25"/>
  <c r="E42" i="26"/>
  <c r="F42" i="26" s="1"/>
  <c r="G42" i="26" s="1"/>
  <c r="I42" i="26" s="1"/>
  <c r="E15" i="25"/>
  <c r="E14" i="26"/>
  <c r="F14" i="26" s="1"/>
  <c r="H14" i="26" s="1"/>
  <c r="E10" i="25"/>
  <c r="E9" i="26"/>
  <c r="F9" i="26" s="1"/>
  <c r="J9" i="26" s="1"/>
  <c r="E37" i="26"/>
  <c r="F37" i="26" s="1"/>
  <c r="G37" i="26" s="1"/>
  <c r="I37" i="26" s="1"/>
  <c r="H39" i="26"/>
  <c r="G11" i="26"/>
  <c r="H12" i="25"/>
  <c r="M149" i="25"/>
  <c r="I120" i="25"/>
  <c r="M73" i="25"/>
  <c r="R149" i="25"/>
  <c r="K120" i="25"/>
  <c r="R73" i="25"/>
  <c r="H150" i="25"/>
  <c r="H74" i="25"/>
  <c r="G121" i="25"/>
  <c r="R68" i="25"/>
  <c r="K115" i="25"/>
  <c r="R144" i="25"/>
  <c r="H72" i="25"/>
  <c r="H148" i="25"/>
  <c r="G119" i="25"/>
  <c r="E38" i="26"/>
  <c r="F38" i="26" s="1"/>
  <c r="G38" i="26" s="1"/>
  <c r="I38" i="26" s="1"/>
  <c r="E11" i="25"/>
  <c r="E10" i="26"/>
  <c r="F10" i="26" s="1"/>
  <c r="H10" i="26" s="1"/>
  <c r="E14" i="25"/>
  <c r="E41" i="26"/>
  <c r="F41" i="26" s="1"/>
  <c r="G41" i="26" s="1"/>
  <c r="I41" i="26" s="1"/>
  <c r="E13" i="26"/>
  <c r="F13" i="26" s="1"/>
  <c r="H13" i="26" s="1"/>
  <c r="M39" i="26"/>
  <c r="I11" i="26"/>
  <c r="M12" i="25"/>
  <c r="H147" i="25"/>
  <c r="G118" i="25"/>
  <c r="H71" i="25"/>
  <c r="E8" i="26"/>
  <c r="F8" i="26" s="1"/>
  <c r="L8" i="26" s="1"/>
  <c r="E9" i="25"/>
  <c r="E36" i="26"/>
  <c r="F36" i="26" s="1"/>
  <c r="G36" i="26" s="1"/>
  <c r="M36" i="26"/>
  <c r="I8" i="26"/>
  <c r="J8" i="26" s="1"/>
  <c r="M9" i="25"/>
  <c r="K121" i="25"/>
  <c r="R74" i="25"/>
  <c r="R150" i="25"/>
  <c r="J14" i="26"/>
  <c r="M68" i="25"/>
  <c r="I115" i="25"/>
  <c r="M144" i="25"/>
  <c r="K119" i="25"/>
  <c r="R148" i="25"/>
  <c r="R72" i="25"/>
  <c r="H69" i="25"/>
  <c r="H145" i="25"/>
  <c r="G116" i="25"/>
  <c r="R147" i="25"/>
  <c r="K118" i="25"/>
  <c r="R71" i="25"/>
  <c r="D27" i="14"/>
  <c r="F26" i="14"/>
  <c r="D26" i="14"/>
  <c r="D30" i="14"/>
  <c r="H31" i="14"/>
  <c r="F31" i="14"/>
  <c r="F30" i="14"/>
  <c r="E11" i="15"/>
  <c r="H23" i="15" s="1"/>
  <c r="D29" i="14"/>
  <c r="E17" i="15"/>
  <c r="D32" i="14"/>
  <c r="E16" i="15"/>
  <c r="H28" i="15" s="1"/>
  <c r="F25" i="14"/>
  <c r="H29" i="14"/>
  <c r="E15" i="15"/>
  <c r="E18" i="15"/>
  <c r="E13" i="15"/>
  <c r="F25" i="15" s="1"/>
  <c r="E12" i="15"/>
  <c r="F421" i="4"/>
  <c r="K421" i="4"/>
  <c r="K420" i="4"/>
  <c r="E420" i="4"/>
  <c r="I419" i="4"/>
  <c r="F420" i="4"/>
  <c r="J419" i="4"/>
  <c r="D420" i="4"/>
  <c r="K419" i="4"/>
  <c r="D419" i="4"/>
  <c r="I421" i="4"/>
  <c r="I420" i="4"/>
  <c r="H421" i="4"/>
  <c r="H420" i="4"/>
  <c r="J421" i="4"/>
  <c r="E421" i="4"/>
  <c r="F419" i="4"/>
  <c r="D421" i="4"/>
  <c r="H419" i="4"/>
  <c r="E419" i="4"/>
  <c r="J420" i="4"/>
  <c r="E14" i="15"/>
  <c r="H26" i="15" s="1"/>
  <c r="F28" i="14"/>
  <c r="G421" i="4"/>
  <c r="D28" i="14"/>
  <c r="G420" i="4"/>
  <c r="G419" i="4"/>
  <c r="C10" i="7"/>
  <c r="C10" i="9" s="1"/>
  <c r="C10" i="11" s="1"/>
  <c r="J15" i="26" l="1"/>
  <c r="L14" i="26"/>
  <c r="C158" i="25"/>
  <c r="E53" i="17" s="1"/>
  <c r="E170" i="25"/>
  <c r="F168" i="25"/>
  <c r="F170" i="25" s="1"/>
  <c r="J123" i="25"/>
  <c r="D128" i="25"/>
  <c r="F61" i="17"/>
  <c r="D171" i="25"/>
  <c r="H9" i="26"/>
  <c r="L10" i="26"/>
  <c r="J10" i="26"/>
  <c r="L9" i="26"/>
  <c r="J11" i="26"/>
  <c r="L11" i="26"/>
  <c r="F23" i="15"/>
  <c r="M146" i="25"/>
  <c r="M70" i="25"/>
  <c r="I117" i="25"/>
  <c r="H70" i="25"/>
  <c r="H146" i="25"/>
  <c r="G117" i="25"/>
  <c r="L12" i="26"/>
  <c r="R70" i="25"/>
  <c r="R146" i="25"/>
  <c r="K117" i="25"/>
  <c r="H12" i="26"/>
  <c r="H11" i="26"/>
  <c r="I36" i="26"/>
  <c r="E148" i="25"/>
  <c r="F148" i="25" s="1"/>
  <c r="G148" i="25" s="1"/>
  <c r="I148" i="25" s="1"/>
  <c r="E119" i="25"/>
  <c r="F119" i="25" s="1"/>
  <c r="L119" i="25" s="1"/>
  <c r="E72" i="25"/>
  <c r="E115" i="25"/>
  <c r="F115" i="25" s="1"/>
  <c r="J115" i="25" s="1"/>
  <c r="E68" i="25"/>
  <c r="E144" i="25"/>
  <c r="F144" i="25" s="1"/>
  <c r="G144" i="25" s="1"/>
  <c r="I144" i="25" s="1"/>
  <c r="H67" i="25"/>
  <c r="G114" i="25"/>
  <c r="H143" i="25"/>
  <c r="L13" i="26"/>
  <c r="E146" i="25"/>
  <c r="F146" i="25" s="1"/>
  <c r="G146" i="25" s="1"/>
  <c r="E117" i="25"/>
  <c r="F117" i="25" s="1"/>
  <c r="E70" i="25"/>
  <c r="E116" i="25"/>
  <c r="F116" i="25" s="1"/>
  <c r="J116" i="25" s="1"/>
  <c r="E145" i="25"/>
  <c r="F145" i="25" s="1"/>
  <c r="G145" i="25" s="1"/>
  <c r="I145" i="25" s="1"/>
  <c r="E69" i="25"/>
  <c r="E120" i="25"/>
  <c r="F120" i="25" s="1"/>
  <c r="J120" i="25" s="1"/>
  <c r="E149" i="25"/>
  <c r="F149" i="25" s="1"/>
  <c r="G149" i="25" s="1"/>
  <c r="I149" i="25" s="1"/>
  <c r="E73" i="25"/>
  <c r="M67" i="25"/>
  <c r="M143" i="25"/>
  <c r="I114" i="25"/>
  <c r="E67" i="25"/>
  <c r="E114" i="25"/>
  <c r="F114" i="25" s="1"/>
  <c r="L114" i="25" s="1"/>
  <c r="E143" i="25"/>
  <c r="F143" i="25" s="1"/>
  <c r="G143" i="25" s="1"/>
  <c r="I143" i="25" s="1"/>
  <c r="J13" i="26"/>
  <c r="H8" i="26"/>
  <c r="L15" i="26"/>
  <c r="E121" i="25"/>
  <c r="F121" i="25" s="1"/>
  <c r="L121" i="25" s="1"/>
  <c r="E74" i="25"/>
  <c r="E150" i="25"/>
  <c r="F150" i="25" s="1"/>
  <c r="G150" i="25" s="1"/>
  <c r="I150" i="25" s="1"/>
  <c r="E118" i="25"/>
  <c r="F118" i="25" s="1"/>
  <c r="L118" i="25" s="1"/>
  <c r="E71" i="25"/>
  <c r="E147" i="25"/>
  <c r="F147" i="25" s="1"/>
  <c r="G147" i="25" s="1"/>
  <c r="I147" i="25" s="1"/>
  <c r="I39" i="26"/>
  <c r="H33" i="14"/>
  <c r="F37" i="14" s="1"/>
  <c r="F39" i="14" s="1"/>
  <c r="H13" i="17" s="1"/>
  <c r="P6" i="19"/>
  <c r="P7" i="19" s="1"/>
  <c r="P8" i="19" s="1"/>
  <c r="F33" i="14"/>
  <c r="E37" i="14" s="1"/>
  <c r="E39" i="14" s="1"/>
  <c r="G13" i="17" s="1"/>
  <c r="D26" i="15"/>
  <c r="D33" i="14"/>
  <c r="D37" i="14" s="1"/>
  <c r="D39" i="14" s="1"/>
  <c r="D23" i="15"/>
  <c r="P6" i="20"/>
  <c r="P7" i="20" s="1"/>
  <c r="P8" i="20" s="1"/>
  <c r="D30" i="15"/>
  <c r="H30" i="15"/>
  <c r="F27" i="15"/>
  <c r="H27" i="15"/>
  <c r="F29" i="15"/>
  <c r="H29" i="15"/>
  <c r="F30" i="15"/>
  <c r="F24" i="15"/>
  <c r="H24" i="15"/>
  <c r="D28" i="15"/>
  <c r="D24" i="15"/>
  <c r="D25" i="15"/>
  <c r="H25" i="15"/>
  <c r="D29" i="15"/>
  <c r="D27" i="15"/>
  <c r="F28" i="15"/>
  <c r="P7" i="21"/>
  <c r="H11" i="6" s="1"/>
  <c r="F26" i="15"/>
  <c r="J16" i="26" l="1"/>
  <c r="J6" i="26" s="1"/>
  <c r="P64" i="25" s="1"/>
  <c r="L116" i="25"/>
  <c r="H16" i="26"/>
  <c r="H6" i="26" s="1"/>
  <c r="K64" i="25" s="1"/>
  <c r="H116" i="25"/>
  <c r="I146" i="25"/>
  <c r="I151" i="25" s="1"/>
  <c r="L123" i="25"/>
  <c r="F128" i="25" s="1"/>
  <c r="E128" i="25"/>
  <c r="F13" i="17"/>
  <c r="C95" i="17" s="1"/>
  <c r="D40" i="14"/>
  <c r="L16" i="26"/>
  <c r="H61" i="17"/>
  <c r="F171" i="25"/>
  <c r="C101" i="17"/>
  <c r="F62" i="17"/>
  <c r="E171" i="25"/>
  <c r="E172" i="25" s="1"/>
  <c r="G61" i="17"/>
  <c r="H120" i="25"/>
  <c r="J117" i="25"/>
  <c r="F21" i="26"/>
  <c r="F23" i="26" s="1"/>
  <c r="H21" i="17" s="1"/>
  <c r="L6" i="26"/>
  <c r="S64" i="25" s="1"/>
  <c r="E21" i="26"/>
  <c r="E23" i="26" s="1"/>
  <c r="G21" i="17" s="1"/>
  <c r="H118" i="25"/>
  <c r="J119" i="25"/>
  <c r="H117" i="25"/>
  <c r="L120" i="25"/>
  <c r="H115" i="25"/>
  <c r="D21" i="26"/>
  <c r="D23" i="26" s="1"/>
  <c r="J118" i="25"/>
  <c r="L115" i="25"/>
  <c r="J114" i="25"/>
  <c r="J121" i="25"/>
  <c r="H114" i="25"/>
  <c r="I44" i="26"/>
  <c r="H121" i="25"/>
  <c r="D95" i="17"/>
  <c r="E95" i="17"/>
  <c r="H14" i="17"/>
  <c r="E83" i="17" s="1"/>
  <c r="H119" i="25"/>
  <c r="L117" i="25"/>
  <c r="F40" i="14"/>
  <c r="E40" i="14"/>
  <c r="G11" i="6"/>
  <c r="D6" i="7" s="1"/>
  <c r="H31" i="15"/>
  <c r="E35" i="15" s="1"/>
  <c r="E37" i="15" s="1"/>
  <c r="F31" i="15"/>
  <c r="D35" i="15" s="1"/>
  <c r="D37" i="15" s="1"/>
  <c r="D31" i="15"/>
  <c r="C35" i="15" s="1"/>
  <c r="C37" i="15" s="1"/>
  <c r="C38" i="15" s="1"/>
  <c r="P8" i="21"/>
  <c r="F11" i="6"/>
  <c r="D5" i="7" s="1"/>
  <c r="D7" i="7"/>
  <c r="H12" i="6"/>
  <c r="H13" i="6" s="1"/>
  <c r="G14" i="17" l="1"/>
  <c r="D83" i="17" s="1"/>
  <c r="F14" i="17"/>
  <c r="C83" i="17" s="1"/>
  <c r="E101" i="17"/>
  <c r="H62" i="17"/>
  <c r="E89" i="17" s="1"/>
  <c r="D101" i="17"/>
  <c r="G62" i="17"/>
  <c r="D89" i="17" s="1"/>
  <c r="E41" i="14"/>
  <c r="C89" i="17"/>
  <c r="F172" i="25"/>
  <c r="L122" i="25"/>
  <c r="L110" i="25" s="1"/>
  <c r="D96" i="17"/>
  <c r="D24" i="26"/>
  <c r="F21" i="17"/>
  <c r="E96" i="17"/>
  <c r="H22" i="17"/>
  <c r="E84" i="17" s="1"/>
  <c r="J122" i="25"/>
  <c r="E24" i="26"/>
  <c r="K34" i="26"/>
  <c r="D49" i="26"/>
  <c r="K139" i="25"/>
  <c r="D156" i="25"/>
  <c r="D158" i="25" s="1"/>
  <c r="F95" i="17"/>
  <c r="D107" i="17" s="1"/>
  <c r="H122" i="25"/>
  <c r="F24" i="26"/>
  <c r="F41" i="14"/>
  <c r="G12" i="6"/>
  <c r="G13" i="6" s="1"/>
  <c r="E38" i="15"/>
  <c r="D38" i="15"/>
  <c r="D39" i="15" s="1"/>
  <c r="F12" i="6"/>
  <c r="F13" i="6" s="1"/>
  <c r="F14" i="6" s="1"/>
  <c r="E7" i="7"/>
  <c r="H14" i="6"/>
  <c r="E6" i="7"/>
  <c r="G14" i="6"/>
  <c r="D5" i="9"/>
  <c r="D5" i="11" s="1"/>
  <c r="D5" i="8"/>
  <c r="D7" i="9"/>
  <c r="D7" i="11" s="1"/>
  <c r="D7" i="8"/>
  <c r="D6" i="9"/>
  <c r="D6" i="11" s="1"/>
  <c r="D6" i="8"/>
  <c r="F83" i="17" l="1"/>
  <c r="E25" i="26"/>
  <c r="D15" i="17"/>
  <c r="D16" i="17"/>
  <c r="C71" i="17" s="1"/>
  <c r="F101" i="17"/>
  <c r="D113" i="17" s="1"/>
  <c r="F127" i="25"/>
  <c r="F129" i="25" s="1"/>
  <c r="H45" i="17" s="1"/>
  <c r="E99" i="17" s="1"/>
  <c r="F25" i="26"/>
  <c r="D64" i="17"/>
  <c r="C77" i="17" s="1"/>
  <c r="D63" i="17"/>
  <c r="F89" i="17"/>
  <c r="D159" i="25"/>
  <c r="F53" i="17"/>
  <c r="C96" i="17"/>
  <c r="F96" i="17" s="1"/>
  <c r="D108" i="17" s="1"/>
  <c r="F22" i="17"/>
  <c r="C84" i="17" s="1"/>
  <c r="G22" i="17"/>
  <c r="D84" i="17" s="1"/>
  <c r="D51" i="26"/>
  <c r="D52" i="26" s="1"/>
  <c r="F29" i="17"/>
  <c r="D127" i="25"/>
  <c r="D129" i="25" s="1"/>
  <c r="H110" i="25"/>
  <c r="J43" i="26"/>
  <c r="K43" i="26" s="1"/>
  <c r="L43" i="26" s="1"/>
  <c r="N43" i="26" s="1"/>
  <c r="J36" i="26"/>
  <c r="J38" i="26"/>
  <c r="K38" i="26" s="1"/>
  <c r="L38" i="26" s="1"/>
  <c r="N38" i="26" s="1"/>
  <c r="J39" i="26"/>
  <c r="K39" i="26" s="1"/>
  <c r="L39" i="26" s="1"/>
  <c r="N39" i="26" s="1"/>
  <c r="J41" i="26"/>
  <c r="K41" i="26" s="1"/>
  <c r="L41" i="26" s="1"/>
  <c r="N41" i="26" s="1"/>
  <c r="J42" i="26"/>
  <c r="K42" i="26" s="1"/>
  <c r="L42" i="26" s="1"/>
  <c r="N42" i="26" s="1"/>
  <c r="J37" i="26"/>
  <c r="K37" i="26" s="1"/>
  <c r="L37" i="26" s="1"/>
  <c r="N37" i="26" s="1"/>
  <c r="J40" i="26"/>
  <c r="K40" i="26" s="1"/>
  <c r="L40" i="26" s="1"/>
  <c r="N40" i="26" s="1"/>
  <c r="J149" i="25"/>
  <c r="K149" i="25" s="1"/>
  <c r="L149" i="25" s="1"/>
  <c r="N149" i="25" s="1"/>
  <c r="J144" i="25"/>
  <c r="K144" i="25" s="1"/>
  <c r="L144" i="25" s="1"/>
  <c r="N144" i="25" s="1"/>
  <c r="J146" i="25"/>
  <c r="K146" i="25" s="1"/>
  <c r="L146" i="25" s="1"/>
  <c r="N146" i="25" s="1"/>
  <c r="J148" i="25"/>
  <c r="K148" i="25" s="1"/>
  <c r="L148" i="25" s="1"/>
  <c r="N148" i="25" s="1"/>
  <c r="J145" i="25"/>
  <c r="K145" i="25" s="1"/>
  <c r="L145" i="25" s="1"/>
  <c r="N145" i="25" s="1"/>
  <c r="J147" i="25"/>
  <c r="K147" i="25" s="1"/>
  <c r="L147" i="25" s="1"/>
  <c r="N147" i="25" s="1"/>
  <c r="J152" i="25"/>
  <c r="N152" i="25" s="1"/>
  <c r="E157" i="25" s="1"/>
  <c r="J143" i="25"/>
  <c r="J150" i="25"/>
  <c r="K150" i="25" s="1"/>
  <c r="L150" i="25" s="1"/>
  <c r="N150" i="25" s="1"/>
  <c r="E127" i="25"/>
  <c r="E129" i="25" s="1"/>
  <c r="J110" i="25"/>
  <c r="E5" i="7"/>
  <c r="E5" i="9" s="1"/>
  <c r="E39" i="15"/>
  <c r="F7" i="7"/>
  <c r="H16" i="6"/>
  <c r="E7" i="8"/>
  <c r="U15" i="13"/>
  <c r="E7" i="9"/>
  <c r="E7" i="11" s="1"/>
  <c r="G16" i="6"/>
  <c r="F6" i="7"/>
  <c r="F16" i="6"/>
  <c r="F5" i="7"/>
  <c r="E6" i="8"/>
  <c r="U14" i="13"/>
  <c r="E6" i="9"/>
  <c r="E6" i="11" s="1"/>
  <c r="D17" i="17" l="1"/>
  <c r="D65" i="17"/>
  <c r="F54" i="17"/>
  <c r="C100" i="17"/>
  <c r="E130" i="25"/>
  <c r="G45" i="17"/>
  <c r="D130" i="25"/>
  <c r="F45" i="17"/>
  <c r="F130" i="25"/>
  <c r="F131" i="25" s="1"/>
  <c r="F84" i="17"/>
  <c r="D24" i="17"/>
  <c r="D23" i="17"/>
  <c r="F30" i="17"/>
  <c r="C85" i="17" s="1"/>
  <c r="C97" i="17"/>
  <c r="J44" i="26"/>
  <c r="K36" i="26"/>
  <c r="L36" i="26" s="1"/>
  <c r="N36" i="26" s="1"/>
  <c r="N44" i="26" s="1"/>
  <c r="K143" i="25"/>
  <c r="L143" i="25" s="1"/>
  <c r="N143" i="25" s="1"/>
  <c r="N151" i="25" s="1"/>
  <c r="J151" i="25"/>
  <c r="G23" i="7"/>
  <c r="I28" i="7" s="1"/>
  <c r="E5" i="8"/>
  <c r="D22" i="8" s="1"/>
  <c r="F20" i="11" s="1"/>
  <c r="U13" i="13"/>
  <c r="F17" i="6"/>
  <c r="J5" i="7" s="1"/>
  <c r="I5" i="7"/>
  <c r="F6" i="8"/>
  <c r="V14" i="13"/>
  <c r="F6" i="9"/>
  <c r="F6" i="11" s="1"/>
  <c r="G17" i="6"/>
  <c r="J6" i="7" s="1"/>
  <c r="I6" i="7"/>
  <c r="I7" i="7"/>
  <c r="H17" i="6"/>
  <c r="J7" i="7" s="1"/>
  <c r="E5" i="11"/>
  <c r="G21" i="9"/>
  <c r="V13" i="13"/>
  <c r="F5" i="9"/>
  <c r="F5" i="8"/>
  <c r="D38" i="8" s="1"/>
  <c r="G43" i="7"/>
  <c r="F7" i="8"/>
  <c r="V15" i="13"/>
  <c r="F7" i="9"/>
  <c r="F7" i="11" s="1"/>
  <c r="F18" i="8" l="1"/>
  <c r="K11" i="13" s="1"/>
  <c r="G83" i="13"/>
  <c r="K6" i="25"/>
  <c r="I18" i="7"/>
  <c r="K15" i="7" s="1"/>
  <c r="E131" i="25"/>
  <c r="D99" i="17"/>
  <c r="G46" i="17"/>
  <c r="D87" i="17" s="1"/>
  <c r="H46" i="17"/>
  <c r="E87" i="17" s="1"/>
  <c r="F46" i="17"/>
  <c r="C99" i="17"/>
  <c r="F99" i="17" s="1"/>
  <c r="D111" i="17" s="1"/>
  <c r="C88" i="17"/>
  <c r="C72" i="17"/>
  <c r="D25" i="17"/>
  <c r="E49" i="26"/>
  <c r="P34" i="26"/>
  <c r="E156" i="25"/>
  <c r="E158" i="25" s="1"/>
  <c r="P139" i="25"/>
  <c r="G27" i="13"/>
  <c r="F26" i="8"/>
  <c r="H24" i="8" s="1"/>
  <c r="O42" i="13" s="1"/>
  <c r="F42" i="11"/>
  <c r="F42" i="8"/>
  <c r="F34" i="8"/>
  <c r="Z14" i="13"/>
  <c r="J6" i="9"/>
  <c r="J6" i="11" s="1"/>
  <c r="I5" i="9"/>
  <c r="I5" i="11" s="1"/>
  <c r="Y13" i="13"/>
  <c r="G41" i="9"/>
  <c r="F5" i="11"/>
  <c r="Z15" i="13"/>
  <c r="J7" i="9"/>
  <c r="J7" i="11" s="1"/>
  <c r="J5" i="9"/>
  <c r="J5" i="11" s="1"/>
  <c r="Z13" i="13"/>
  <c r="Y15" i="13"/>
  <c r="I7" i="9"/>
  <c r="I7" i="11" s="1"/>
  <c r="I48" i="7"/>
  <c r="I38" i="7"/>
  <c r="I26" i="9"/>
  <c r="I17" i="9"/>
  <c r="Y14" i="13"/>
  <c r="I6" i="9"/>
  <c r="I6" i="11" s="1"/>
  <c r="K30" i="7"/>
  <c r="K25" i="7"/>
  <c r="K20" i="7" l="1"/>
  <c r="H16" i="8"/>
  <c r="O11" i="13" s="1"/>
  <c r="H20" i="8"/>
  <c r="O19" i="13" s="1"/>
  <c r="H16" i="11"/>
  <c r="K42" i="13"/>
  <c r="K98" i="13"/>
  <c r="P6" i="25"/>
  <c r="D21" i="25"/>
  <c r="C87" i="17"/>
  <c r="F87" i="17" s="1"/>
  <c r="D47" i="17"/>
  <c r="D48" i="17"/>
  <c r="C75" i="17" s="1"/>
  <c r="E159" i="25"/>
  <c r="E160" i="25" s="1"/>
  <c r="G53" i="17"/>
  <c r="E51" i="26"/>
  <c r="E52" i="26" s="1"/>
  <c r="E53" i="26" s="1"/>
  <c r="G29" i="17"/>
  <c r="O147" i="25"/>
  <c r="P147" i="25" s="1"/>
  <c r="Q147" i="25" s="1"/>
  <c r="S147" i="25" s="1"/>
  <c r="O149" i="25"/>
  <c r="P149" i="25" s="1"/>
  <c r="Q149" i="25" s="1"/>
  <c r="S149" i="25" s="1"/>
  <c r="O143" i="25"/>
  <c r="O144" i="25"/>
  <c r="P144" i="25" s="1"/>
  <c r="Q144" i="25" s="1"/>
  <c r="S144" i="25" s="1"/>
  <c r="O145" i="25"/>
  <c r="P145" i="25" s="1"/>
  <c r="Q145" i="25" s="1"/>
  <c r="S145" i="25" s="1"/>
  <c r="O148" i="25"/>
  <c r="P148" i="25" s="1"/>
  <c r="Q148" i="25" s="1"/>
  <c r="S148" i="25" s="1"/>
  <c r="O150" i="25"/>
  <c r="P150" i="25" s="1"/>
  <c r="Q150" i="25" s="1"/>
  <c r="S150" i="25" s="1"/>
  <c r="O152" i="25"/>
  <c r="S152" i="25" s="1"/>
  <c r="F157" i="25" s="1"/>
  <c r="O146" i="25"/>
  <c r="P146" i="25" s="1"/>
  <c r="Q146" i="25" s="1"/>
  <c r="S146" i="25" s="1"/>
  <c r="O42" i="26"/>
  <c r="P42" i="26" s="1"/>
  <c r="Q42" i="26" s="1"/>
  <c r="S42" i="26" s="1"/>
  <c r="O40" i="26"/>
  <c r="P40" i="26" s="1"/>
  <c r="Q40" i="26" s="1"/>
  <c r="S40" i="26" s="1"/>
  <c r="O36" i="26"/>
  <c r="O39" i="26"/>
  <c r="P39" i="26" s="1"/>
  <c r="Q39" i="26" s="1"/>
  <c r="S39" i="26" s="1"/>
  <c r="O38" i="26"/>
  <c r="P38" i="26" s="1"/>
  <c r="Q38" i="26" s="1"/>
  <c r="S38" i="26" s="1"/>
  <c r="O41" i="26"/>
  <c r="P41" i="26" s="1"/>
  <c r="Q41" i="26" s="1"/>
  <c r="S41" i="26" s="1"/>
  <c r="O43" i="26"/>
  <c r="P43" i="26" s="1"/>
  <c r="Q43" i="26" s="1"/>
  <c r="S43" i="26" s="1"/>
  <c r="O37" i="26"/>
  <c r="P37" i="26" s="1"/>
  <c r="Q37" i="26" s="1"/>
  <c r="S37" i="26" s="1"/>
  <c r="H28" i="8"/>
  <c r="O50" i="13" s="1"/>
  <c r="H26" i="11"/>
  <c r="K31" i="7"/>
  <c r="I18" i="10" s="1"/>
  <c r="N35" i="25" s="1"/>
  <c r="K19" i="9"/>
  <c r="K20" i="9" s="1"/>
  <c r="K14" i="9"/>
  <c r="K15" i="9" s="1"/>
  <c r="K67" i="13"/>
  <c r="H37" i="11"/>
  <c r="H36" i="8"/>
  <c r="O75" i="13" s="1"/>
  <c r="H32" i="8"/>
  <c r="O67" i="13" s="1"/>
  <c r="K29" i="9"/>
  <c r="K30" i="9" s="1"/>
  <c r="K24" i="9"/>
  <c r="K25" i="9" s="1"/>
  <c r="K21" i="7"/>
  <c r="I10" i="10" s="1"/>
  <c r="N27" i="25" s="1"/>
  <c r="J14" i="11"/>
  <c r="H46" i="11"/>
  <c r="H44" i="8"/>
  <c r="H40" i="8"/>
  <c r="O98" i="13" s="1"/>
  <c r="K35" i="7"/>
  <c r="K40" i="7"/>
  <c r="K16" i="7"/>
  <c r="J19" i="11"/>
  <c r="J24" i="11"/>
  <c r="K26" i="7"/>
  <c r="K45" i="7"/>
  <c r="K50" i="7"/>
  <c r="I46" i="9"/>
  <c r="I37" i="9"/>
  <c r="E21" i="25" l="1"/>
  <c r="D49" i="17"/>
  <c r="D100" i="17"/>
  <c r="G54" i="17"/>
  <c r="D97" i="17"/>
  <c r="G30" i="17"/>
  <c r="P143" i="25"/>
  <c r="Q143" i="25" s="1"/>
  <c r="S143" i="25" s="1"/>
  <c r="S151" i="25" s="1"/>
  <c r="O151" i="25"/>
  <c r="P36" i="26"/>
  <c r="Q36" i="26" s="1"/>
  <c r="S36" i="26" s="1"/>
  <c r="S44" i="26" s="1"/>
  <c r="O44" i="26"/>
  <c r="J29" i="11"/>
  <c r="I19" i="7"/>
  <c r="G8" i="10" s="1"/>
  <c r="L25" i="25" s="1"/>
  <c r="I29" i="7"/>
  <c r="G16" i="10" s="1"/>
  <c r="L33" i="25" s="1"/>
  <c r="I18" i="9"/>
  <c r="H17" i="11"/>
  <c r="K16" i="13" s="1"/>
  <c r="I27" i="9"/>
  <c r="H27" i="11"/>
  <c r="K47" i="13" s="1"/>
  <c r="K46" i="7"/>
  <c r="I30" i="10" s="1"/>
  <c r="N47" i="25" s="1"/>
  <c r="J34" i="11"/>
  <c r="I6" i="10"/>
  <c r="J44" i="11"/>
  <c r="J39" i="11"/>
  <c r="K34" i="9"/>
  <c r="K35" i="9" s="1"/>
  <c r="K39" i="9"/>
  <c r="K40" i="9" s="1"/>
  <c r="K41" i="7"/>
  <c r="I26" i="10" s="1"/>
  <c r="N43" i="25" s="1"/>
  <c r="O106" i="13"/>
  <c r="J49" i="11"/>
  <c r="K44" i="9"/>
  <c r="K45" i="9" s="1"/>
  <c r="K49" i="9"/>
  <c r="K50" i="9" s="1"/>
  <c r="K51" i="7"/>
  <c r="I34" i="10" s="1"/>
  <c r="N51" i="25" s="1"/>
  <c r="I14" i="10"/>
  <c r="K36" i="7"/>
  <c r="G16" i="12" l="1"/>
  <c r="N31" i="25"/>
  <c r="G9" i="12"/>
  <c r="N23" i="25"/>
  <c r="D88" i="17"/>
  <c r="D85" i="17"/>
  <c r="S34" i="26"/>
  <c r="F49" i="26"/>
  <c r="F51" i="26" s="1"/>
  <c r="F156" i="25"/>
  <c r="F158" i="25" s="1"/>
  <c r="S139" i="25"/>
  <c r="E12" i="12"/>
  <c r="G24" i="7"/>
  <c r="E12" i="10" s="1"/>
  <c r="J29" i="25" s="1"/>
  <c r="G22" i="9"/>
  <c r="H47" i="11"/>
  <c r="F21" i="11"/>
  <c r="G32" i="13" s="1"/>
  <c r="I38" i="9"/>
  <c r="H38" i="11"/>
  <c r="K72" i="13" s="1"/>
  <c r="K52" i="13"/>
  <c r="O52" i="13"/>
  <c r="O44" i="13"/>
  <c r="O21" i="13"/>
  <c r="O13" i="13"/>
  <c r="K21" i="13"/>
  <c r="I39" i="7"/>
  <c r="G24" i="10" s="1"/>
  <c r="L41" i="25" s="1"/>
  <c r="I22" i="10"/>
  <c r="I47" i="9"/>
  <c r="G32" i="12"/>
  <c r="I49" i="7"/>
  <c r="G32" i="10" s="1"/>
  <c r="L49" i="25" s="1"/>
  <c r="K49" i="13" l="1"/>
  <c r="K103" i="13"/>
  <c r="O100" i="13" s="1"/>
  <c r="P7" i="25"/>
  <c r="O9" i="25" s="1"/>
  <c r="G24" i="12"/>
  <c r="N39" i="25"/>
  <c r="F159" i="25"/>
  <c r="F160" i="25" s="1"/>
  <c r="H53" i="17"/>
  <c r="F52" i="26"/>
  <c r="F53" i="26" s="1"/>
  <c r="H29" i="17"/>
  <c r="K18" i="13"/>
  <c r="G42" i="9"/>
  <c r="E32" i="9" s="1"/>
  <c r="G37" i="13"/>
  <c r="K44" i="13"/>
  <c r="K13" i="13"/>
  <c r="K77" i="13"/>
  <c r="O69" i="13"/>
  <c r="O77" i="13"/>
  <c r="F43" i="11"/>
  <c r="E28" i="12"/>
  <c r="G44" i="7"/>
  <c r="K108" i="13" l="1"/>
  <c r="O108" i="13"/>
  <c r="P65" i="25"/>
  <c r="E22" i="25"/>
  <c r="O15" i="25"/>
  <c r="P15" i="25" s="1"/>
  <c r="Q15" i="25" s="1"/>
  <c r="S15" i="25" s="1"/>
  <c r="O10" i="25"/>
  <c r="P10" i="25" s="1"/>
  <c r="Q10" i="25" s="1"/>
  <c r="S10" i="25" s="1"/>
  <c r="O13" i="25"/>
  <c r="P13" i="25" s="1"/>
  <c r="Q13" i="25" s="1"/>
  <c r="S13" i="25" s="1"/>
  <c r="O12" i="25"/>
  <c r="P12" i="25" s="1"/>
  <c r="Q12" i="25" s="1"/>
  <c r="S12" i="25" s="1"/>
  <c r="O11" i="25"/>
  <c r="P11" i="25" s="1"/>
  <c r="Q11" i="25" s="1"/>
  <c r="S11" i="25" s="1"/>
  <c r="O16" i="25"/>
  <c r="P16" i="25" s="1"/>
  <c r="Q16" i="25" s="1"/>
  <c r="S16" i="25" s="1"/>
  <c r="O14" i="25"/>
  <c r="P14" i="25" s="1"/>
  <c r="Q14" i="25" s="1"/>
  <c r="S14" i="25" s="1"/>
  <c r="G88" i="13"/>
  <c r="K7" i="25"/>
  <c r="E100" i="17"/>
  <c r="F100" i="17" s="1"/>
  <c r="D112" i="17" s="1"/>
  <c r="H54" i="17"/>
  <c r="E97" i="17"/>
  <c r="F97" i="17" s="1"/>
  <c r="D109" i="17" s="1"/>
  <c r="H30" i="17"/>
  <c r="D32" i="11"/>
  <c r="E34" i="7"/>
  <c r="C19" i="10" s="1"/>
  <c r="H37" i="25" s="1"/>
  <c r="F63" i="25" s="1"/>
  <c r="E28" i="10"/>
  <c r="K105" i="13" l="1"/>
  <c r="K69" i="13"/>
  <c r="K100" i="13"/>
  <c r="K74" i="13"/>
  <c r="G93" i="13"/>
  <c r="L119" i="13" s="1"/>
  <c r="C43" i="15" s="1"/>
  <c r="D22" i="25"/>
  <c r="K65" i="25"/>
  <c r="J16" i="25"/>
  <c r="K16" i="25" s="1"/>
  <c r="L16" i="25" s="1"/>
  <c r="N16" i="25" s="1"/>
  <c r="J12" i="25"/>
  <c r="K12" i="25" s="1"/>
  <c r="L12" i="25" s="1"/>
  <c r="N12" i="25" s="1"/>
  <c r="J14" i="25"/>
  <c r="K14" i="25" s="1"/>
  <c r="L14" i="25" s="1"/>
  <c r="N14" i="25" s="1"/>
  <c r="J11" i="25"/>
  <c r="K11" i="25" s="1"/>
  <c r="L11" i="25" s="1"/>
  <c r="N11" i="25" s="1"/>
  <c r="J9" i="25"/>
  <c r="J10" i="25"/>
  <c r="K10" i="25" s="1"/>
  <c r="L10" i="25" s="1"/>
  <c r="N10" i="25" s="1"/>
  <c r="J15" i="25"/>
  <c r="K15" i="25" s="1"/>
  <c r="L15" i="25" s="1"/>
  <c r="N15" i="25" s="1"/>
  <c r="J13" i="25"/>
  <c r="K13" i="25" s="1"/>
  <c r="L13" i="25" s="1"/>
  <c r="N13" i="25" s="1"/>
  <c r="D60" i="13"/>
  <c r="F7" i="25"/>
  <c r="D9" i="25" s="1"/>
  <c r="O17" i="25"/>
  <c r="E23" i="25" s="1"/>
  <c r="P9" i="25"/>
  <c r="Q9" i="25" s="1"/>
  <c r="S9" i="25" s="1"/>
  <c r="S17" i="25" s="1"/>
  <c r="E24" i="25" s="1"/>
  <c r="C20" i="12"/>
  <c r="J45" i="25"/>
  <c r="O69" i="25"/>
  <c r="O72" i="25"/>
  <c r="O71" i="25"/>
  <c r="O67" i="25"/>
  <c r="O68" i="25"/>
  <c r="O70" i="25"/>
  <c r="O73" i="25"/>
  <c r="O74" i="25"/>
  <c r="E88" i="17"/>
  <c r="F88" i="17" s="1"/>
  <c r="D56" i="17"/>
  <c r="D55" i="17"/>
  <c r="E85" i="17"/>
  <c r="F85" i="17" s="1"/>
  <c r="D31" i="17"/>
  <c r="D32" i="17"/>
  <c r="G85" i="13"/>
  <c r="G34" i="13" l="1"/>
  <c r="G29" i="13"/>
  <c r="G90" i="13"/>
  <c r="D62" i="13"/>
  <c r="D63" i="13" s="1"/>
  <c r="D64" i="13" s="1"/>
  <c r="P69" i="25"/>
  <c r="P95" i="25"/>
  <c r="O75" i="25"/>
  <c r="P93" i="25"/>
  <c r="P67" i="25"/>
  <c r="J17" i="25"/>
  <c r="D23" i="25" s="1"/>
  <c r="K9" i="25"/>
  <c r="L9" i="25" s="1"/>
  <c r="N9" i="25" s="1"/>
  <c r="N17" i="25" s="1"/>
  <c r="D24" i="25" s="1"/>
  <c r="P100" i="25"/>
  <c r="P74" i="25"/>
  <c r="P99" i="25"/>
  <c r="P73" i="25"/>
  <c r="P97" i="25"/>
  <c r="P71" i="25"/>
  <c r="J73" i="25"/>
  <c r="J72" i="25"/>
  <c r="J71" i="25"/>
  <c r="J70" i="25"/>
  <c r="J69" i="25"/>
  <c r="J68" i="25"/>
  <c r="J74" i="25"/>
  <c r="J67" i="25"/>
  <c r="P94" i="25"/>
  <c r="P68" i="25"/>
  <c r="F65" i="25"/>
  <c r="C22" i="25"/>
  <c r="D13" i="25"/>
  <c r="F13" i="25" s="1"/>
  <c r="G13" i="25" s="1"/>
  <c r="I13" i="25" s="1"/>
  <c r="D15" i="25"/>
  <c r="F15" i="25" s="1"/>
  <c r="G15" i="25" s="1"/>
  <c r="I15" i="25" s="1"/>
  <c r="D12" i="25"/>
  <c r="F12" i="25" s="1"/>
  <c r="G12" i="25" s="1"/>
  <c r="I12" i="25" s="1"/>
  <c r="D11" i="25"/>
  <c r="F11" i="25" s="1"/>
  <c r="G11" i="25" s="1"/>
  <c r="I11" i="25" s="1"/>
  <c r="D14" i="25"/>
  <c r="F14" i="25" s="1"/>
  <c r="G14" i="25" s="1"/>
  <c r="I14" i="25" s="1"/>
  <c r="D16" i="25"/>
  <c r="F16" i="25" s="1"/>
  <c r="G16" i="25" s="1"/>
  <c r="I16" i="25" s="1"/>
  <c r="D10" i="25"/>
  <c r="F10" i="25" s="1"/>
  <c r="G10" i="25" s="1"/>
  <c r="I10" i="25" s="1"/>
  <c r="P96" i="25"/>
  <c r="P70" i="25"/>
  <c r="P98" i="25"/>
  <c r="P72" i="25"/>
  <c r="D57" i="17"/>
  <c r="C76" i="17"/>
  <c r="C73" i="17"/>
  <c r="D33" i="17"/>
  <c r="D17" i="25" l="1"/>
  <c r="C23" i="25" s="1"/>
  <c r="G86" i="13"/>
  <c r="G30" i="13"/>
  <c r="F9" i="25"/>
  <c r="G9" i="25" s="1"/>
  <c r="I9" i="25" s="1"/>
  <c r="I17" i="25" s="1"/>
  <c r="C24" i="25" s="1"/>
  <c r="L95" i="25"/>
  <c r="K69" i="25"/>
  <c r="L99" i="25"/>
  <c r="K73" i="25"/>
  <c r="M84" i="25"/>
  <c r="Q70" i="25"/>
  <c r="S70" i="25" s="1"/>
  <c r="Q68" i="25"/>
  <c r="S68" i="25" s="1"/>
  <c r="M82" i="25"/>
  <c r="L98" i="25"/>
  <c r="K72" i="25"/>
  <c r="M87" i="25"/>
  <c r="Q73" i="25"/>
  <c r="S73" i="25" s="1"/>
  <c r="Q72" i="25"/>
  <c r="S72" i="25" s="1"/>
  <c r="M86" i="25"/>
  <c r="L93" i="25"/>
  <c r="K67" i="25"/>
  <c r="J75" i="25"/>
  <c r="K70" i="25"/>
  <c r="L96" i="25"/>
  <c r="M85" i="25"/>
  <c r="Q71" i="25"/>
  <c r="S71" i="25" s="1"/>
  <c r="Q74" i="25"/>
  <c r="S74" i="25" s="1"/>
  <c r="M88" i="25"/>
  <c r="K68" i="25"/>
  <c r="L94" i="25"/>
  <c r="D72" i="25"/>
  <c r="F72" i="25" s="1"/>
  <c r="D70" i="25"/>
  <c r="F70" i="25" s="1"/>
  <c r="D71" i="25"/>
  <c r="F71" i="25" s="1"/>
  <c r="D67" i="25"/>
  <c r="D73" i="25"/>
  <c r="F73" i="25" s="1"/>
  <c r="D68" i="25"/>
  <c r="F68" i="25" s="1"/>
  <c r="D69" i="25"/>
  <c r="F69" i="25" s="1"/>
  <c r="D74" i="25"/>
  <c r="F74" i="25" s="1"/>
  <c r="K74" i="25"/>
  <c r="L100" i="25"/>
  <c r="L97" i="25"/>
  <c r="K71" i="25"/>
  <c r="M81" i="25"/>
  <c r="Q67" i="25"/>
  <c r="S67" i="25" s="1"/>
  <c r="Q69" i="25"/>
  <c r="S69" i="25" s="1"/>
  <c r="M83" i="25"/>
  <c r="G87" i="13" l="1"/>
  <c r="G91" i="13" s="1"/>
  <c r="G94" i="13" s="1"/>
  <c r="L120" i="13" s="1"/>
  <c r="C44" i="15" s="1"/>
  <c r="C45" i="15" s="1"/>
  <c r="C46" i="15" s="1"/>
  <c r="G31" i="13"/>
  <c r="G35" i="13" s="1"/>
  <c r="G38" i="13" s="1"/>
  <c r="G39" i="13" s="1"/>
  <c r="J87" i="25"/>
  <c r="K99" i="25" s="1"/>
  <c r="G73" i="25"/>
  <c r="I73" i="25" s="1"/>
  <c r="L72" i="25"/>
  <c r="N72" i="25" s="1"/>
  <c r="K86" i="25"/>
  <c r="N86" i="25" s="1"/>
  <c r="R98" i="25" s="1"/>
  <c r="K83" i="25"/>
  <c r="L69" i="25"/>
  <c r="N69" i="25" s="1"/>
  <c r="K85" i="25"/>
  <c r="N85" i="25" s="1"/>
  <c r="R97" i="25" s="1"/>
  <c r="L71" i="25"/>
  <c r="N71" i="25" s="1"/>
  <c r="G74" i="25"/>
  <c r="I74" i="25" s="1"/>
  <c r="J88" i="25"/>
  <c r="D75" i="25"/>
  <c r="F67" i="25"/>
  <c r="L74" i="25"/>
  <c r="N74" i="25" s="1"/>
  <c r="K88" i="25"/>
  <c r="N88" i="25" s="1"/>
  <c r="R100" i="25" s="1"/>
  <c r="G72" i="25"/>
  <c r="I72" i="25" s="1"/>
  <c r="J86" i="25"/>
  <c r="L70" i="25"/>
  <c r="N70" i="25" s="1"/>
  <c r="K84" i="25"/>
  <c r="N84" i="25" s="1"/>
  <c r="R96" i="25" s="1"/>
  <c r="J83" i="25"/>
  <c r="K95" i="25" s="1"/>
  <c r="G69" i="25"/>
  <c r="I69" i="25" s="1"/>
  <c r="G71" i="25"/>
  <c r="I71" i="25" s="1"/>
  <c r="J85" i="25"/>
  <c r="K82" i="25"/>
  <c r="N82" i="25" s="1"/>
  <c r="R94" i="25" s="1"/>
  <c r="L68" i="25"/>
  <c r="N68" i="25" s="1"/>
  <c r="L67" i="25"/>
  <c r="N67" i="25" s="1"/>
  <c r="K81" i="25"/>
  <c r="N81" i="25" s="1"/>
  <c r="R93" i="25" s="1"/>
  <c r="L73" i="25"/>
  <c r="N73" i="25" s="1"/>
  <c r="K87" i="25"/>
  <c r="L121" i="13"/>
  <c r="S75" i="25"/>
  <c r="G68" i="25"/>
  <c r="I68" i="25" s="1"/>
  <c r="J82" i="25"/>
  <c r="G70" i="25"/>
  <c r="I70" i="25" s="1"/>
  <c r="J84" i="25"/>
  <c r="K70" i="13"/>
  <c r="K45" i="13"/>
  <c r="G95" i="13" l="1"/>
  <c r="K14" i="13"/>
  <c r="K101" i="13"/>
  <c r="K98" i="25"/>
  <c r="L86" i="25"/>
  <c r="N98" i="25" s="1"/>
  <c r="K96" i="25"/>
  <c r="L84" i="25"/>
  <c r="N96" i="25" s="1"/>
  <c r="F82" i="25"/>
  <c r="C82" i="25"/>
  <c r="D76" i="25"/>
  <c r="F5" i="17"/>
  <c r="L122" i="13"/>
  <c r="K97" i="25"/>
  <c r="L85" i="25"/>
  <c r="N97" i="25" s="1"/>
  <c r="K100" i="25"/>
  <c r="L88" i="25"/>
  <c r="N100" i="25" s="1"/>
  <c r="L87" i="25"/>
  <c r="N99" i="25" s="1"/>
  <c r="O99" i="25" s="1"/>
  <c r="N87" i="25"/>
  <c r="R99" i="25" s="1"/>
  <c r="J81" i="25"/>
  <c r="G67" i="25"/>
  <c r="I67" i="25" s="1"/>
  <c r="I75" i="25" s="1"/>
  <c r="K94" i="25"/>
  <c r="L82" i="25"/>
  <c r="N94" i="25" s="1"/>
  <c r="N75" i="25"/>
  <c r="L83" i="25"/>
  <c r="N95" i="25" s="1"/>
  <c r="O95" i="25" s="1"/>
  <c r="N83" i="25"/>
  <c r="R95" i="25" s="1"/>
  <c r="K71" i="13"/>
  <c r="K75" i="13" s="1"/>
  <c r="K78" i="13" s="1"/>
  <c r="K15" i="13"/>
  <c r="K19" i="13" s="1"/>
  <c r="K22" i="13" s="1"/>
  <c r="K102" i="13"/>
  <c r="K106" i="13" s="1"/>
  <c r="K109" i="13" s="1"/>
  <c r="N120" i="13" s="1"/>
  <c r="K46" i="13"/>
  <c r="K50" i="13" s="1"/>
  <c r="K53" i="13" s="1"/>
  <c r="O98" i="25" l="1"/>
  <c r="S98" i="25" s="1"/>
  <c r="O94" i="25"/>
  <c r="S94" i="25" s="1"/>
  <c r="O97" i="25"/>
  <c r="S97" i="25" s="1"/>
  <c r="S99" i="25"/>
  <c r="O96" i="25"/>
  <c r="S96" i="25" s="1"/>
  <c r="O100" i="25"/>
  <c r="S100" i="25" s="1"/>
  <c r="S95" i="25"/>
  <c r="D44" i="15"/>
  <c r="D45" i="15" s="1"/>
  <c r="D46" i="15" s="1"/>
  <c r="D47" i="15" s="1"/>
  <c r="N121" i="13"/>
  <c r="D82" i="25"/>
  <c r="C83" i="25"/>
  <c r="C84" i="25" s="1"/>
  <c r="E37" i="17" s="1"/>
  <c r="I76" i="25"/>
  <c r="D83" i="25" s="1"/>
  <c r="E82" i="25"/>
  <c r="K93" i="25"/>
  <c r="L81" i="25"/>
  <c r="N93" i="25" s="1"/>
  <c r="F6" i="17"/>
  <c r="C94" i="17"/>
  <c r="O53" i="13"/>
  <c r="O54" i="13" s="1"/>
  <c r="O45" i="13"/>
  <c r="O46" i="13" s="1"/>
  <c r="K54" i="13"/>
  <c r="O78" i="13"/>
  <c r="O79" i="13" s="1"/>
  <c r="O70" i="13"/>
  <c r="O71" i="13" s="1"/>
  <c r="K79" i="13"/>
  <c r="K110" i="13"/>
  <c r="O101" i="13"/>
  <c r="O109" i="13"/>
  <c r="O110" i="13" s="1"/>
  <c r="O22" i="13"/>
  <c r="O23" i="13" s="1"/>
  <c r="O14" i="13"/>
  <c r="O15" i="13" s="1"/>
  <c r="K23" i="13"/>
  <c r="K63" i="25" l="1"/>
  <c r="J76" i="25" s="1"/>
  <c r="N76" i="25" s="1"/>
  <c r="E83" i="25" s="1"/>
  <c r="E84" i="25" s="1"/>
  <c r="C82" i="17"/>
  <c r="O93" i="25"/>
  <c r="S93" i="25" s="1"/>
  <c r="G5" i="17"/>
  <c r="N122" i="13"/>
  <c r="N123" i="13" s="1"/>
  <c r="O102" i="13"/>
  <c r="P120" i="13"/>
  <c r="D84" i="25"/>
  <c r="P63" i="25" l="1"/>
  <c r="O76" i="25" s="1"/>
  <c r="S76" i="25" s="1"/>
  <c r="F83" i="25" s="1"/>
  <c r="F84" i="25" s="1"/>
  <c r="G37" i="17"/>
  <c r="E85" i="25"/>
  <c r="F37" i="17"/>
  <c r="D85" i="25"/>
  <c r="E44" i="15"/>
  <c r="E45" i="15" s="1"/>
  <c r="E46" i="15" s="1"/>
  <c r="E47" i="15" s="1"/>
  <c r="P121" i="13"/>
  <c r="D94" i="17"/>
  <c r="G6" i="17"/>
  <c r="S63" i="25" l="1"/>
  <c r="F38" i="17"/>
  <c r="C98" i="17"/>
  <c r="H5" i="17"/>
  <c r="P122" i="13"/>
  <c r="P123" i="13" s="1"/>
  <c r="D82" i="17"/>
  <c r="F85" i="25"/>
  <c r="H37" i="17"/>
  <c r="G38" i="17"/>
  <c r="D86" i="17" s="1"/>
  <c r="D98" i="17"/>
  <c r="E94" i="17" l="1"/>
  <c r="F94" i="17" s="1"/>
  <c r="D106" i="17" s="1"/>
  <c r="H6" i="17"/>
  <c r="E98" i="17"/>
  <c r="F98" i="17" s="1"/>
  <c r="D110" i="17" s="1"/>
  <c r="H38" i="17"/>
  <c r="E86" i="17" s="1"/>
  <c r="C86" i="17"/>
  <c r="F86" i="17" l="1"/>
  <c r="E82" i="17"/>
  <c r="F82" i="17" s="1"/>
  <c r="D7" i="17"/>
  <c r="D8" i="17"/>
  <c r="D39" i="17"/>
  <c r="D40" i="17"/>
  <c r="C70" i="17" l="1"/>
  <c r="D9" i="17"/>
  <c r="D41" i="17"/>
  <c r="C74" i="17"/>
</calcChain>
</file>

<file path=xl/sharedStrings.xml><?xml version="1.0" encoding="utf-8"?>
<sst xmlns="http://schemas.openxmlformats.org/spreadsheetml/2006/main" count="991" uniqueCount="303">
  <si>
    <t>IDLC</t>
  </si>
  <si>
    <t>OLYMPIC</t>
  </si>
  <si>
    <t>GP</t>
  </si>
  <si>
    <t>WALTONHIL</t>
  </si>
  <si>
    <t>RENATA</t>
  </si>
  <si>
    <t>UCB</t>
  </si>
  <si>
    <t>Weighted average cut off yield of 91 day t-bill</t>
  </si>
  <si>
    <t>5% higher than initial investment</t>
  </si>
  <si>
    <t>Assumptions:</t>
  </si>
  <si>
    <t>Amount</t>
  </si>
  <si>
    <t>Notes</t>
  </si>
  <si>
    <t>1. Amount of Investment</t>
  </si>
  <si>
    <t>2. Risk Free Rate</t>
  </si>
  <si>
    <t>3. Strike Price</t>
  </si>
  <si>
    <t xml:space="preserve">4. Investment will be made in equal weight among 8 securities </t>
  </si>
  <si>
    <t>5. Continuous compounding of risk free rate will be used</t>
  </si>
  <si>
    <t>7. Call and put strike prices are assumed to be equal at expiration time</t>
  </si>
  <si>
    <t>Date</t>
  </si>
  <si>
    <t>Price</t>
  </si>
  <si>
    <t>Stock Dividend (%)</t>
  </si>
  <si>
    <t>Right Ratio (%)</t>
  </si>
  <si>
    <t>Right Offer Price (TK.)</t>
  </si>
  <si>
    <t>Cash Dividend (TK.)</t>
  </si>
  <si>
    <t>Total Return (%)</t>
  </si>
  <si>
    <t>United Commercial Bank Ltd (UCBL)</t>
  </si>
  <si>
    <t>IDLC Finance Ltd (IDLC)</t>
  </si>
  <si>
    <t>Grameenphone Ltd (GP)</t>
  </si>
  <si>
    <t>Bata Shoe Company Bangladesh Ltd (BATA)</t>
  </si>
  <si>
    <t>Renata Ltd (RNTL)</t>
  </si>
  <si>
    <t>Walton Hi-Tech Industries Ltd (WALT)</t>
  </si>
  <si>
    <t>Olympic Industries Ltd (OLIS)</t>
  </si>
  <si>
    <t>BATASHOE</t>
  </si>
  <si>
    <t>Portfolio Variance</t>
  </si>
  <si>
    <t>Quarterly Portfolio SD</t>
  </si>
  <si>
    <t>Trading Days</t>
  </si>
  <si>
    <t>Stock Dividend and Righ Share Adjusted Price</t>
  </si>
  <si>
    <t>Stock Returns</t>
  </si>
  <si>
    <t>Weights</t>
  </si>
  <si>
    <t>Portfolio Standard Deviation</t>
  </si>
  <si>
    <t>UCBL</t>
  </si>
  <si>
    <t>BATA</t>
  </si>
  <si>
    <t>RNTL</t>
  </si>
  <si>
    <t>WALT</t>
  </si>
  <si>
    <t>OLIS</t>
  </si>
  <si>
    <t>Forecast Q1 2025</t>
  </si>
  <si>
    <t>Forecast Q2 2025</t>
  </si>
  <si>
    <t>Olympic Industries Ltd</t>
  </si>
  <si>
    <t>Walton Hi-Tech Industries Ltd</t>
  </si>
  <si>
    <t>Renata Ltd</t>
  </si>
  <si>
    <t>Bata Shoe Company Bangladesh Ltd</t>
  </si>
  <si>
    <t>Grameenphone Ltd</t>
  </si>
  <si>
    <t>IDLC Finance Ltd</t>
  </si>
  <si>
    <t>United Commercial Bank Ltd</t>
  </si>
  <si>
    <t>Forecast Q3 2025</t>
  </si>
  <si>
    <t>91 Day Treasury Bill Rate</t>
  </si>
  <si>
    <t>Quarter 4 2024</t>
  </si>
  <si>
    <t>Quarter 1 2025</t>
  </si>
  <si>
    <t>Quarter 2 2025</t>
  </si>
  <si>
    <t>Issue Date</t>
  </si>
  <si>
    <t>Annual Rate</t>
  </si>
  <si>
    <t>Particulars</t>
  </si>
  <si>
    <t>Average Annual Risk-Free Rate</t>
  </si>
  <si>
    <t>Continuously Compounding Annual Risk-Free Rate</t>
  </si>
  <si>
    <t>Continuously Compounding Daily Risk-Free Rate</t>
  </si>
  <si>
    <t>Continuously Compounding Quarterly Risk-free Rate</t>
  </si>
  <si>
    <t>2024 Q1</t>
  </si>
  <si>
    <t>2024 Q2</t>
  </si>
  <si>
    <t>2024 Q3</t>
  </si>
  <si>
    <t>2024 Q4</t>
  </si>
  <si>
    <t>2025 Q1</t>
  </si>
  <si>
    <t>2025 Q2</t>
  </si>
  <si>
    <t>2025 Q3</t>
  </si>
  <si>
    <t>Quarter</t>
  </si>
  <si>
    <t>Average Return
2024Q1 - 2024Q4</t>
  </si>
  <si>
    <t>No. of Trading Days</t>
  </si>
  <si>
    <t>Average Return
2024Q2 - 2025Q1</t>
  </si>
  <si>
    <t>Average Return
2024Q3 - 2025Q2</t>
  </si>
  <si>
    <t>Q3 2025</t>
  </si>
  <si>
    <t>Forecasted Period</t>
  </si>
  <si>
    <t>Q1 2025</t>
  </si>
  <si>
    <t>91 day Treasury Bill Rate</t>
  </si>
  <si>
    <t>Q2 2025</t>
  </si>
  <si>
    <t>F' Q1 2025</t>
  </si>
  <si>
    <t>F' Q2 2025</t>
  </si>
  <si>
    <t>F' Q3 2025</t>
  </si>
  <si>
    <t>Continuous Quarterly Rate</t>
  </si>
  <si>
    <t>Sqrt(T), √T</t>
  </si>
  <si>
    <t>Portfolio SD, ϭ</t>
  </si>
  <si>
    <t>ϭ*√T</t>
  </si>
  <si>
    <t>u</t>
  </si>
  <si>
    <t>d</t>
  </si>
  <si>
    <t>a</t>
  </si>
  <si>
    <t>p</t>
  </si>
  <si>
    <t>Up &amp; Down Probability</t>
  </si>
  <si>
    <t>Components</t>
  </si>
  <si>
    <t>Number of Trading Days</t>
  </si>
  <si>
    <t>Historical Rolling SD</t>
  </si>
  <si>
    <t>Up Factor (u)</t>
  </si>
  <si>
    <t>Down factor (d)</t>
  </si>
  <si>
    <t>Quarterly Risk Free Rate (rt)</t>
  </si>
  <si>
    <t>1-p</t>
  </si>
  <si>
    <t>Discount Factors (e^(-rt))</t>
  </si>
  <si>
    <t>Investment Amount</t>
  </si>
  <si>
    <t>Strike Price</t>
  </si>
  <si>
    <t>e</t>
  </si>
  <si>
    <t>Put Option Dynamics</t>
  </si>
  <si>
    <t>100% Equity Portfolio</t>
  </si>
  <si>
    <t>Insured Portfolio</t>
  </si>
  <si>
    <t>Call Option Dynamics</t>
  </si>
  <si>
    <t>Floor price</t>
  </si>
  <si>
    <t>Risk Free Rate</t>
  </si>
  <si>
    <t>Discount Factors</t>
  </si>
  <si>
    <t>N/A</t>
  </si>
  <si>
    <t>Delta 1</t>
  </si>
  <si>
    <t>(1-p)</t>
  </si>
  <si>
    <t>91 day T-Bill Rate</t>
  </si>
  <si>
    <t>Q2 2025 (A)</t>
  </si>
  <si>
    <t>Q3 2025 (A)</t>
  </si>
  <si>
    <t>100% Equity Port.</t>
  </si>
  <si>
    <t>Equity</t>
  </si>
  <si>
    <t>T-bill</t>
  </si>
  <si>
    <t>Total</t>
  </si>
  <si>
    <t>Delta Q2</t>
  </si>
  <si>
    <t>Sell T-Bill</t>
  </si>
  <si>
    <t>Q3 2025 (B)</t>
  </si>
  <si>
    <t>New Portfolio</t>
  </si>
  <si>
    <t>T-Bill</t>
  </si>
  <si>
    <t>Q1 2025 (A)</t>
  </si>
  <si>
    <t>Delta Q1</t>
  </si>
  <si>
    <t>Q2 2025 (B)</t>
  </si>
  <si>
    <t>Q3 2025 (C)</t>
  </si>
  <si>
    <t>Buy T-Bill</t>
  </si>
  <si>
    <t>Q3 2025 (D)</t>
  </si>
  <si>
    <t>Q4 2024 (Initial value)</t>
  </si>
  <si>
    <t>Initial Delta</t>
  </si>
  <si>
    <t>Q2 2025 (C)</t>
  </si>
  <si>
    <t>Q3 2025 (E)</t>
  </si>
  <si>
    <t>Q3 2025 (F)</t>
  </si>
  <si>
    <t>Q1 2025 (B)</t>
  </si>
  <si>
    <t>Q3 2025 (G)</t>
  </si>
  <si>
    <t>Q2 2025 (D)</t>
  </si>
  <si>
    <t>Q3 2025 (H)</t>
  </si>
  <si>
    <t>Action To be Taken</t>
  </si>
  <si>
    <t>Action To Be Taken</t>
  </si>
  <si>
    <t>Dynamic Asset Allocation</t>
  </si>
  <si>
    <t>Total Value</t>
  </si>
  <si>
    <t>Value</t>
  </si>
  <si>
    <t>Initial portfolio value</t>
  </si>
  <si>
    <t>Quarterly Rate</t>
  </si>
  <si>
    <t>rt</t>
  </si>
  <si>
    <t>Equity investment</t>
  </si>
  <si>
    <t>Compounding Rate</t>
  </si>
  <si>
    <t>e^rt</t>
  </si>
  <si>
    <t>Risk-free investment</t>
  </si>
  <si>
    <t>Discount Factor</t>
  </si>
  <si>
    <t>e^-rt</t>
  </si>
  <si>
    <t>Investment in Risky Assets</t>
  </si>
  <si>
    <t>Company</t>
  </si>
  <si>
    <t>Invested Amount</t>
  </si>
  <si>
    <t>Number of Shares Purchased</t>
  </si>
  <si>
    <t>Total Investment</t>
  </si>
  <si>
    <t>Company Name</t>
  </si>
  <si>
    <t>Closing price</t>
  </si>
  <si>
    <t>Portfolio value</t>
  </si>
  <si>
    <t>Total Value of Equity</t>
  </si>
  <si>
    <t>Static Portfolio Value</t>
  </si>
  <si>
    <t>Stock</t>
  </si>
  <si>
    <t>Risk Free Asset</t>
  </si>
  <si>
    <t>ROI</t>
  </si>
  <si>
    <t>Changes in ROI</t>
  </si>
  <si>
    <t>Compounding Quarterly Rate (e^(rt))</t>
  </si>
  <si>
    <t>Terms</t>
  </si>
  <si>
    <t>Share Price at 
30-12-2024</t>
  </si>
  <si>
    <t>100% Equity Portfolio Value</t>
  </si>
  <si>
    <t>100% Equity and Dynamic Asset Allocation</t>
  </si>
  <si>
    <t>Weight</t>
  </si>
  <si>
    <t>Q4 2024</t>
  </si>
  <si>
    <t>Average Return</t>
  </si>
  <si>
    <t>Delta 2</t>
  </si>
  <si>
    <t>Rak Ceramics Bangladesh Ltd (RAKC)</t>
  </si>
  <si>
    <t>RAKC</t>
  </si>
  <si>
    <t>Firm</t>
  </si>
  <si>
    <t>Trading Code</t>
  </si>
  <si>
    <t>Sector</t>
  </si>
  <si>
    <t>Telecommunication</t>
  </si>
  <si>
    <t>Bank</t>
  </si>
  <si>
    <t>Rak Ceramics Bangladesh Ltd</t>
  </si>
  <si>
    <t>Food &amp; Allied</t>
  </si>
  <si>
    <t>Actually Related with DSEX Index</t>
  </si>
  <si>
    <t>Average DSEX Value</t>
  </si>
  <si>
    <t>Change in the Averge DSEX Value</t>
  </si>
  <si>
    <t>Q04 2024</t>
  </si>
  <si>
    <t>Q01 2025</t>
  </si>
  <si>
    <t>Q02 2025</t>
  </si>
  <si>
    <t>Q03 2025</t>
  </si>
  <si>
    <t>Equity Value (BDT)</t>
  </si>
  <si>
    <t>T-Bill Value (BDT)</t>
  </si>
  <si>
    <t>Total Value (BDT)</t>
  </si>
  <si>
    <t>Quarter to Quarter Return</t>
  </si>
  <si>
    <t>Change in Quarter to Quarter Return</t>
  </si>
  <si>
    <t>DSEX Value</t>
  </si>
  <si>
    <t>Change in DSEX Value</t>
  </si>
  <si>
    <t>Initial Stage</t>
  </si>
  <si>
    <t>Investments in BDT (100%)</t>
  </si>
  <si>
    <t>Delta</t>
  </si>
  <si>
    <t>Fund Allocation (BDT)</t>
  </si>
  <si>
    <t>Closing Price (BDT)</t>
  </si>
  <si>
    <t>Number of Shares</t>
  </si>
  <si>
    <t>Opening Number of Shares</t>
  </si>
  <si>
    <t>Closing Number of Shares</t>
  </si>
  <si>
    <t>Total Equity Value</t>
  </si>
  <si>
    <t>Actual Route of Insured  Portfolio</t>
  </si>
  <si>
    <t>Initial Investments (BDT)</t>
  </si>
  <si>
    <t>Initial Equity Investments (BDT)</t>
  </si>
  <si>
    <t>Equity Value at the Quarter End (BDT)</t>
  </si>
  <si>
    <t>Actual Change</t>
  </si>
  <si>
    <t>Down</t>
  </si>
  <si>
    <t>Floor Price</t>
  </si>
  <si>
    <t>2. Dynamic Asset Portfolio with Actual Price</t>
  </si>
  <si>
    <t>Continuously Compounding Quarterly Risk-Free Rate</t>
  </si>
  <si>
    <t>Portfolio Value (BDT)</t>
  </si>
  <si>
    <t>100% Equity Investments with Rebalancing (BDT)</t>
  </si>
  <si>
    <t>T-Bill Investments</t>
  </si>
  <si>
    <t>Dynamic Equity Portfolio (BDT)</t>
  </si>
  <si>
    <t>Action</t>
  </si>
  <si>
    <t>Dynamic T-Bill Portfolio (BDT)</t>
  </si>
  <si>
    <t>Portfolio Value (Dynamic Asset Portfolio with Actual Price)</t>
  </si>
  <si>
    <t>Fund (BDT)</t>
  </si>
  <si>
    <t>Buy</t>
  </si>
  <si>
    <t>Sell</t>
  </si>
  <si>
    <t>3. 50% Equity and 50% Risk-Free Investments without Rebalancing</t>
  </si>
  <si>
    <t>Initial Investments in BDT (100%)</t>
  </si>
  <si>
    <t>Equity Weight</t>
  </si>
  <si>
    <t>T-Bill Weight</t>
  </si>
  <si>
    <t>Total T-Bill Value</t>
  </si>
  <si>
    <t>Equity Investments</t>
  </si>
  <si>
    <t>Total Investments</t>
  </si>
  <si>
    <t>Change in Return on Investments</t>
  </si>
  <si>
    <t>4. 50% Equity and 50% Risk-Free Investments with Rebalancing</t>
  </si>
  <si>
    <t>5. 100% Risk-Free Investments</t>
  </si>
  <si>
    <t>Stock Investments</t>
  </si>
  <si>
    <t>Dynamic Equity Portfolio with Expected Price of Actual Route</t>
  </si>
  <si>
    <t>1. 100% Equity Investments without Rebalancing</t>
  </si>
  <si>
    <t>Initial Equity Investments in BDT (100%)</t>
  </si>
  <si>
    <t>100% Equity Investments without Rebalancing</t>
  </si>
  <si>
    <t>2. 100% Equity Investments with Rebalancing</t>
  </si>
  <si>
    <t>100% Equity Investments with Rebalancing</t>
  </si>
  <si>
    <t>Comparision with Alternative Investment Strategies</t>
  </si>
  <si>
    <t xml:space="preserve">Investment Strategy </t>
  </si>
  <si>
    <t>Parameters</t>
  </si>
  <si>
    <t>Risk (Standard Deviation)</t>
  </si>
  <si>
    <t>1. Dynamic Asset Allocation</t>
  </si>
  <si>
    <t>Portfolio Asset Value (BDT)</t>
  </si>
  <si>
    <t>Average return</t>
  </si>
  <si>
    <t>2. Static Asset Allocation (50% and 50%)</t>
  </si>
  <si>
    <t>3. 100% Equity Investments without Rebalancing</t>
  </si>
  <si>
    <t>Coefficient of Variation</t>
  </si>
  <si>
    <t>4. 100% Equity Investments with Rebalancing</t>
  </si>
  <si>
    <t>5. Dynamic Asset Portfolio with Actual Price</t>
  </si>
  <si>
    <t>6. 50% Equity and 50% Risk-Free Investments without Rebalancing</t>
  </si>
  <si>
    <t>7. 50% Equity and 50% Risk-Free Investments with Rebalancing</t>
  </si>
  <si>
    <t>8. 100% Risk-Free Investments</t>
  </si>
  <si>
    <t>100% Equity Portfolio Value (BDT)</t>
  </si>
  <si>
    <t>Quarter to Quarter Portfolio Value</t>
  </si>
  <si>
    <t>Average Portfolio Value</t>
  </si>
  <si>
    <t>100% Risk-Free Asset Value (BDT)</t>
  </si>
  <si>
    <t>Stock Selection</t>
  </si>
  <si>
    <t>A Term Paper on 
"The Application of the Dynamic Asset Allocation Strategy and Comparisons with Other Alternative Investment Strategies"</t>
  </si>
  <si>
    <t>Course: F-503: Financial Derivatives</t>
  </si>
  <si>
    <t>Department of Finance</t>
  </si>
  <si>
    <t>Faculty of Business Studies (FBS)</t>
  </si>
  <si>
    <t>University of Dhaka, Dhaka-1000</t>
  </si>
  <si>
    <t>Name: Ifta Hider Rahman</t>
  </si>
  <si>
    <t>Financial Institutions</t>
  </si>
  <si>
    <t>Tannery Industries</t>
  </si>
  <si>
    <t>Market Capitalization</t>
  </si>
  <si>
    <t>Dividend Yield</t>
  </si>
  <si>
    <t>Net Asset Value Per Share</t>
  </si>
  <si>
    <t>P/E Multiple</t>
  </si>
  <si>
    <t>Pharmaceuticals &amp; Chemicals</t>
  </si>
  <si>
    <t>Engineering</t>
  </si>
  <si>
    <t>Ceramics Sector</t>
  </si>
  <si>
    <t xml:space="preserve"> </t>
  </si>
  <si>
    <t>Investment Strategy</t>
  </si>
  <si>
    <r>
      <rPr>
        <b/>
        <sz val="11"/>
        <color theme="1"/>
        <rFont val="Aptos Narrow"/>
        <family val="2"/>
        <scheme val="minor"/>
      </rPr>
      <t>Project Overview:</t>
    </r>
    <r>
      <rPr>
        <sz val="11"/>
        <color theme="1"/>
        <rFont val="Aptos Narrow"/>
        <family val="2"/>
        <scheme val="minor"/>
      </rPr>
      <t xml:space="preserve">
This Excel model analyzes Dynamic Asset Allocation strategies for a portfolio of eight DSE stocks and a risk-free asset. Utilizing actual price/dividend data and binomial option modeling, it demonstrates dynamic rebalancing, portfolio insurance, and risk-return tradeoffs versus alternative strategies.</t>
    </r>
  </si>
  <si>
    <r>
      <rPr>
        <b/>
        <sz val="11"/>
        <color theme="1"/>
        <rFont val="Aptos Narrow"/>
        <family val="2"/>
        <scheme val="minor"/>
      </rPr>
      <t xml:space="preserve">Instructions: </t>
    </r>
    <r>
      <rPr>
        <sz val="11"/>
        <color theme="1"/>
        <rFont val="Aptos Narrow"/>
        <family val="2"/>
        <scheme val="minor"/>
      </rPr>
      <t xml:space="preserve">
- Explore each tab for calculations, figures, and explanatory notes. 
- All steps are labeled for clarity; summary results are found at the end. </t>
    </r>
  </si>
  <si>
    <r>
      <rPr>
        <b/>
        <sz val="11"/>
        <color theme="1"/>
        <rFont val="Aptos Narrow"/>
        <family val="2"/>
        <scheme val="minor"/>
      </rPr>
      <t xml:space="preserve">Main Features: </t>
    </r>
    <r>
      <rPr>
        <sz val="11"/>
        <color theme="1"/>
        <rFont val="Aptos Narrow"/>
        <family val="2"/>
        <scheme val="minor"/>
      </rPr>
      <t xml:space="preserve">
- Data-driven delta hedging and portfolio insurance modeling 
- Dynamic vs. static (rebalanced/unrebalanced) portfolio analysis 
- Stepwise portfolio adjustment using real market prices
- Comprehensive risk and return output tables </t>
    </r>
  </si>
  <si>
    <t>Period: 2024 Q1 to 2025 Q3</t>
  </si>
  <si>
    <t>Static Asset Allocation</t>
  </si>
  <si>
    <t>Buy Stock ( 1,119,818.92*(0.77-0.57))</t>
  </si>
  <si>
    <t>Equity (0.77* 1,119,818.92)</t>
  </si>
  <si>
    <t>Equity (0.57*1,000,000)</t>
  </si>
  <si>
    <t>Sell Stock ( 893,001.52*(0.17-0.57))</t>
  </si>
  <si>
    <t>Equity (0.17*  893,001.52  )</t>
  </si>
  <si>
    <t>Buy Stock ( 1,242,196.57*(1.00-0.77))</t>
  </si>
  <si>
    <t>Equity (1.00* 1,242,196.57)</t>
  </si>
  <si>
    <t>Sell Stock (1,009,497.57*(0.34-0.77))</t>
  </si>
  <si>
    <t>Equity (0.34* 1,009,497.57 )</t>
  </si>
  <si>
    <t>Equity (0.25*990,591.79)</t>
  </si>
  <si>
    <t>Buy Stock(990,591.79*(0.25-0.17))</t>
  </si>
  <si>
    <t>Sell Stock (805,025.57*(0-0.17))</t>
  </si>
  <si>
    <t>Equity (0*805,025.57)</t>
  </si>
  <si>
    <t>MBA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</si>
</sst>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000%"/>
    <numFmt numFmtId="165" formatCode="0.000%"/>
    <numFmt numFmtId="166" formatCode="0.0"/>
    <numFmt numFmtId="167" formatCode="[$-409]dd\-mmm\-yy;@"/>
    <numFmt numFmtId="168" formatCode="0.00000"/>
    <numFmt numFmtId="169" formatCode="[$-409]d\-mmm\-yy;@"/>
    <numFmt numFmtId="170" formatCode="0.0000"/>
    <numFmt numFmtId="171" formatCode="_(* #,##0_);_(* \(#,##0\);_(* &quot;-&quot;??_);_(@_)"/>
    <numFmt numFmtId="172" formatCode="_(* #,##0.0_);_(* \(#,##0.0\);_(* &quot;-&quot;??_);_(@_)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212529"/>
      <name val="Calibri"/>
      <family val="2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6"/>
      <color theme="0"/>
      <name val="Calibri"/>
      <family val="2"/>
    </font>
    <font>
      <sz val="16"/>
      <color theme="1"/>
      <name val="Calibri"/>
      <family val="2"/>
    </font>
    <font>
      <sz val="16"/>
      <color theme="1"/>
      <name val="Aptos Narrow"/>
      <family val="2"/>
      <scheme val="minor"/>
    </font>
    <font>
      <b/>
      <sz val="18"/>
      <color theme="1"/>
      <name val="Calibri"/>
      <family val="2"/>
    </font>
    <font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2"/>
      <color theme="0"/>
      <name val="Calibri"/>
      <family val="2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b/>
      <sz val="14"/>
      <color theme="0"/>
      <name val="Calibri"/>
      <family val="2"/>
    </font>
    <font>
      <b/>
      <sz val="18"/>
      <color theme="1"/>
      <name val="Aptos Narrow"/>
      <family val="2"/>
      <scheme val="minor"/>
    </font>
    <font>
      <sz val="11"/>
      <name val="Calibri"/>
      <family val="2"/>
    </font>
    <font>
      <b/>
      <i/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4"/>
      <color theme="1"/>
      <name val="Calibri"/>
      <family val="2"/>
    </font>
    <font>
      <b/>
      <sz val="12"/>
      <color rgb="FF3F3F3F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rgb="FFBFBFBF"/>
      </patternFill>
    </fill>
    <fill>
      <patternFill patternType="solid">
        <fgColor theme="7"/>
        <b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AF8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009999"/>
        <bgColor rgb="FF7030A0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8" tint="-0.499984740745262"/>
        <bgColor rgb="FF7030A0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theme="3" tint="0.24994659260841701"/>
      </top>
      <bottom style="thick">
        <color theme="3" tint="0.24994659260841701"/>
      </bottom>
      <diagonal/>
    </border>
    <border>
      <left/>
      <right/>
      <top style="thick">
        <color rgb="FF33CCCC"/>
      </top>
      <bottom style="thick">
        <color rgb="FF33CCCC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5" fillId="15" borderId="0" applyNumberFormat="0" applyBorder="0" applyAlignment="0" applyProtection="0"/>
  </cellStyleXfs>
  <cellXfs count="788">
    <xf numFmtId="0" fontId="0" fillId="0" borderId="0" xfId="0"/>
    <xf numFmtId="0" fontId="2" fillId="0" borderId="0" xfId="0" applyFont="1"/>
    <xf numFmtId="0" fontId="4" fillId="0" borderId="2" xfId="0" applyFont="1" applyBorder="1"/>
    <xf numFmtId="0" fontId="6" fillId="2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10" fontId="4" fillId="0" borderId="2" xfId="1" applyNumberFormat="1" applyFont="1" applyBorder="1"/>
    <xf numFmtId="9" fontId="4" fillId="0" borderId="2" xfId="0" applyNumberFormat="1" applyFont="1" applyBorder="1"/>
    <xf numFmtId="0" fontId="4" fillId="0" borderId="0" xfId="0" applyFont="1"/>
    <xf numFmtId="0" fontId="5" fillId="7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horizontal="center" vertical="center" wrapText="1"/>
    </xf>
    <xf numFmtId="166" fontId="5" fillId="7" borderId="2" xfId="0" applyNumberFormat="1" applyFont="1" applyFill="1" applyBorder="1" applyAlignment="1">
      <alignment horizontal="center" vertical="center" wrapText="1"/>
    </xf>
    <xf numFmtId="166" fontId="4" fillId="0" borderId="2" xfId="0" applyNumberFormat="1" applyFont="1" applyBorder="1"/>
    <xf numFmtId="167" fontId="6" fillId="4" borderId="2" xfId="0" applyNumberFormat="1" applyFont="1" applyFill="1" applyBorder="1" applyAlignment="1">
      <alignment vertical="center"/>
    </xf>
    <xf numFmtId="167" fontId="4" fillId="4" borderId="2" xfId="0" applyNumberFormat="1" applyFont="1" applyFill="1" applyBorder="1"/>
    <xf numFmtId="0" fontId="7" fillId="3" borderId="0" xfId="0" applyFont="1" applyFill="1" applyAlignment="1">
      <alignment horizontal="center" vertical="center"/>
    </xf>
    <xf numFmtId="0" fontId="7" fillId="3" borderId="0" xfId="0" applyFont="1" applyFill="1"/>
    <xf numFmtId="0" fontId="7" fillId="3" borderId="0" xfId="0" applyFont="1" applyFill="1" applyAlignment="1">
      <alignment horizontal="left" vertical="center"/>
    </xf>
    <xf numFmtId="10" fontId="0" fillId="13" borderId="0" xfId="1" applyNumberFormat="1" applyFont="1" applyFill="1"/>
    <xf numFmtId="0" fontId="11" fillId="8" borderId="2" xfId="0" applyFont="1" applyFill="1" applyBorder="1" applyAlignment="1">
      <alignment vertical="center"/>
    </xf>
    <xf numFmtId="0" fontId="11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12" fillId="0" borderId="0" xfId="0" applyFont="1"/>
    <xf numFmtId="0" fontId="13" fillId="0" borderId="0" xfId="0" applyFont="1"/>
    <xf numFmtId="10" fontId="10" fillId="0" borderId="0" xfId="1" applyNumberFormat="1" applyFont="1" applyAlignment="1"/>
    <xf numFmtId="14" fontId="10" fillId="0" borderId="1" xfId="1" applyNumberFormat="1" applyFont="1" applyBorder="1" applyAlignment="1"/>
    <xf numFmtId="10" fontId="10" fillId="0" borderId="1" xfId="1" applyNumberFormat="1" applyFont="1" applyBorder="1" applyAlignment="1">
      <alignment horizontal="center"/>
    </xf>
    <xf numFmtId="10" fontId="10" fillId="0" borderId="0" xfId="1" applyNumberFormat="1" applyFont="1" applyAlignment="1">
      <alignment horizontal="center"/>
    </xf>
    <xf numFmtId="10" fontId="10" fillId="0" borderId="0" xfId="1" applyNumberFormat="1" applyFont="1" applyAlignment="1">
      <alignment vertical="center"/>
    </xf>
    <xf numFmtId="14" fontId="9" fillId="3" borderId="2" xfId="1" applyNumberFormat="1" applyFont="1" applyFill="1" applyBorder="1" applyAlignment="1">
      <alignment horizontal="center" vertical="center"/>
    </xf>
    <xf numFmtId="10" fontId="9" fillId="3" borderId="2" xfId="1" applyNumberFormat="1" applyFont="1" applyFill="1" applyBorder="1" applyAlignment="1">
      <alignment horizontal="center" vertical="center" wrapText="1"/>
    </xf>
    <xf numFmtId="167" fontId="4" fillId="0" borderId="2" xfId="0" applyNumberFormat="1" applyFont="1" applyBorder="1"/>
    <xf numFmtId="167" fontId="4" fillId="11" borderId="2" xfId="0" applyNumberFormat="1" applyFont="1" applyFill="1" applyBorder="1"/>
    <xf numFmtId="167" fontId="4" fillId="6" borderId="2" xfId="0" applyNumberFormat="1" applyFont="1" applyFill="1" applyBorder="1"/>
    <xf numFmtId="167" fontId="4" fillId="12" borderId="2" xfId="0" applyNumberFormat="1" applyFont="1" applyFill="1" applyBorder="1"/>
    <xf numFmtId="167" fontId="4" fillId="9" borderId="2" xfId="0" applyNumberFormat="1" applyFont="1" applyFill="1" applyBorder="1"/>
    <xf numFmtId="167" fontId="4" fillId="5" borderId="2" xfId="0" applyNumberFormat="1" applyFont="1" applyFill="1" applyBorder="1"/>
    <xf numFmtId="10" fontId="4" fillId="0" borderId="0" xfId="1" applyNumberFormat="1" applyFont="1" applyAlignment="1">
      <alignment vertical="center"/>
    </xf>
    <xf numFmtId="10" fontId="4" fillId="0" borderId="0" xfId="1" applyNumberFormat="1" applyFont="1" applyAlignment="1"/>
    <xf numFmtId="0" fontId="8" fillId="0" borderId="0" xfId="0" applyFont="1"/>
    <xf numFmtId="169" fontId="4" fillId="16" borderId="7" xfId="0" applyNumberFormat="1" applyFont="1" applyFill="1" applyBorder="1" applyAlignment="1">
      <alignment horizontal="center" vertical="center"/>
    </xf>
    <xf numFmtId="10" fontId="4" fillId="16" borderId="11" xfId="0" applyNumberFormat="1" applyFont="1" applyFill="1" applyBorder="1" applyAlignment="1">
      <alignment horizontal="center" vertical="center"/>
    </xf>
    <xf numFmtId="169" fontId="4" fillId="16" borderId="0" xfId="0" applyNumberFormat="1" applyFont="1" applyFill="1" applyAlignment="1">
      <alignment horizontal="center" vertical="center"/>
    </xf>
    <xf numFmtId="169" fontId="4" fillId="16" borderId="12" xfId="0" applyNumberFormat="1" applyFont="1" applyFill="1" applyBorder="1" applyAlignment="1">
      <alignment horizontal="center" vertical="center"/>
    </xf>
    <xf numFmtId="10" fontId="4" fillId="16" borderId="6" xfId="0" applyNumberFormat="1" applyFont="1" applyFill="1" applyBorder="1" applyAlignment="1">
      <alignment horizontal="center" vertical="center"/>
    </xf>
    <xf numFmtId="169" fontId="4" fillId="16" borderId="1" xfId="0" applyNumberFormat="1" applyFont="1" applyFill="1" applyBorder="1" applyAlignment="1">
      <alignment horizontal="center" vertical="center"/>
    </xf>
    <xf numFmtId="0" fontId="16" fillId="3" borderId="13" xfId="3" applyFont="1" applyFill="1" applyBorder="1" applyAlignment="1">
      <alignment horizontal="center" vertical="center"/>
    </xf>
    <xf numFmtId="0" fontId="16" fillId="3" borderId="10" xfId="3" applyFont="1" applyFill="1" applyBorder="1" applyAlignment="1">
      <alignment horizontal="center" vertical="center"/>
    </xf>
    <xf numFmtId="165" fontId="4" fillId="16" borderId="8" xfId="0" applyNumberFormat="1" applyFont="1" applyFill="1" applyBorder="1" applyAlignment="1">
      <alignment horizontal="center" vertical="center"/>
    </xf>
    <xf numFmtId="165" fontId="4" fillId="16" borderId="0" xfId="1" applyNumberFormat="1" applyFont="1" applyFill="1" applyBorder="1" applyAlignment="1">
      <alignment horizontal="center" vertical="center"/>
    </xf>
    <xf numFmtId="165" fontId="4" fillId="16" borderId="8" xfId="1" applyNumberFormat="1" applyFont="1" applyFill="1" applyBorder="1" applyAlignment="1">
      <alignment horizontal="center" vertical="center"/>
    </xf>
    <xf numFmtId="165" fontId="4" fillId="16" borderId="0" xfId="0" applyNumberFormat="1" applyFont="1" applyFill="1" applyAlignment="1">
      <alignment horizontal="center" vertical="center"/>
    </xf>
    <xf numFmtId="165" fontId="17" fillId="17" borderId="1" xfId="0" applyNumberFormat="1" applyFont="1" applyFill="1" applyBorder="1" applyAlignment="1">
      <alignment horizontal="center" vertical="center"/>
    </xf>
    <xf numFmtId="165" fontId="17" fillId="17" borderId="14" xfId="0" applyNumberFormat="1" applyFont="1" applyFill="1" applyBorder="1" applyAlignment="1">
      <alignment horizontal="center" vertical="center"/>
    </xf>
    <xf numFmtId="0" fontId="9" fillId="18" borderId="4" xfId="4" applyFont="1" applyFill="1" applyBorder="1" applyAlignment="1">
      <alignment horizontal="center" vertical="center"/>
    </xf>
    <xf numFmtId="0" fontId="9" fillId="18" borderId="2" xfId="4" applyFont="1" applyFill="1" applyBorder="1" applyAlignment="1">
      <alignment horizontal="center" vertical="center"/>
    </xf>
    <xf numFmtId="0" fontId="9" fillId="18" borderId="3" xfId="4" applyFont="1" applyFill="1" applyBorder="1" applyAlignment="1">
      <alignment horizontal="center" vertical="center"/>
    </xf>
    <xf numFmtId="165" fontId="4" fillId="0" borderId="2" xfId="1" applyNumberFormat="1" applyFont="1" applyBorder="1"/>
    <xf numFmtId="167" fontId="4" fillId="10" borderId="15" xfId="0" applyNumberFormat="1" applyFont="1" applyFill="1" applyBorder="1"/>
    <xf numFmtId="14" fontId="10" fillId="0" borderId="0" xfId="1" applyNumberFormat="1" applyFont="1" applyBorder="1" applyAlignment="1"/>
    <xf numFmtId="10" fontId="10" fillId="0" borderId="0" xfId="1" applyNumberFormat="1" applyFont="1" applyBorder="1" applyAlignment="1">
      <alignment horizontal="center"/>
    </xf>
    <xf numFmtId="10" fontId="0" fillId="13" borderId="16" xfId="1" applyNumberFormat="1" applyFont="1" applyFill="1" applyBorder="1"/>
    <xf numFmtId="0" fontId="4" fillId="0" borderId="0" xfId="0" applyFont="1" applyAlignment="1">
      <alignment horizontal="center" vertical="center"/>
    </xf>
    <xf numFmtId="0" fontId="5" fillId="16" borderId="0" xfId="0" applyFont="1" applyFill="1" applyAlignment="1">
      <alignment horizontal="left" vertical="center" wrapText="1"/>
    </xf>
    <xf numFmtId="164" fontId="4" fillId="16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6" fillId="3" borderId="0" xfId="0" applyFont="1" applyFill="1" applyAlignment="1">
      <alignment horizontal="right" vertical="center"/>
    </xf>
    <xf numFmtId="0" fontId="19" fillId="4" borderId="0" xfId="0" applyFont="1" applyFill="1"/>
    <xf numFmtId="0" fontId="16" fillId="4" borderId="0" xfId="0" applyFont="1" applyFill="1" applyAlignment="1">
      <alignment horizontal="center" vertical="center"/>
    </xf>
    <xf numFmtId="0" fontId="16" fillId="3" borderId="0" xfId="0" applyFont="1" applyFill="1"/>
    <xf numFmtId="2" fontId="16" fillId="3" borderId="0" xfId="0" applyNumberFormat="1" applyFont="1" applyFill="1" applyAlignment="1">
      <alignment horizontal="center" vertical="center"/>
    </xf>
    <xf numFmtId="0" fontId="5" fillId="16" borderId="11" xfId="0" applyFont="1" applyFill="1" applyBorder="1"/>
    <xf numFmtId="170" fontId="4" fillId="0" borderId="11" xfId="0" applyNumberFormat="1" applyFont="1" applyBorder="1"/>
    <xf numFmtId="0" fontId="5" fillId="16" borderId="6" xfId="0" applyFont="1" applyFill="1" applyBorder="1"/>
    <xf numFmtId="170" fontId="4" fillId="0" borderId="6" xfId="0" applyNumberFormat="1" applyFont="1" applyBorder="1"/>
    <xf numFmtId="10" fontId="4" fillId="0" borderId="2" xfId="1" applyNumberFormat="1" applyFont="1" applyBorder="1" applyAlignment="1">
      <alignment horizontal="center"/>
    </xf>
    <xf numFmtId="10" fontId="4" fillId="0" borderId="0" xfId="1" applyNumberFormat="1" applyFont="1" applyBorder="1" applyAlignment="1">
      <alignment vertical="center" textRotation="90"/>
    </xf>
    <xf numFmtId="14" fontId="4" fillId="0" borderId="0" xfId="1" applyNumberFormat="1" applyFont="1" applyBorder="1" applyAlignment="1"/>
    <xf numFmtId="10" fontId="4" fillId="0" borderId="0" xfId="1" applyNumberFormat="1" applyFont="1" applyAlignment="1">
      <alignment horizontal="center"/>
    </xf>
    <xf numFmtId="10" fontId="4" fillId="0" borderId="0" xfId="1" applyNumberFormat="1" applyFont="1" applyAlignment="1">
      <alignment vertical="center" textRotation="90"/>
    </xf>
    <xf numFmtId="14" fontId="4" fillId="0" borderId="0" xfId="1" applyNumberFormat="1" applyFont="1" applyAlignment="1"/>
    <xf numFmtId="10" fontId="4" fillId="12" borderId="2" xfId="1" applyNumberFormat="1" applyFont="1" applyFill="1" applyBorder="1" applyAlignment="1">
      <alignment horizontal="center" vertical="center"/>
    </xf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16" xfId="0" applyFont="1" applyBorder="1"/>
    <xf numFmtId="10" fontId="4" fillId="0" borderId="0" xfId="0" applyNumberFormat="1" applyFont="1" applyAlignment="1">
      <alignment horizontal="center"/>
    </xf>
    <xf numFmtId="0" fontId="16" fillId="3" borderId="0" xfId="0" applyFont="1" applyFill="1" applyAlignment="1">
      <alignment horizontal="center" vertical="center" wrapText="1"/>
    </xf>
    <xf numFmtId="0" fontId="4" fillId="0" borderId="8" xfId="0" applyFont="1" applyBorder="1"/>
    <xf numFmtId="0" fontId="4" fillId="0" borderId="28" xfId="0" applyFont="1" applyBorder="1"/>
    <xf numFmtId="0" fontId="4" fillId="0" borderId="7" xfId="0" applyFont="1" applyBorder="1"/>
    <xf numFmtId="0" fontId="4" fillId="0" borderId="27" xfId="0" applyFont="1" applyBorder="1"/>
    <xf numFmtId="2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0" fontId="4" fillId="0" borderId="11" xfId="0" applyNumberFormat="1" applyFont="1" applyBorder="1" applyAlignment="1">
      <alignment horizontal="center"/>
    </xf>
    <xf numFmtId="170" fontId="4" fillId="0" borderId="11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0" fontId="4" fillId="0" borderId="6" xfId="0" applyNumberFormat="1" applyFont="1" applyBorder="1" applyAlignment="1">
      <alignment horizontal="center"/>
    </xf>
    <xf numFmtId="170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5" fillId="0" borderId="0" xfId="0" applyFont="1"/>
    <xf numFmtId="0" fontId="4" fillId="0" borderId="22" xfId="0" applyFont="1" applyBorder="1"/>
    <xf numFmtId="0" fontId="4" fillId="0" borderId="21" xfId="0" applyFont="1" applyBorder="1"/>
    <xf numFmtId="0" fontId="4" fillId="0" borderId="9" xfId="0" applyFont="1" applyBorder="1"/>
    <xf numFmtId="0" fontId="4" fillId="0" borderId="10" xfId="0" applyFont="1" applyBorder="1"/>
    <xf numFmtId="43" fontId="19" fillId="19" borderId="23" xfId="2" applyFont="1" applyFill="1" applyBorder="1"/>
    <xf numFmtId="3" fontId="4" fillId="12" borderId="23" xfId="0" applyNumberFormat="1" applyFont="1" applyFill="1" applyBorder="1"/>
    <xf numFmtId="43" fontId="19" fillId="19" borderId="2" xfId="2" applyFont="1" applyFill="1" applyBorder="1"/>
    <xf numFmtId="1" fontId="4" fillId="12" borderId="2" xfId="2" applyNumberFormat="1" applyFont="1" applyFill="1" applyBorder="1"/>
    <xf numFmtId="43" fontId="19" fillId="19" borderId="23" xfId="0" applyNumberFormat="1" applyFont="1" applyFill="1" applyBorder="1"/>
    <xf numFmtId="43" fontId="4" fillId="12" borderId="2" xfId="2" applyFont="1" applyFill="1" applyBorder="1"/>
    <xf numFmtId="43" fontId="19" fillId="19" borderId="2" xfId="0" applyNumberFormat="1" applyFont="1" applyFill="1" applyBorder="1"/>
    <xf numFmtId="4" fontId="4" fillId="12" borderId="23" xfId="0" applyNumberFormat="1" applyFont="1" applyFill="1" applyBorder="1"/>
    <xf numFmtId="3" fontId="19" fillId="19" borderId="3" xfId="0" applyNumberFormat="1" applyFont="1" applyFill="1" applyBorder="1"/>
    <xf numFmtId="43" fontId="4" fillId="12" borderId="3" xfId="2" applyFont="1" applyFill="1" applyBorder="1"/>
    <xf numFmtId="0" fontId="4" fillId="0" borderId="26" xfId="0" applyFont="1" applyBorder="1"/>
    <xf numFmtId="4" fontId="4" fillId="12" borderId="29" xfId="0" applyNumberFormat="1" applyFont="1" applyFill="1" applyBorder="1"/>
    <xf numFmtId="3" fontId="19" fillId="19" borderId="36" xfId="0" applyNumberFormat="1" applyFont="1" applyFill="1" applyBorder="1"/>
    <xf numFmtId="43" fontId="19" fillId="19" borderId="31" xfId="0" applyNumberFormat="1" applyFont="1" applyFill="1" applyBorder="1"/>
    <xf numFmtId="43" fontId="19" fillId="19" borderId="32" xfId="0" applyNumberFormat="1" applyFont="1" applyFill="1" applyBorder="1"/>
    <xf numFmtId="0" fontId="18" fillId="3" borderId="17" xfId="0" applyFont="1" applyFill="1" applyBorder="1"/>
    <xf numFmtId="2" fontId="4" fillId="0" borderId="7" xfId="0" applyNumberFormat="1" applyFont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68" fontId="4" fillId="0" borderId="11" xfId="0" applyNumberFormat="1" applyFont="1" applyBorder="1" applyAlignment="1">
      <alignment horizontal="center"/>
    </xf>
    <xf numFmtId="168" fontId="4" fillId="0" borderId="8" xfId="0" applyNumberFormat="1" applyFont="1" applyBorder="1" applyAlignment="1">
      <alignment horizontal="center"/>
    </xf>
    <xf numFmtId="168" fontId="4" fillId="0" borderId="6" xfId="0" applyNumberFormat="1" applyFont="1" applyBorder="1" applyAlignment="1">
      <alignment horizontal="center"/>
    </xf>
    <xf numFmtId="168" fontId="4" fillId="0" borderId="14" xfId="0" applyNumberFormat="1" applyFont="1" applyBorder="1" applyAlignment="1">
      <alignment horizontal="center"/>
    </xf>
    <xf numFmtId="0" fontId="9" fillId="3" borderId="0" xfId="0" applyFont="1" applyFill="1"/>
    <xf numFmtId="0" fontId="5" fillId="0" borderId="4" xfId="0" applyFont="1" applyBorder="1"/>
    <xf numFmtId="0" fontId="9" fillId="3" borderId="17" xfId="0" applyFont="1" applyFill="1" applyBorder="1"/>
    <xf numFmtId="3" fontId="19" fillId="19" borderId="30" xfId="0" applyNumberFormat="1" applyFont="1" applyFill="1" applyBorder="1"/>
    <xf numFmtId="43" fontId="19" fillId="19" borderId="31" xfId="2" applyFont="1" applyFill="1" applyBorder="1"/>
    <xf numFmtId="43" fontId="4" fillId="12" borderId="30" xfId="2" applyFont="1" applyFill="1" applyBorder="1"/>
    <xf numFmtId="0" fontId="4" fillId="12" borderId="2" xfId="0" applyFont="1" applyFill="1" applyBorder="1"/>
    <xf numFmtId="0" fontId="4" fillId="12" borderId="32" xfId="0" applyFont="1" applyFill="1" applyBorder="1"/>
    <xf numFmtId="0" fontId="4" fillId="12" borderId="31" xfId="0" applyFont="1" applyFill="1" applyBorder="1"/>
    <xf numFmtId="43" fontId="4" fillId="12" borderId="31" xfId="0" applyNumberFormat="1" applyFont="1" applyFill="1" applyBorder="1"/>
    <xf numFmtId="0" fontId="5" fillId="0" borderId="9" xfId="0" applyFont="1" applyBorder="1"/>
    <xf numFmtId="3" fontId="4" fillId="0" borderId="10" xfId="0" applyNumberFormat="1" applyFont="1" applyBorder="1"/>
    <xf numFmtId="0" fontId="5" fillId="0" borderId="12" xfId="0" applyFont="1" applyBorder="1"/>
    <xf numFmtId="3" fontId="4" fillId="0" borderId="14" xfId="0" applyNumberFormat="1" applyFont="1" applyBorder="1"/>
    <xf numFmtId="3" fontId="4" fillId="0" borderId="5" xfId="0" applyNumberFormat="1" applyFont="1" applyBorder="1"/>
    <xf numFmtId="3" fontId="4" fillId="0" borderId="8" xfId="0" applyNumberFormat="1" applyFont="1" applyBorder="1"/>
    <xf numFmtId="0" fontId="4" fillId="0" borderId="12" xfId="0" applyFont="1" applyBorder="1"/>
    <xf numFmtId="0" fontId="4" fillId="0" borderId="14" xfId="0" applyFont="1" applyBorder="1"/>
    <xf numFmtId="43" fontId="19" fillId="19" borderId="30" xfId="0" applyNumberFormat="1" applyFont="1" applyFill="1" applyBorder="1"/>
    <xf numFmtId="164" fontId="4" fillId="0" borderId="11" xfId="0" applyNumberFormat="1" applyFont="1" applyBorder="1"/>
    <xf numFmtId="0" fontId="9" fillId="3" borderId="0" xfId="0" applyFont="1" applyFill="1" applyAlignment="1">
      <alignment horizontal="center"/>
    </xf>
    <xf numFmtId="43" fontId="4" fillId="12" borderId="2" xfId="0" applyNumberFormat="1" applyFont="1" applyFill="1" applyBorder="1"/>
    <xf numFmtId="0" fontId="4" fillId="12" borderId="3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0" borderId="19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43" fontId="19" fillId="19" borderId="0" xfId="0" applyNumberFormat="1" applyFont="1" applyFill="1" applyAlignment="1">
      <alignment horizontal="center"/>
    </xf>
    <xf numFmtId="0" fontId="19" fillId="19" borderId="19" xfId="0" applyFont="1" applyFill="1" applyBorder="1" applyAlignment="1">
      <alignment horizontal="center" vertical="center"/>
    </xf>
    <xf numFmtId="43" fontId="19" fillId="19" borderId="18" xfId="0" applyNumberFormat="1" applyFont="1" applyFill="1" applyBorder="1" applyAlignment="1">
      <alignment horizontal="center"/>
    </xf>
    <xf numFmtId="0" fontId="19" fillId="19" borderId="0" xfId="0" applyFont="1" applyFill="1" applyAlignment="1">
      <alignment horizontal="center"/>
    </xf>
    <xf numFmtId="43" fontId="19" fillId="19" borderId="0" xfId="0" applyNumberFormat="1" applyFont="1" applyFill="1" applyAlignment="1">
      <alignment horizontal="right" vertical="center"/>
    </xf>
    <xf numFmtId="0" fontId="4" fillId="9" borderId="2" xfId="0" applyFont="1" applyFill="1" applyBorder="1" applyAlignment="1">
      <alignment horizontal="center"/>
    </xf>
    <xf numFmtId="43" fontId="19" fillId="20" borderId="2" xfId="0" applyNumberFormat="1" applyFont="1" applyFill="1" applyBorder="1"/>
    <xf numFmtId="43" fontId="5" fillId="0" borderId="2" xfId="0" applyNumberFormat="1" applyFont="1" applyBorder="1"/>
    <xf numFmtId="43" fontId="5" fillId="0" borderId="2" xfId="2" applyFont="1" applyBorder="1"/>
    <xf numFmtId="0" fontId="5" fillId="0" borderId="2" xfId="0" applyFont="1" applyBorder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2" fontId="4" fillId="0" borderId="11" xfId="0" applyNumberFormat="1" applyFont="1" applyBorder="1"/>
    <xf numFmtId="0" fontId="4" fillId="0" borderId="11" xfId="0" applyFont="1" applyBorder="1"/>
    <xf numFmtId="2" fontId="4" fillId="0" borderId="6" xfId="0" applyNumberFormat="1" applyFont="1" applyBorder="1"/>
    <xf numFmtId="164" fontId="4" fillId="0" borderId="6" xfId="0" applyNumberFormat="1" applyFont="1" applyBorder="1"/>
    <xf numFmtId="0" fontId="4" fillId="0" borderId="6" xfId="0" applyFont="1" applyBorder="1"/>
    <xf numFmtId="170" fontId="5" fillId="0" borderId="2" xfId="0" applyNumberFormat="1" applyFont="1" applyBorder="1"/>
    <xf numFmtId="170" fontId="4" fillId="0" borderId="2" xfId="0" applyNumberFormat="1" applyFont="1" applyBorder="1" applyAlignment="1">
      <alignment vertical="center"/>
    </xf>
    <xf numFmtId="2" fontId="16" fillId="18" borderId="2" xfId="0" applyNumberFormat="1" applyFont="1" applyFill="1" applyBorder="1" applyAlignment="1">
      <alignment vertical="center"/>
    </xf>
    <xf numFmtId="0" fontId="16" fillId="18" borderId="2" xfId="0" applyFont="1" applyFill="1" applyBorder="1" applyAlignment="1">
      <alignment vertical="center"/>
    </xf>
    <xf numFmtId="0" fontId="4" fillId="16" borderId="0" xfId="0" applyFont="1" applyFill="1"/>
    <xf numFmtId="0" fontId="4" fillId="16" borderId="7" xfId="0" applyFont="1" applyFill="1" applyBorder="1"/>
    <xf numFmtId="0" fontId="4" fillId="16" borderId="8" xfId="0" applyFont="1" applyFill="1" applyBorder="1"/>
    <xf numFmtId="0" fontId="5" fillId="16" borderId="7" xfId="0" applyFont="1" applyFill="1" applyBorder="1"/>
    <xf numFmtId="0" fontId="4" fillId="16" borderId="18" xfId="0" applyFont="1" applyFill="1" applyBorder="1"/>
    <xf numFmtId="0" fontId="4" fillId="16" borderId="19" xfId="0" applyFont="1" applyFill="1" applyBorder="1"/>
    <xf numFmtId="0" fontId="21" fillId="3" borderId="43" xfId="0" applyFont="1" applyFill="1" applyBorder="1"/>
    <xf numFmtId="43" fontId="4" fillId="16" borderId="8" xfId="0" applyNumberFormat="1" applyFont="1" applyFill="1" applyBorder="1"/>
    <xf numFmtId="43" fontId="5" fillId="16" borderId="8" xfId="0" applyNumberFormat="1" applyFont="1" applyFill="1" applyBorder="1"/>
    <xf numFmtId="43" fontId="4" fillId="16" borderId="8" xfId="2" applyFont="1" applyFill="1" applyBorder="1"/>
    <xf numFmtId="3" fontId="5" fillId="16" borderId="8" xfId="0" applyNumberFormat="1" applyFont="1" applyFill="1" applyBorder="1"/>
    <xf numFmtId="0" fontId="5" fillId="16" borderId="8" xfId="0" applyFont="1" applyFill="1" applyBorder="1"/>
    <xf numFmtId="0" fontId="4" fillId="16" borderId="8" xfId="2" applyNumberFormat="1" applyFont="1" applyFill="1" applyBorder="1"/>
    <xf numFmtId="43" fontId="16" fillId="3" borderId="14" xfId="0" applyNumberFormat="1" applyFont="1" applyFill="1" applyBorder="1"/>
    <xf numFmtId="0" fontId="16" fillId="3" borderId="12" xfId="0" applyFont="1" applyFill="1" applyBorder="1" applyAlignment="1">
      <alignment horizontal="right"/>
    </xf>
    <xf numFmtId="43" fontId="16" fillId="3" borderId="14" xfId="2" applyFont="1" applyFill="1" applyBorder="1"/>
    <xf numFmtId="0" fontId="5" fillId="16" borderId="4" xfId="0" applyFont="1" applyFill="1" applyBorder="1" applyAlignment="1">
      <alignment horizontal="right"/>
    </xf>
    <xf numFmtId="43" fontId="5" fillId="16" borderId="5" xfId="0" applyNumberFormat="1" applyFont="1" applyFill="1" applyBorder="1"/>
    <xf numFmtId="3" fontId="4" fillId="0" borderId="0" xfId="0" applyNumberFormat="1" applyFont="1"/>
    <xf numFmtId="0" fontId="23" fillId="0" borderId="9" xfId="0" applyFont="1" applyBorder="1" applyAlignment="1">
      <alignment horizontal="left"/>
    </xf>
    <xf numFmtId="0" fontId="23" fillId="0" borderId="7" xfId="0" applyFont="1" applyBorder="1" applyAlignment="1">
      <alignment horizontal="left"/>
    </xf>
    <xf numFmtId="171" fontId="4" fillId="0" borderId="8" xfId="2" applyNumberFormat="1" applyFont="1" applyBorder="1"/>
    <xf numFmtId="0" fontId="23" fillId="0" borderId="12" xfId="0" applyFont="1" applyBorder="1" applyAlignment="1">
      <alignment horizontal="left"/>
    </xf>
    <xf numFmtId="171" fontId="4" fillId="0" borderId="14" xfId="2" applyNumberFormat="1" applyFont="1" applyBorder="1"/>
    <xf numFmtId="0" fontId="16" fillId="18" borderId="0" xfId="0" applyFont="1" applyFill="1" applyAlignment="1">
      <alignment horizontal="center" vertical="center" wrapText="1"/>
    </xf>
    <xf numFmtId="0" fontId="16" fillId="18" borderId="0" xfId="0" applyFont="1" applyFill="1" applyAlignment="1">
      <alignment horizontal="center" wrapText="1"/>
    </xf>
    <xf numFmtId="0" fontId="4" fillId="0" borderId="0" xfId="0" applyFont="1" applyAlignment="1">
      <alignment horizontal="left"/>
    </xf>
    <xf numFmtId="0" fontId="16" fillId="18" borderId="0" xfId="0" applyFont="1" applyFill="1" applyAlignment="1">
      <alignment horizontal="center"/>
    </xf>
    <xf numFmtId="0" fontId="4" fillId="16" borderId="11" xfId="0" applyFont="1" applyFill="1" applyBorder="1" applyAlignment="1">
      <alignment horizontal="left"/>
    </xf>
    <xf numFmtId="43" fontId="4" fillId="0" borderId="11" xfId="2" applyFont="1" applyBorder="1"/>
    <xf numFmtId="0" fontId="4" fillId="0" borderId="11" xfId="0" applyFont="1" applyBorder="1" applyAlignment="1">
      <alignment horizontal="left"/>
    </xf>
    <xf numFmtId="43" fontId="4" fillId="0" borderId="11" xfId="0" applyNumberFormat="1" applyFont="1" applyBorder="1"/>
    <xf numFmtId="0" fontId="5" fillId="0" borderId="6" xfId="0" applyFont="1" applyBorder="1"/>
    <xf numFmtId="171" fontId="4" fillId="16" borderId="11" xfId="2" applyNumberFormat="1" applyFont="1" applyFill="1" applyBorder="1"/>
    <xf numFmtId="0" fontId="4" fillId="16" borderId="11" xfId="0" applyFont="1" applyFill="1" applyBorder="1"/>
    <xf numFmtId="0" fontId="5" fillId="0" borderId="2" xfId="0" applyFont="1" applyBorder="1" applyAlignment="1">
      <alignment horizontal="left"/>
    </xf>
    <xf numFmtId="171" fontId="5" fillId="0" borderId="2" xfId="0" applyNumberFormat="1" applyFont="1" applyBorder="1"/>
    <xf numFmtId="0" fontId="16" fillId="18" borderId="1" xfId="0" applyFont="1" applyFill="1" applyBorder="1" applyAlignment="1">
      <alignment horizontal="center" wrapText="1"/>
    </xf>
    <xf numFmtId="0" fontId="16" fillId="18" borderId="14" xfId="0" applyFont="1" applyFill="1" applyBorder="1" applyAlignment="1">
      <alignment horizontal="center" wrapText="1"/>
    </xf>
    <xf numFmtId="0" fontId="5" fillId="18" borderId="12" xfId="0" applyFont="1" applyFill="1" applyBorder="1"/>
    <xf numFmtId="0" fontId="16" fillId="18" borderId="1" xfId="0" applyFont="1" applyFill="1" applyBorder="1" applyAlignment="1">
      <alignment horizontal="center"/>
    </xf>
    <xf numFmtId="0" fontId="16" fillId="18" borderId="14" xfId="0" applyFont="1" applyFill="1" applyBorder="1" applyAlignment="1">
      <alignment horizontal="center"/>
    </xf>
    <xf numFmtId="0" fontId="16" fillId="18" borderId="12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horizontal="center" vertical="center" wrapText="1"/>
    </xf>
    <xf numFmtId="0" fontId="16" fillId="18" borderId="14" xfId="0" applyFont="1" applyFill="1" applyBorder="1" applyAlignment="1">
      <alignment horizontal="center" vertical="center" wrapText="1"/>
    </xf>
    <xf numFmtId="0" fontId="16" fillId="18" borderId="0" xfId="0" applyFont="1" applyFill="1"/>
    <xf numFmtId="0" fontId="19" fillId="18" borderId="12" xfId="0" applyFont="1" applyFill="1" applyBorder="1"/>
    <xf numFmtId="0" fontId="16" fillId="18" borderId="1" xfId="0" applyFont="1" applyFill="1" applyBorder="1"/>
    <xf numFmtId="0" fontId="16" fillId="18" borderId="14" xfId="0" applyFont="1" applyFill="1" applyBorder="1"/>
    <xf numFmtId="0" fontId="5" fillId="0" borderId="15" xfId="0" applyFont="1" applyBorder="1"/>
    <xf numFmtId="164" fontId="4" fillId="0" borderId="15" xfId="0" applyNumberFormat="1" applyFont="1" applyBorder="1"/>
    <xf numFmtId="0" fontId="5" fillId="0" borderId="11" xfId="0" applyFont="1" applyBorder="1"/>
    <xf numFmtId="0" fontId="24" fillId="0" borderId="11" xfId="0" applyFont="1" applyBorder="1" applyAlignment="1">
      <alignment horizontal="left"/>
    </xf>
    <xf numFmtId="10" fontId="24" fillId="0" borderId="11" xfId="0" applyNumberFormat="1" applyFont="1" applyBorder="1"/>
    <xf numFmtId="0" fontId="24" fillId="0" borderId="6" xfId="0" applyFont="1" applyBorder="1" applyAlignment="1">
      <alignment horizontal="left"/>
    </xf>
    <xf numFmtId="0" fontId="24" fillId="0" borderId="6" xfId="0" applyFont="1" applyBorder="1"/>
    <xf numFmtId="10" fontId="24" fillId="0" borderId="6" xfId="0" applyNumberFormat="1" applyFont="1" applyBorder="1"/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right"/>
    </xf>
    <xf numFmtId="0" fontId="16" fillId="3" borderId="4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22" fillId="0" borderId="0" xfId="0" applyFont="1"/>
    <xf numFmtId="0" fontId="23" fillId="0" borderId="9" xfId="0" applyFont="1" applyBorder="1"/>
    <xf numFmtId="0" fontId="23" fillId="0" borderId="12" xfId="0" applyFont="1" applyBorder="1"/>
    <xf numFmtId="171" fontId="4" fillId="0" borderId="11" xfId="2" applyNumberFormat="1" applyFont="1" applyBorder="1"/>
    <xf numFmtId="0" fontId="23" fillId="0" borderId="7" xfId="0" applyFont="1" applyBorder="1"/>
    <xf numFmtId="171" fontId="4" fillId="0" borderId="8" xfId="2" applyNumberFormat="1" applyFont="1" applyBorder="1" applyAlignment="1"/>
    <xf numFmtId="1" fontId="4" fillId="16" borderId="11" xfId="0" applyNumberFormat="1" applyFont="1" applyFill="1" applyBorder="1" applyAlignment="1">
      <alignment horizontal="right"/>
    </xf>
    <xf numFmtId="0" fontId="4" fillId="16" borderId="7" xfId="0" applyFont="1" applyFill="1" applyBorder="1" applyAlignment="1">
      <alignment horizontal="left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70" fontId="4" fillId="0" borderId="14" xfId="0" applyNumberFormat="1" applyFont="1" applyBorder="1"/>
    <xf numFmtId="2" fontId="4" fillId="16" borderId="8" xfId="0" applyNumberFormat="1" applyFont="1" applyFill="1" applyBorder="1"/>
    <xf numFmtId="0" fontId="0" fillId="0" borderId="8" xfId="0" applyBorder="1"/>
    <xf numFmtId="0" fontId="16" fillId="21" borderId="7" xfId="0" applyFont="1" applyFill="1" applyBorder="1"/>
    <xf numFmtId="0" fontId="4" fillId="16" borderId="7" xfId="0" applyFont="1" applyFill="1" applyBorder="1" applyAlignment="1">
      <alignment horizontal="left" indent="1"/>
    </xf>
    <xf numFmtId="171" fontId="4" fillId="0" borderId="2" xfId="2" applyNumberFormat="1" applyFont="1" applyBorder="1"/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0" fillId="17" borderId="11" xfId="0" applyFill="1" applyBorder="1" applyAlignment="1">
      <alignment horizontal="center" vertical="center" wrapText="1"/>
    </xf>
    <xf numFmtId="2" fontId="0" fillId="17" borderId="0" xfId="2" applyNumberFormat="1" applyFont="1" applyFill="1" applyBorder="1" applyAlignment="1">
      <alignment horizontal="center" vertical="center"/>
    </xf>
    <xf numFmtId="10" fontId="0" fillId="17" borderId="11" xfId="1" applyNumberFormat="1" applyFont="1" applyFill="1" applyBorder="1" applyAlignment="1">
      <alignment horizontal="center" vertical="center" wrapText="1"/>
    </xf>
    <xf numFmtId="2" fontId="0" fillId="17" borderId="8" xfId="0" applyNumberForma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6" xfId="0" applyFill="1" applyBorder="1" applyAlignment="1">
      <alignment horizontal="center" vertical="center" wrapText="1"/>
    </xf>
    <xf numFmtId="2" fontId="0" fillId="17" borderId="1" xfId="2" applyNumberFormat="1" applyFont="1" applyFill="1" applyBorder="1" applyAlignment="1">
      <alignment horizontal="center" vertical="center"/>
    </xf>
    <xf numFmtId="10" fontId="0" fillId="17" borderId="6" xfId="1" applyNumberFormat="1" applyFont="1" applyFill="1" applyBorder="1" applyAlignment="1">
      <alignment horizontal="center" vertical="center" wrapText="1"/>
    </xf>
    <xf numFmtId="2" fontId="0" fillId="17" borderId="14" xfId="0" applyNumberForma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2" fontId="0" fillId="4" borderId="0" xfId="2" applyNumberFormat="1" applyFont="1" applyFill="1" applyBorder="1" applyAlignment="1">
      <alignment horizontal="center" vertical="center"/>
    </xf>
    <xf numFmtId="10" fontId="0" fillId="4" borderId="11" xfId="1" applyNumberFormat="1" applyFont="1" applyFill="1" applyBorder="1" applyAlignment="1">
      <alignment horizontal="center" vertical="center" wrapText="1"/>
    </xf>
    <xf numFmtId="2" fontId="0" fillId="4" borderId="8" xfId="0" applyNumberForma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left" vertical="center"/>
    </xf>
    <xf numFmtId="0" fontId="0" fillId="17" borderId="11" xfId="0" applyFill="1" applyBorder="1" applyAlignment="1">
      <alignment horizontal="left" vertical="center"/>
    </xf>
    <xf numFmtId="0" fontId="0" fillId="17" borderId="6" xfId="0" applyFill="1" applyBorder="1" applyAlignment="1">
      <alignment horizontal="left" vertical="center"/>
    </xf>
    <xf numFmtId="0" fontId="0" fillId="0" borderId="16" xfId="0" applyBorder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3" fontId="28" fillId="0" borderId="10" xfId="0" applyNumberFormat="1" applyFon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28" fillId="0" borderId="14" xfId="0" applyNumberFormat="1" applyFon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9" fontId="2" fillId="0" borderId="2" xfId="0" applyNumberFormat="1" applyFont="1" applyBorder="1" applyAlignment="1">
      <alignment horizontal="center" vertical="center"/>
    </xf>
    <xf numFmtId="169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16" fillId="0" borderId="13" xfId="0" applyFont="1" applyBorder="1" applyAlignment="1">
      <alignment horizontal="right"/>
    </xf>
    <xf numFmtId="43" fontId="16" fillId="0" borderId="13" xfId="0" applyNumberFormat="1" applyFont="1" applyBorder="1"/>
    <xf numFmtId="1" fontId="4" fillId="0" borderId="11" xfId="0" applyNumberFormat="1" applyFont="1" applyBorder="1"/>
    <xf numFmtId="0" fontId="4" fillId="16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right" vertical="center"/>
    </xf>
    <xf numFmtId="171" fontId="4" fillId="0" borderId="9" xfId="2" applyNumberFormat="1" applyFont="1" applyFill="1" applyBorder="1" applyAlignment="1">
      <alignment horizontal="right" vertical="center"/>
    </xf>
    <xf numFmtId="171" fontId="4" fillId="0" borderId="15" xfId="2" applyNumberFormat="1" applyFont="1" applyFill="1" applyBorder="1" applyAlignment="1">
      <alignment horizontal="right" vertical="center"/>
    </xf>
    <xf numFmtId="171" fontId="4" fillId="0" borderId="10" xfId="2" applyNumberFormat="1" applyFont="1" applyFill="1" applyBorder="1" applyAlignment="1">
      <alignment horizontal="right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right" vertical="center"/>
    </xf>
    <xf numFmtId="171" fontId="4" fillId="0" borderId="7" xfId="2" applyNumberFormat="1" applyFont="1" applyFill="1" applyBorder="1" applyAlignment="1">
      <alignment horizontal="right" vertical="center"/>
    </xf>
    <xf numFmtId="10" fontId="4" fillId="0" borderId="11" xfId="1" applyNumberFormat="1" applyFont="1" applyFill="1" applyBorder="1" applyAlignment="1">
      <alignment horizontal="right" vertical="center"/>
    </xf>
    <xf numFmtId="10" fontId="4" fillId="0" borderId="8" xfId="1" applyNumberFormat="1" applyFont="1" applyFill="1" applyBorder="1" applyAlignment="1">
      <alignment horizontal="right" vertical="center"/>
    </xf>
    <xf numFmtId="10" fontId="4" fillId="0" borderId="7" xfId="0" applyNumberFormat="1" applyFont="1" applyBorder="1" applyAlignment="1">
      <alignment horizontal="right" vertical="center"/>
    </xf>
    <xf numFmtId="10" fontId="4" fillId="0" borderId="7" xfId="1" applyNumberFormat="1" applyFont="1" applyFill="1" applyBorder="1" applyAlignment="1">
      <alignment horizontal="right" vertical="center"/>
    </xf>
    <xf numFmtId="171" fontId="4" fillId="0" borderId="11" xfId="2" applyNumberFormat="1" applyFont="1" applyFill="1" applyBorder="1" applyAlignment="1">
      <alignment horizontal="right" vertical="center"/>
    </xf>
    <xf numFmtId="171" fontId="4" fillId="0" borderId="8" xfId="2" applyNumberFormat="1" applyFont="1" applyFill="1" applyBorder="1" applyAlignment="1">
      <alignment horizontal="right" vertical="center"/>
    </xf>
    <xf numFmtId="0" fontId="4" fillId="0" borderId="12" xfId="0" applyFont="1" applyBorder="1" applyAlignment="1">
      <alignment horizontal="left" vertical="center"/>
    </xf>
    <xf numFmtId="2" fontId="4" fillId="0" borderId="12" xfId="2" applyNumberFormat="1" applyFont="1" applyFill="1" applyBorder="1" applyAlignment="1">
      <alignment horizontal="right" vertical="center"/>
    </xf>
    <xf numFmtId="43" fontId="4" fillId="0" borderId="12" xfId="2" applyFont="1" applyFill="1" applyBorder="1" applyAlignment="1">
      <alignment horizontal="right" vertical="center"/>
    </xf>
    <xf numFmtId="171" fontId="4" fillId="0" borderId="6" xfId="2" applyNumberFormat="1" applyFont="1" applyFill="1" applyBorder="1" applyAlignment="1">
      <alignment horizontal="right" vertical="center"/>
    </xf>
    <xf numFmtId="171" fontId="4" fillId="0" borderId="14" xfId="2" applyNumberFormat="1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171" fontId="4" fillId="0" borderId="0" xfId="0" applyNumberFormat="1" applyFont="1"/>
    <xf numFmtId="0" fontId="4" fillId="16" borderId="9" xfId="0" applyFont="1" applyFill="1" applyBorder="1" applyAlignment="1">
      <alignment horizontal="left" vertical="center"/>
    </xf>
    <xf numFmtId="0" fontId="4" fillId="16" borderId="9" xfId="0" applyFont="1" applyFill="1" applyBorder="1" applyAlignment="1">
      <alignment horizontal="right" vertical="center"/>
    </xf>
    <xf numFmtId="171" fontId="4" fillId="16" borderId="9" xfId="2" applyNumberFormat="1" applyFont="1" applyFill="1" applyBorder="1" applyAlignment="1">
      <alignment horizontal="right" vertical="center"/>
    </xf>
    <xf numFmtId="171" fontId="4" fillId="16" borderId="15" xfId="2" applyNumberFormat="1" applyFont="1" applyFill="1" applyBorder="1" applyAlignment="1">
      <alignment horizontal="right" vertical="center"/>
    </xf>
    <xf numFmtId="171" fontId="4" fillId="16" borderId="10" xfId="2" applyNumberFormat="1" applyFont="1" applyFill="1" applyBorder="1" applyAlignment="1">
      <alignment horizontal="right" vertical="center"/>
    </xf>
    <xf numFmtId="0" fontId="4" fillId="16" borderId="7" xfId="0" applyFont="1" applyFill="1" applyBorder="1" applyAlignment="1">
      <alignment horizontal="right" vertical="center"/>
    </xf>
    <xf numFmtId="171" fontId="4" fillId="16" borderId="7" xfId="2" applyNumberFormat="1" applyFont="1" applyFill="1" applyBorder="1" applyAlignment="1">
      <alignment horizontal="right" vertical="center"/>
    </xf>
    <xf numFmtId="10" fontId="4" fillId="16" borderId="11" xfId="1" applyNumberFormat="1" applyFont="1" applyFill="1" applyBorder="1" applyAlignment="1">
      <alignment horizontal="right" vertical="center"/>
    </xf>
    <xf numFmtId="10" fontId="4" fillId="16" borderId="8" xfId="1" applyNumberFormat="1" applyFont="1" applyFill="1" applyBorder="1" applyAlignment="1">
      <alignment horizontal="right" vertical="center"/>
    </xf>
    <xf numFmtId="10" fontId="4" fillId="16" borderId="7" xfId="0" applyNumberFormat="1" applyFont="1" applyFill="1" applyBorder="1" applyAlignment="1">
      <alignment horizontal="right" vertical="center"/>
    </xf>
    <xf numFmtId="10" fontId="4" fillId="16" borderId="7" xfId="1" applyNumberFormat="1" applyFont="1" applyFill="1" applyBorder="1" applyAlignment="1">
      <alignment horizontal="right" vertical="center"/>
    </xf>
    <xf numFmtId="171" fontId="4" fillId="16" borderId="11" xfId="2" applyNumberFormat="1" applyFont="1" applyFill="1" applyBorder="1" applyAlignment="1">
      <alignment horizontal="right" vertical="center"/>
    </xf>
    <xf numFmtId="171" fontId="4" fillId="16" borderId="8" xfId="2" applyNumberFormat="1" applyFont="1" applyFill="1" applyBorder="1" applyAlignment="1">
      <alignment horizontal="right" vertical="center"/>
    </xf>
    <xf numFmtId="0" fontId="4" fillId="16" borderId="12" xfId="0" applyFont="1" applyFill="1" applyBorder="1" applyAlignment="1">
      <alignment horizontal="left" vertical="center"/>
    </xf>
    <xf numFmtId="2" fontId="4" fillId="16" borderId="12" xfId="2" applyNumberFormat="1" applyFont="1" applyFill="1" applyBorder="1" applyAlignment="1">
      <alignment horizontal="right" vertical="center"/>
    </xf>
    <xf numFmtId="43" fontId="4" fillId="16" borderId="12" xfId="2" applyFont="1" applyFill="1" applyBorder="1" applyAlignment="1">
      <alignment horizontal="right" vertical="center"/>
    </xf>
    <xf numFmtId="171" fontId="4" fillId="16" borderId="6" xfId="2" applyNumberFormat="1" applyFont="1" applyFill="1" applyBorder="1" applyAlignment="1">
      <alignment horizontal="right" vertical="center"/>
    </xf>
    <xf numFmtId="171" fontId="4" fillId="16" borderId="14" xfId="2" applyNumberFormat="1" applyFont="1" applyFill="1" applyBorder="1" applyAlignment="1">
      <alignment horizontal="right" vertical="center"/>
    </xf>
    <xf numFmtId="10" fontId="4" fillId="16" borderId="7" xfId="1" applyNumberFormat="1" applyFont="1" applyFill="1" applyBorder="1" applyAlignment="1">
      <alignment horizontal="center" vertical="center"/>
    </xf>
    <xf numFmtId="10" fontId="4" fillId="16" borderId="11" xfId="1" applyNumberFormat="1" applyFont="1" applyFill="1" applyBorder="1" applyAlignment="1">
      <alignment horizontal="center" vertical="center"/>
    </xf>
    <xf numFmtId="10" fontId="4" fillId="16" borderId="8" xfId="1" applyNumberFormat="1" applyFont="1" applyFill="1" applyBorder="1" applyAlignment="1">
      <alignment horizontal="center" vertical="center"/>
    </xf>
    <xf numFmtId="10" fontId="4" fillId="16" borderId="15" xfId="0" applyNumberFormat="1" applyFont="1" applyFill="1" applyBorder="1" applyAlignment="1">
      <alignment horizontal="center" vertical="center"/>
    </xf>
    <xf numFmtId="10" fontId="4" fillId="16" borderId="7" xfId="0" applyNumberFormat="1" applyFont="1" applyFill="1" applyBorder="1" applyAlignment="1">
      <alignment horizontal="center"/>
    </xf>
    <xf numFmtId="10" fontId="4" fillId="16" borderId="11" xfId="0" applyNumberFormat="1" applyFont="1" applyFill="1" applyBorder="1" applyAlignment="1">
      <alignment horizontal="center"/>
    </xf>
    <xf numFmtId="10" fontId="4" fillId="16" borderId="8" xfId="0" applyNumberFormat="1" applyFont="1" applyFill="1" applyBorder="1" applyAlignment="1">
      <alignment horizontal="center"/>
    </xf>
    <xf numFmtId="0" fontId="4" fillId="16" borderId="12" xfId="0" applyFont="1" applyFill="1" applyBorder="1"/>
    <xf numFmtId="10" fontId="4" fillId="16" borderId="12" xfId="1" applyNumberFormat="1" applyFont="1" applyFill="1" applyBorder="1" applyAlignment="1">
      <alignment horizontal="center" vertical="center"/>
    </xf>
    <xf numFmtId="10" fontId="4" fillId="16" borderId="6" xfId="1" applyNumberFormat="1" applyFont="1" applyFill="1" applyBorder="1" applyAlignment="1">
      <alignment horizontal="center" vertical="center"/>
    </xf>
    <xf numFmtId="10" fontId="4" fillId="16" borderId="14" xfId="1" applyNumberFormat="1" applyFont="1" applyFill="1" applyBorder="1" applyAlignment="1">
      <alignment horizontal="center" vertical="center"/>
    </xf>
    <xf numFmtId="171" fontId="4" fillId="16" borderId="10" xfId="2" applyNumberFormat="1" applyFont="1" applyFill="1" applyBorder="1" applyAlignment="1">
      <alignment horizontal="center" vertical="center"/>
    </xf>
    <xf numFmtId="171" fontId="4" fillId="16" borderId="13" xfId="2" applyNumberFormat="1" applyFont="1" applyFill="1" applyBorder="1" applyAlignment="1">
      <alignment horizontal="center" vertical="center"/>
    </xf>
    <xf numFmtId="171" fontId="4" fillId="16" borderId="15" xfId="2" applyNumberFormat="1" applyFont="1" applyFill="1" applyBorder="1" applyAlignment="1">
      <alignment horizontal="center" vertical="center"/>
    </xf>
    <xf numFmtId="171" fontId="4" fillId="16" borderId="8" xfId="2" applyNumberFormat="1" applyFont="1" applyFill="1" applyBorder="1" applyAlignment="1">
      <alignment horizontal="center" vertical="center"/>
    </xf>
    <xf numFmtId="171" fontId="4" fillId="16" borderId="0" xfId="2" applyNumberFormat="1" applyFont="1" applyFill="1" applyBorder="1" applyAlignment="1">
      <alignment horizontal="center" vertical="center"/>
    </xf>
    <xf numFmtId="171" fontId="4" fillId="16" borderId="11" xfId="2" applyNumberFormat="1" applyFont="1" applyFill="1" applyBorder="1" applyAlignment="1">
      <alignment horizontal="center" vertical="center"/>
    </xf>
    <xf numFmtId="171" fontId="4" fillId="16" borderId="0" xfId="2" applyNumberFormat="1" applyFont="1" applyFill="1" applyBorder="1" applyAlignment="1">
      <alignment horizontal="center"/>
    </xf>
    <xf numFmtId="171" fontId="4" fillId="16" borderId="11" xfId="2" applyNumberFormat="1" applyFont="1" applyFill="1" applyBorder="1" applyAlignment="1">
      <alignment horizontal="center"/>
    </xf>
    <xf numFmtId="171" fontId="4" fillId="16" borderId="8" xfId="2" applyNumberFormat="1" applyFont="1" applyFill="1" applyBorder="1" applyAlignment="1">
      <alignment horizontal="center"/>
    </xf>
    <xf numFmtId="171" fontId="4" fillId="16" borderId="14" xfId="2" applyNumberFormat="1" applyFont="1" applyFill="1" applyBorder="1" applyAlignment="1">
      <alignment horizontal="center" vertical="center"/>
    </xf>
    <xf numFmtId="171" fontId="4" fillId="16" borderId="1" xfId="2" applyNumberFormat="1" applyFont="1" applyFill="1" applyBorder="1" applyAlignment="1">
      <alignment horizontal="center" vertical="center"/>
    </xf>
    <xf numFmtId="171" fontId="4" fillId="16" borderId="6" xfId="2" applyNumberFormat="1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 wrapText="1"/>
    </xf>
    <xf numFmtId="0" fontId="17" fillId="18" borderId="12" xfId="0" applyFont="1" applyFill="1" applyBorder="1" applyAlignment="1">
      <alignment horizontal="center" vertical="center"/>
    </xf>
    <xf numFmtId="0" fontId="17" fillId="18" borderId="2" xfId="0" applyFont="1" applyFill="1" applyBorder="1" applyAlignment="1">
      <alignment horizontal="center" vertical="center"/>
    </xf>
    <xf numFmtId="0" fontId="17" fillId="18" borderId="1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171" fontId="4" fillId="0" borderId="0" xfId="0" applyNumberFormat="1" applyFont="1" applyAlignment="1">
      <alignment horizontal="right"/>
    </xf>
    <xf numFmtId="0" fontId="4" fillId="0" borderId="7" xfId="0" applyFont="1" applyBorder="1" applyAlignment="1">
      <alignment horizontal="right"/>
    </xf>
    <xf numFmtId="171" fontId="4" fillId="0" borderId="8" xfId="0" applyNumberFormat="1" applyFont="1" applyBorder="1" applyAlignment="1">
      <alignment horizontal="right"/>
    </xf>
    <xf numFmtId="0" fontId="17" fillId="18" borderId="15" xfId="0" applyFont="1" applyFill="1" applyBorder="1" applyAlignment="1">
      <alignment horizontal="center" vertical="center" wrapText="1"/>
    </xf>
    <xf numFmtId="0" fontId="17" fillId="18" borderId="3" xfId="0" applyFont="1" applyFill="1" applyBorder="1" applyAlignment="1">
      <alignment horizontal="center" vertical="center" wrapText="1"/>
    </xf>
    <xf numFmtId="0" fontId="17" fillId="18" borderId="4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center" vertical="center" wrapText="1"/>
    </xf>
    <xf numFmtId="0" fontId="17" fillId="18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2" fontId="4" fillId="0" borderId="15" xfId="0" applyNumberFormat="1" applyFont="1" applyBorder="1" applyAlignment="1">
      <alignment horizontal="left" vertical="center" wrapText="1"/>
    </xf>
    <xf numFmtId="10" fontId="4" fillId="0" borderId="0" xfId="1" applyNumberFormat="1" applyFont="1" applyFill="1" applyBorder="1" applyAlignment="1">
      <alignment horizontal="right" vertical="center"/>
    </xf>
    <xf numFmtId="171" fontId="4" fillId="0" borderId="7" xfId="0" applyNumberFormat="1" applyFont="1" applyBorder="1" applyAlignment="1">
      <alignment horizontal="right" vertical="center"/>
    </xf>
    <xf numFmtId="2" fontId="4" fillId="0" borderId="11" xfId="0" applyNumberFormat="1" applyFont="1" applyBorder="1" applyAlignment="1">
      <alignment horizontal="right" vertical="center"/>
    </xf>
    <xf numFmtId="171" fontId="4" fillId="0" borderId="8" xfId="0" applyNumberFormat="1" applyFont="1" applyBorder="1" applyAlignment="1">
      <alignment horizontal="right" vertical="center"/>
    </xf>
    <xf numFmtId="2" fontId="4" fillId="0" borderId="11" xfId="0" applyNumberFormat="1" applyFont="1" applyBorder="1" applyAlignment="1">
      <alignment horizontal="right"/>
    </xf>
    <xf numFmtId="2" fontId="4" fillId="0" borderId="11" xfId="0" applyNumberFormat="1" applyFont="1" applyBorder="1" applyAlignment="1">
      <alignment horizontal="left" vertical="center" wrapText="1"/>
    </xf>
    <xf numFmtId="2" fontId="4" fillId="0" borderId="6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right" vertical="center"/>
    </xf>
    <xf numFmtId="171" fontId="5" fillId="0" borderId="4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2" xfId="0" applyFont="1" applyBorder="1" applyAlignment="1">
      <alignment horizontal="right"/>
    </xf>
    <xf numFmtId="171" fontId="5" fillId="0" borderId="3" xfId="0" applyNumberFormat="1" applyFont="1" applyBorder="1" applyAlignment="1">
      <alignment horizontal="right" vertical="center"/>
    </xf>
    <xf numFmtId="171" fontId="5" fillId="0" borderId="5" xfId="0" applyNumberFormat="1" applyFont="1" applyBorder="1" applyAlignment="1">
      <alignment horizontal="right" vertical="center"/>
    </xf>
    <xf numFmtId="0" fontId="5" fillId="18" borderId="12" xfId="0" applyFont="1" applyFill="1" applyBorder="1" applyAlignment="1">
      <alignment horizontal="center" vertical="center" wrapText="1"/>
    </xf>
    <xf numFmtId="171" fontId="4" fillId="0" borderId="13" xfId="0" applyNumberFormat="1" applyFont="1" applyBorder="1" applyAlignment="1">
      <alignment horizontal="right" vertical="center"/>
    </xf>
    <xf numFmtId="171" fontId="4" fillId="0" borderId="10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right"/>
    </xf>
    <xf numFmtId="171" fontId="4" fillId="0" borderId="0" xfId="0" applyNumberFormat="1" applyFont="1" applyAlignment="1">
      <alignment horizontal="right" vertical="center"/>
    </xf>
    <xf numFmtId="1" fontId="4" fillId="0" borderId="8" xfId="0" applyNumberFormat="1" applyFont="1" applyBorder="1" applyAlignment="1">
      <alignment horizontal="right" vertical="center"/>
    </xf>
    <xf numFmtId="1" fontId="4" fillId="0" borderId="7" xfId="0" applyNumberFormat="1" applyFont="1" applyBorder="1" applyAlignment="1">
      <alignment horizontal="right" vertical="center"/>
    </xf>
    <xf numFmtId="164" fontId="4" fillId="0" borderId="0" xfId="1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0" fontId="4" fillId="0" borderId="12" xfId="1" applyNumberFormat="1" applyFont="1" applyFill="1" applyBorder="1" applyAlignment="1">
      <alignment horizontal="right" vertical="center"/>
    </xf>
    <xf numFmtId="10" fontId="4" fillId="0" borderId="14" xfId="1" applyNumberFormat="1" applyFont="1" applyFill="1" applyBorder="1" applyAlignment="1">
      <alignment horizontal="right" vertical="center"/>
    </xf>
    <xf numFmtId="0" fontId="5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171" fontId="4" fillId="0" borderId="8" xfId="2" applyNumberFormat="1" applyFont="1" applyFill="1" applyBorder="1" applyAlignment="1">
      <alignment vertical="center"/>
    </xf>
    <xf numFmtId="171" fontId="4" fillId="0" borderId="8" xfId="2" applyNumberFormat="1" applyFont="1" applyFill="1" applyBorder="1"/>
    <xf numFmtId="171" fontId="4" fillId="0" borderId="8" xfId="0" applyNumberFormat="1" applyFont="1" applyBorder="1"/>
    <xf numFmtId="0" fontId="5" fillId="18" borderId="4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5" fillId="18" borderId="5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>
      <alignment horizontal="center" vertical="center" wrapText="1"/>
    </xf>
    <xf numFmtId="171" fontId="4" fillId="0" borderId="7" xfId="0" applyNumberFormat="1" applyFont="1" applyBorder="1" applyAlignment="1">
      <alignment horizontal="right"/>
    </xf>
    <xf numFmtId="171" fontId="4" fillId="0" borderId="11" xfId="0" applyNumberFormat="1" applyFont="1" applyBorder="1" applyAlignment="1">
      <alignment horizontal="right"/>
    </xf>
    <xf numFmtId="171" fontId="4" fillId="0" borderId="15" xfId="0" applyNumberFormat="1" applyFont="1" applyBorder="1" applyAlignment="1">
      <alignment horizontal="right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/>
    </xf>
    <xf numFmtId="171" fontId="5" fillId="0" borderId="2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right"/>
    </xf>
    <xf numFmtId="0" fontId="14" fillId="0" borderId="0" xfId="0" applyFont="1"/>
    <xf numFmtId="43" fontId="4" fillId="0" borderId="8" xfId="2" applyFont="1" applyBorder="1"/>
    <xf numFmtId="43" fontId="4" fillId="0" borderId="8" xfId="0" applyNumberFormat="1" applyFont="1" applyBorder="1"/>
    <xf numFmtId="43" fontId="5" fillId="0" borderId="5" xfId="0" applyNumberFormat="1" applyFont="1" applyBorder="1"/>
    <xf numFmtId="0" fontId="5" fillId="0" borderId="8" xfId="0" applyFont="1" applyBorder="1"/>
    <xf numFmtId="0" fontId="4" fillId="16" borderId="0" xfId="0" applyFont="1" applyFill="1" applyAlignment="1">
      <alignment vertical="center"/>
    </xf>
    <xf numFmtId="0" fontId="16" fillId="18" borderId="4" xfId="0" applyFont="1" applyFill="1" applyBorder="1" applyAlignment="1">
      <alignment horizontal="center" vertical="center" wrapText="1"/>
    </xf>
    <xf numFmtId="0" fontId="16" fillId="18" borderId="15" xfId="0" applyFont="1" applyFill="1" applyBorder="1" applyAlignment="1">
      <alignment horizontal="center" vertical="center" wrapText="1"/>
    </xf>
    <xf numFmtId="0" fontId="16" fillId="18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3" fontId="23" fillId="0" borderId="10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171" fontId="4" fillId="0" borderId="0" xfId="0" applyNumberFormat="1" applyFont="1" applyAlignment="1">
      <alignment horizontal="center" vertical="center"/>
    </xf>
    <xf numFmtId="171" fontId="4" fillId="0" borderId="9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right" vertical="center"/>
    </xf>
    <xf numFmtId="1" fontId="4" fillId="0" borderId="9" xfId="0" applyNumberFormat="1" applyFont="1" applyBorder="1" applyAlignment="1">
      <alignment horizontal="right" vertical="center"/>
    </xf>
    <xf numFmtId="3" fontId="23" fillId="0" borderId="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171" fontId="4" fillId="0" borderId="7" xfId="0" applyNumberFormat="1" applyFont="1" applyBorder="1" applyAlignment="1">
      <alignment horizontal="center" vertical="center"/>
    </xf>
    <xf numFmtId="171" fontId="4" fillId="0" borderId="8" xfId="0" applyNumberFormat="1" applyFont="1" applyBorder="1" applyAlignment="1">
      <alignment horizontal="center" vertical="center"/>
    </xf>
    <xf numFmtId="171" fontId="5" fillId="0" borderId="8" xfId="2" applyNumberFormat="1" applyFont="1" applyFill="1" applyBorder="1" applyAlignment="1">
      <alignment horizontal="center"/>
    </xf>
    <xf numFmtId="171" fontId="5" fillId="0" borderId="7" xfId="0" applyNumberFormat="1" applyFont="1" applyBorder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171" fontId="5" fillId="0" borderId="8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23" fillId="0" borderId="14" xfId="0" applyNumberFormat="1" applyFont="1" applyBorder="1" applyAlignment="1">
      <alignment horizontal="center" vertical="center"/>
    </xf>
    <xf numFmtId="164" fontId="4" fillId="0" borderId="7" xfId="1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0" fontId="4" fillId="0" borderId="1" xfId="1" applyNumberFormat="1" applyFont="1" applyFill="1" applyBorder="1" applyAlignment="1">
      <alignment horizontal="right" vertical="center"/>
    </xf>
    <xf numFmtId="0" fontId="25" fillId="16" borderId="0" xfId="0" applyFont="1" applyFill="1"/>
    <xf numFmtId="171" fontId="4" fillId="0" borderId="8" xfId="2" applyNumberFormat="1" applyFont="1" applyFill="1" applyBorder="1" applyAlignment="1">
      <alignment horizontal="right"/>
    </xf>
    <xf numFmtId="170" fontId="4" fillId="0" borderId="8" xfId="0" applyNumberFormat="1" applyFont="1" applyBorder="1" applyAlignment="1">
      <alignment horizontal="right" vertical="center"/>
    </xf>
    <xf numFmtId="170" fontId="4" fillId="0" borderId="8" xfId="0" applyNumberFormat="1" applyFont="1" applyBorder="1" applyAlignment="1">
      <alignment horizontal="right"/>
    </xf>
    <xf numFmtId="0" fontId="5" fillId="0" borderId="0" xfId="0" applyFont="1" applyAlignment="1">
      <alignment horizontal="center" vertical="center" wrapText="1"/>
    </xf>
    <xf numFmtId="0" fontId="17" fillId="18" borderId="9" xfId="0" applyFont="1" applyFill="1" applyBorder="1" applyAlignment="1">
      <alignment horizontal="center" vertical="center" wrapText="1"/>
    </xf>
    <xf numFmtId="1" fontId="4" fillId="0" borderId="11" xfId="2" applyNumberFormat="1" applyFont="1" applyFill="1" applyBorder="1" applyAlignment="1">
      <alignment horizontal="right"/>
    </xf>
    <xf numFmtId="1" fontId="4" fillId="0" borderId="8" xfId="2" applyNumberFormat="1" applyFont="1" applyFill="1" applyBorder="1" applyAlignment="1">
      <alignment horizontal="right"/>
    </xf>
    <xf numFmtId="1" fontId="4" fillId="0" borderId="7" xfId="2" applyNumberFormat="1" applyFont="1" applyFill="1" applyBorder="1" applyAlignment="1">
      <alignment horizontal="right"/>
    </xf>
    <xf numFmtId="1" fontId="4" fillId="0" borderId="15" xfId="0" applyNumberFormat="1" applyFont="1" applyBorder="1" applyAlignment="1">
      <alignment horizontal="right"/>
    </xf>
    <xf numFmtId="1" fontId="4" fillId="0" borderId="11" xfId="0" applyNumberFormat="1" applyFont="1" applyBorder="1" applyAlignment="1">
      <alignment horizontal="right"/>
    </xf>
    <xf numFmtId="0" fontId="5" fillId="0" borderId="12" xfId="0" applyFont="1" applyBorder="1" applyAlignment="1">
      <alignment horizontal="right" vertical="center" wrapText="1"/>
    </xf>
    <xf numFmtId="1" fontId="5" fillId="0" borderId="2" xfId="2" applyNumberFormat="1" applyFont="1" applyFill="1" applyBorder="1" applyAlignment="1">
      <alignment horizontal="right" vertical="center"/>
    </xf>
    <xf numFmtId="1" fontId="5" fillId="0" borderId="5" xfId="2" applyNumberFormat="1" applyFont="1" applyFill="1" applyBorder="1" applyAlignment="1">
      <alignment horizontal="right"/>
    </xf>
    <xf numFmtId="1" fontId="5" fillId="0" borderId="4" xfId="2" applyNumberFormat="1" applyFont="1" applyFill="1" applyBorder="1" applyAlignment="1">
      <alignment horizontal="right"/>
    </xf>
    <xf numFmtId="1" fontId="5" fillId="0" borderId="2" xfId="0" applyNumberFormat="1" applyFont="1" applyBorder="1" applyAlignment="1">
      <alignment horizontal="right" vertical="center"/>
    </xf>
    <xf numFmtId="171" fontId="4" fillId="0" borderId="11" xfId="0" applyNumberFormat="1" applyFont="1" applyBorder="1" applyAlignment="1">
      <alignment horizontal="right" vertical="center"/>
    </xf>
    <xf numFmtId="171" fontId="29" fillId="18" borderId="4" xfId="2" applyNumberFormat="1" applyFont="1" applyFill="1" applyBorder="1" applyAlignment="1">
      <alignment horizontal="right"/>
    </xf>
    <xf numFmtId="170" fontId="4" fillId="0" borderId="0" xfId="0" applyNumberFormat="1" applyFont="1" applyAlignment="1">
      <alignment horizontal="right" vertical="center"/>
    </xf>
    <xf numFmtId="170" fontId="4" fillId="0" borderId="11" xfId="0" applyNumberFormat="1" applyFont="1" applyBorder="1" applyAlignment="1">
      <alignment horizontal="right" vertical="center"/>
    </xf>
    <xf numFmtId="171" fontId="31" fillId="22" borderId="7" xfId="2" applyNumberFormat="1" applyFont="1" applyFill="1" applyBorder="1" applyAlignment="1">
      <alignment horizontal="center" vertical="center"/>
    </xf>
    <xf numFmtId="171" fontId="31" fillId="22" borderId="0" xfId="2" applyNumberFormat="1" applyFont="1" applyFill="1" applyBorder="1" applyAlignment="1">
      <alignment horizontal="center" vertical="center"/>
    </xf>
    <xf numFmtId="171" fontId="31" fillId="22" borderId="8" xfId="2" applyNumberFormat="1" applyFont="1" applyFill="1" applyBorder="1" applyAlignment="1">
      <alignment horizontal="center" vertical="center"/>
    </xf>
    <xf numFmtId="171" fontId="9" fillId="23" borderId="2" xfId="2" applyNumberFormat="1" applyFont="1" applyFill="1" applyBorder="1" applyAlignment="1">
      <alignment horizontal="center" vertical="center"/>
    </xf>
    <xf numFmtId="171" fontId="31" fillId="22" borderId="10" xfId="2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14" xfId="0" applyFont="1" applyBorder="1" applyAlignment="1">
      <alignment horizontal="right" vertical="center"/>
    </xf>
    <xf numFmtId="171" fontId="9" fillId="25" borderId="2" xfId="2" applyNumberFormat="1" applyFont="1" applyFill="1" applyBorder="1" applyAlignment="1">
      <alignment horizontal="center" vertical="center"/>
    </xf>
    <xf numFmtId="171" fontId="31" fillId="24" borderId="2" xfId="2" applyNumberFormat="1" applyFont="1" applyFill="1" applyBorder="1" applyAlignment="1">
      <alignment horizontal="center" vertical="center"/>
    </xf>
    <xf numFmtId="171" fontId="31" fillId="22" borderId="12" xfId="2" applyNumberFormat="1" applyFont="1" applyFill="1" applyBorder="1" applyAlignment="1">
      <alignment horizontal="center" vertical="center"/>
    </xf>
    <xf numFmtId="171" fontId="31" fillId="22" borderId="1" xfId="2" applyNumberFormat="1" applyFont="1" applyFill="1" applyBorder="1" applyAlignment="1">
      <alignment horizontal="center" vertical="center"/>
    </xf>
    <xf numFmtId="171" fontId="31" fillId="22" borderId="14" xfId="2" applyNumberFormat="1" applyFont="1" applyFill="1" applyBorder="1" applyAlignment="1">
      <alignment horizontal="center" vertical="center"/>
    </xf>
    <xf numFmtId="10" fontId="4" fillId="0" borderId="1" xfId="1" applyNumberFormat="1" applyFont="1" applyFill="1" applyBorder="1" applyAlignment="1">
      <alignment horizontal="center" vertical="center"/>
    </xf>
    <xf numFmtId="10" fontId="4" fillId="0" borderId="14" xfId="1" applyNumberFormat="1" applyFont="1" applyFill="1" applyBorder="1" applyAlignment="1">
      <alignment horizontal="center" vertical="center"/>
    </xf>
    <xf numFmtId="0" fontId="4" fillId="16" borderId="0" xfId="0" applyFont="1" applyFill="1" applyAlignment="1">
      <alignment horizontal="left"/>
    </xf>
    <xf numFmtId="170" fontId="4" fillId="16" borderId="0" xfId="0" applyNumberFormat="1" applyFont="1" applyFill="1" applyAlignment="1">
      <alignment horizontal="center" vertical="center"/>
    </xf>
    <xf numFmtId="0" fontId="5" fillId="0" borderId="11" xfId="0" applyFont="1" applyBorder="1" applyAlignment="1">
      <alignment horizontal="right" vertical="center"/>
    </xf>
    <xf numFmtId="171" fontId="5" fillId="0" borderId="11" xfId="2" applyNumberFormat="1" applyFont="1" applyFill="1" applyBorder="1" applyAlignment="1">
      <alignment horizontal="right" vertical="center"/>
    </xf>
    <xf numFmtId="0" fontId="5" fillId="0" borderId="11" xfId="3" applyFont="1" applyFill="1" applyBorder="1" applyAlignment="1">
      <alignment horizontal="right" vertical="center"/>
    </xf>
    <xf numFmtId="171" fontId="5" fillId="0" borderId="11" xfId="3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horizontal="right"/>
    </xf>
    <xf numFmtId="171" fontId="5" fillId="0" borderId="11" xfId="0" applyNumberFormat="1" applyFont="1" applyBorder="1" applyAlignment="1">
      <alignment horizontal="right"/>
    </xf>
    <xf numFmtId="0" fontId="4" fillId="0" borderId="11" xfId="0" applyFont="1" applyBorder="1" applyAlignment="1">
      <alignment horizontal="right" vertical="center"/>
    </xf>
    <xf numFmtId="0" fontId="4" fillId="0" borderId="11" xfId="0" applyFont="1" applyBorder="1" applyAlignment="1">
      <alignment horizontal="right"/>
    </xf>
    <xf numFmtId="171" fontId="4" fillId="0" borderId="11" xfId="2" applyNumberFormat="1" applyFont="1" applyFill="1" applyBorder="1" applyAlignment="1">
      <alignment horizontal="right"/>
    </xf>
    <xf numFmtId="170" fontId="4" fillId="0" borderId="11" xfId="0" applyNumberFormat="1" applyFont="1" applyBorder="1" applyAlignment="1">
      <alignment horizontal="right"/>
    </xf>
    <xf numFmtId="0" fontId="5" fillId="0" borderId="2" xfId="0" applyFont="1" applyBorder="1" applyAlignment="1">
      <alignment horizontal="right" vertical="center" wrapText="1"/>
    </xf>
    <xf numFmtId="1" fontId="5" fillId="0" borderId="2" xfId="2" applyNumberFormat="1" applyFont="1" applyFill="1" applyBorder="1" applyAlignment="1">
      <alignment horizontal="right"/>
    </xf>
    <xf numFmtId="0" fontId="5" fillId="0" borderId="6" xfId="0" applyFont="1" applyBorder="1" applyAlignment="1">
      <alignment horizontal="right" vertical="center" wrapText="1"/>
    </xf>
    <xf numFmtId="171" fontId="5" fillId="0" borderId="6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right"/>
    </xf>
    <xf numFmtId="171" fontId="5" fillId="0" borderId="6" xfId="2" applyNumberFormat="1" applyFont="1" applyFill="1" applyBorder="1" applyAlignment="1">
      <alignment horizontal="right" vertical="center"/>
    </xf>
    <xf numFmtId="1" fontId="5" fillId="0" borderId="6" xfId="2" applyNumberFormat="1" applyFont="1" applyFill="1" applyBorder="1" applyAlignment="1">
      <alignment horizontal="right"/>
    </xf>
    <xf numFmtId="0" fontId="5" fillId="16" borderId="0" xfId="0" applyFont="1" applyFill="1"/>
    <xf numFmtId="171" fontId="5" fillId="16" borderId="0" xfId="0" applyNumberFormat="1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/>
    </xf>
    <xf numFmtId="0" fontId="5" fillId="16" borderId="0" xfId="0" applyFont="1" applyFill="1" applyAlignment="1">
      <alignment vertical="center"/>
    </xf>
    <xf numFmtId="0" fontId="16" fillId="18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171" fontId="4" fillId="0" borderId="11" xfId="0" applyNumberFormat="1" applyFont="1" applyBorder="1" applyAlignment="1">
      <alignment horizontal="left" vertical="center"/>
    </xf>
    <xf numFmtId="171" fontId="4" fillId="0" borderId="15" xfId="0" applyNumberFormat="1" applyFont="1" applyBorder="1" applyAlignment="1">
      <alignment horizontal="right" vertical="center"/>
    </xf>
    <xf numFmtId="172" fontId="4" fillId="0" borderId="15" xfId="0" applyNumberFormat="1" applyFont="1" applyBorder="1" applyAlignment="1">
      <alignment horizontal="right" vertical="center"/>
    </xf>
    <xf numFmtId="1" fontId="4" fillId="0" borderId="15" xfId="0" applyNumberFormat="1" applyFont="1" applyBorder="1" applyAlignment="1">
      <alignment horizontal="right" vertical="center"/>
    </xf>
    <xf numFmtId="172" fontId="4" fillId="0" borderId="10" xfId="0" applyNumberFormat="1" applyFont="1" applyBorder="1" applyAlignment="1">
      <alignment horizontal="right" vertical="center"/>
    </xf>
    <xf numFmtId="1" fontId="4" fillId="0" borderId="15" xfId="2" applyNumberFormat="1" applyFont="1" applyFill="1" applyBorder="1" applyAlignment="1">
      <alignment horizontal="right" vertical="center"/>
    </xf>
    <xf numFmtId="172" fontId="4" fillId="0" borderId="11" xfId="0" applyNumberFormat="1" applyFont="1" applyBorder="1" applyAlignment="1">
      <alignment horizontal="right" vertical="center"/>
    </xf>
    <xf numFmtId="1" fontId="4" fillId="0" borderId="11" xfId="0" applyNumberFormat="1" applyFont="1" applyBorder="1" applyAlignment="1">
      <alignment horizontal="right" vertical="center"/>
    </xf>
    <xf numFmtId="172" fontId="4" fillId="0" borderId="8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wrapText="1"/>
    </xf>
    <xf numFmtId="171" fontId="5" fillId="0" borderId="7" xfId="2" applyNumberFormat="1" applyFont="1" applyFill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10" fontId="4" fillId="0" borderId="6" xfId="1" applyNumberFormat="1" applyFont="1" applyFill="1" applyBorder="1" applyAlignment="1">
      <alignment horizontal="right" vertical="center"/>
    </xf>
    <xf numFmtId="171" fontId="4" fillId="0" borderId="6" xfId="0" applyNumberFormat="1" applyFont="1" applyBorder="1" applyAlignment="1">
      <alignment horizontal="left" vertical="center"/>
    </xf>
    <xf numFmtId="171" fontId="4" fillId="0" borderId="6" xfId="0" applyNumberFormat="1" applyFont="1" applyBorder="1" applyAlignment="1">
      <alignment horizontal="right" vertical="center"/>
    </xf>
    <xf numFmtId="172" fontId="4" fillId="0" borderId="6" xfId="0" applyNumberFormat="1" applyFont="1" applyBorder="1" applyAlignment="1">
      <alignment horizontal="right" vertical="center"/>
    </xf>
    <xf numFmtId="1" fontId="4" fillId="0" borderId="6" xfId="0" applyNumberFormat="1" applyFont="1" applyBorder="1" applyAlignment="1">
      <alignment horizontal="right" vertical="center"/>
    </xf>
    <xf numFmtId="172" fontId="4" fillId="0" borderId="14" xfId="0" applyNumberFormat="1" applyFont="1" applyBorder="1" applyAlignment="1">
      <alignment horizontal="right" vertical="center"/>
    </xf>
    <xf numFmtId="0" fontId="17" fillId="18" borderId="10" xfId="0" applyFont="1" applyFill="1" applyBorder="1" applyAlignment="1">
      <alignment horizontal="center" vertical="center" wrapText="1"/>
    </xf>
    <xf numFmtId="171" fontId="17" fillId="18" borderId="5" xfId="0" applyNumberFormat="1" applyFont="1" applyFill="1" applyBorder="1" applyAlignment="1">
      <alignment horizontal="center" vertical="center" wrapText="1"/>
    </xf>
    <xf numFmtId="171" fontId="4" fillId="0" borderId="15" xfId="0" applyNumberFormat="1" applyFont="1" applyBorder="1" applyAlignment="1">
      <alignment horizontal="left" vertical="center"/>
    </xf>
    <xf numFmtId="171" fontId="4" fillId="0" borderId="15" xfId="0" applyNumberFormat="1" applyFont="1" applyBorder="1" applyAlignment="1">
      <alignment horizontal="center" vertical="center"/>
    </xf>
    <xf numFmtId="172" fontId="4" fillId="0" borderId="15" xfId="0" applyNumberFormat="1" applyFont="1" applyBorder="1" applyAlignment="1">
      <alignment horizontal="right"/>
    </xf>
    <xf numFmtId="172" fontId="4" fillId="0" borderId="10" xfId="2" applyNumberFormat="1" applyFont="1" applyFill="1" applyBorder="1" applyAlignment="1">
      <alignment horizontal="right" vertical="center"/>
    </xf>
    <xf numFmtId="171" fontId="4" fillId="0" borderId="11" xfId="0" applyNumberFormat="1" applyFont="1" applyBorder="1" applyAlignment="1">
      <alignment horizontal="center" vertical="center"/>
    </xf>
    <xf numFmtId="172" fontId="4" fillId="0" borderId="11" xfId="0" applyNumberFormat="1" applyFont="1" applyBorder="1" applyAlignment="1">
      <alignment horizontal="right"/>
    </xf>
    <xf numFmtId="171" fontId="4" fillId="0" borderId="6" xfId="0" applyNumberFormat="1" applyFont="1" applyBorder="1" applyAlignment="1">
      <alignment horizontal="center" vertical="center"/>
    </xf>
    <xf numFmtId="171" fontId="4" fillId="0" borderId="6" xfId="0" applyNumberFormat="1" applyFont="1" applyBorder="1" applyAlignment="1">
      <alignment horizontal="right"/>
    </xf>
    <xf numFmtId="171" fontId="4" fillId="0" borderId="12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right"/>
    </xf>
    <xf numFmtId="172" fontId="4" fillId="0" borderId="6" xfId="0" applyNumberFormat="1" applyFont="1" applyBorder="1" applyAlignment="1">
      <alignment horizontal="right"/>
    </xf>
    <xf numFmtId="171" fontId="4" fillId="16" borderId="0" xfId="0" applyNumberFormat="1" applyFont="1" applyFill="1" applyAlignment="1">
      <alignment horizontal="center" vertical="center"/>
    </xf>
    <xf numFmtId="171" fontId="4" fillId="16" borderId="0" xfId="0" applyNumberFormat="1" applyFont="1" applyFill="1"/>
    <xf numFmtId="172" fontId="4" fillId="16" borderId="0" xfId="0" applyNumberFormat="1" applyFont="1" applyFill="1" applyAlignment="1">
      <alignment horizontal="center" vertical="center"/>
    </xf>
    <xf numFmtId="172" fontId="4" fillId="16" borderId="0" xfId="0" applyNumberFormat="1" applyFont="1" applyFill="1"/>
    <xf numFmtId="0" fontId="30" fillId="16" borderId="12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9" fontId="4" fillId="0" borderId="8" xfId="1" applyFont="1" applyFill="1" applyBorder="1" applyAlignment="1">
      <alignment horizontal="right" vertical="center"/>
    </xf>
    <xf numFmtId="0" fontId="17" fillId="18" borderId="13" xfId="0" applyFont="1" applyFill="1" applyBorder="1" applyAlignment="1">
      <alignment horizontal="center" vertical="center" wrapText="1"/>
    </xf>
    <xf numFmtId="2" fontId="4" fillId="0" borderId="15" xfId="0" applyNumberFormat="1" applyFont="1" applyBorder="1" applyAlignment="1">
      <alignment horizontal="right" vertical="center"/>
    </xf>
    <xf numFmtId="2" fontId="4" fillId="0" borderId="15" xfId="0" applyNumberFormat="1" applyFont="1" applyBorder="1" applyAlignment="1">
      <alignment horizontal="right"/>
    </xf>
    <xf numFmtId="0" fontId="5" fillId="0" borderId="7" xfId="0" applyFont="1" applyBorder="1"/>
    <xf numFmtId="171" fontId="5" fillId="0" borderId="7" xfId="0" applyNumberFormat="1" applyFont="1" applyBorder="1" applyAlignment="1">
      <alignment horizontal="right" vertical="center"/>
    </xf>
    <xf numFmtId="171" fontId="5" fillId="0" borderId="11" xfId="0" applyNumberFormat="1" applyFont="1" applyBorder="1" applyAlignment="1">
      <alignment horizontal="right" vertical="center"/>
    </xf>
    <xf numFmtId="171" fontId="5" fillId="0" borderId="8" xfId="0" applyNumberFormat="1" applyFont="1" applyBorder="1" applyAlignment="1">
      <alignment horizontal="right" vertical="center"/>
    </xf>
    <xf numFmtId="0" fontId="4" fillId="0" borderId="7" xfId="0" applyFont="1" applyBorder="1" applyAlignment="1">
      <alignment wrapText="1"/>
    </xf>
    <xf numFmtId="0" fontId="4" fillId="0" borderId="6" xfId="0" applyFont="1" applyBorder="1" applyAlignment="1">
      <alignment horizontal="right" vertical="center"/>
    </xf>
    <xf numFmtId="10" fontId="4" fillId="0" borderId="6" xfId="0" applyNumberFormat="1" applyFont="1" applyBorder="1" applyAlignment="1">
      <alignment horizontal="right" vertical="center"/>
    </xf>
    <xf numFmtId="10" fontId="4" fillId="0" borderId="14" xfId="0" applyNumberFormat="1" applyFont="1" applyBorder="1" applyAlignment="1">
      <alignment horizontal="right" vertical="center"/>
    </xf>
    <xf numFmtId="9" fontId="4" fillId="0" borderId="8" xfId="1" applyFont="1" applyFill="1" applyBorder="1" applyAlignment="1">
      <alignment horizontal="right"/>
    </xf>
    <xf numFmtId="171" fontId="5" fillId="0" borderId="2" xfId="2" applyNumberFormat="1" applyFont="1" applyFill="1" applyBorder="1" applyAlignment="1">
      <alignment horizontal="right" vertical="center"/>
    </xf>
    <xf numFmtId="0" fontId="5" fillId="0" borderId="4" xfId="0" applyFont="1" applyBorder="1" applyAlignment="1">
      <alignment horizontal="right" vertical="center" wrapText="1"/>
    </xf>
    <xf numFmtId="2" fontId="4" fillId="0" borderId="7" xfId="0" applyNumberFormat="1" applyFont="1" applyBorder="1" applyAlignment="1">
      <alignment horizontal="left" vertical="center" wrapText="1"/>
    </xf>
    <xf numFmtId="10" fontId="4" fillId="0" borderId="10" xfId="1" applyNumberFormat="1" applyFont="1" applyFill="1" applyBorder="1" applyAlignment="1">
      <alignment horizontal="right" vertical="center"/>
    </xf>
    <xf numFmtId="0" fontId="27" fillId="0" borderId="7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3" fillId="0" borderId="4" xfId="0" applyFont="1" applyBorder="1"/>
    <xf numFmtId="0" fontId="2" fillId="0" borderId="3" xfId="0" applyFont="1" applyBorder="1"/>
    <xf numFmtId="0" fontId="2" fillId="0" borderId="5" xfId="0" applyFont="1" applyBorder="1"/>
    <xf numFmtId="0" fontId="0" fillId="0" borderId="7" xfId="0" applyBorder="1"/>
    <xf numFmtId="0" fontId="0" fillId="0" borderId="12" xfId="0" applyBorder="1"/>
    <xf numFmtId="0" fontId="0" fillId="0" borderId="1" xfId="0" applyBorder="1"/>
    <xf numFmtId="0" fontId="0" fillId="0" borderId="14" xfId="0" applyBorder="1"/>
    <xf numFmtId="4" fontId="0" fillId="4" borderId="0" xfId="0" applyNumberFormat="1" applyFill="1" applyAlignment="1">
      <alignment horizontal="center" vertical="center" wrapText="1"/>
    </xf>
    <xf numFmtId="4" fontId="0" fillId="17" borderId="0" xfId="0" applyNumberFormat="1" applyFill="1" applyAlignment="1">
      <alignment horizontal="center" vertical="center" wrapText="1"/>
    </xf>
    <xf numFmtId="4" fontId="0" fillId="17" borderId="1" xfId="0" applyNumberForma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vertical="center"/>
    </xf>
    <xf numFmtId="0" fontId="16" fillId="3" borderId="6" xfId="0" applyFont="1" applyFill="1" applyBorder="1" applyAlignment="1">
      <alignment vertical="center"/>
    </xf>
    <xf numFmtId="0" fontId="16" fillId="3" borderId="9" xfId="0" applyFont="1" applyFill="1" applyBorder="1" applyAlignment="1">
      <alignment vertical="center"/>
    </xf>
    <xf numFmtId="0" fontId="16" fillId="3" borderId="12" xfId="0" applyFont="1" applyFill="1" applyBorder="1" applyAlignment="1">
      <alignment vertical="center"/>
    </xf>
    <xf numFmtId="0" fontId="16" fillId="3" borderId="7" xfId="0" applyFont="1" applyFill="1" applyBorder="1" applyAlignment="1">
      <alignment vertical="center"/>
    </xf>
    <xf numFmtId="0" fontId="16" fillId="3" borderId="4" xfId="0" applyFont="1" applyFill="1" applyBorder="1" applyAlignment="1">
      <alignment vertical="center"/>
    </xf>
    <xf numFmtId="0" fontId="16" fillId="3" borderId="5" xfId="0" applyFont="1" applyFill="1" applyBorder="1" applyAlignment="1">
      <alignment vertical="center"/>
    </xf>
    <xf numFmtId="0" fontId="4" fillId="16" borderId="9" xfId="0" applyFont="1" applyFill="1" applyBorder="1" applyAlignment="1">
      <alignment vertical="center"/>
    </xf>
    <xf numFmtId="0" fontId="4" fillId="16" borderId="7" xfId="0" applyFont="1" applyFill="1" applyBorder="1" applyAlignment="1">
      <alignment vertical="center"/>
    </xf>
    <xf numFmtId="0" fontId="4" fillId="16" borderId="12" xfId="0" applyFont="1" applyFill="1" applyBorder="1" applyAlignment="1">
      <alignment vertical="center"/>
    </xf>
    <xf numFmtId="171" fontId="4" fillId="0" borderId="11" xfId="0" applyNumberFormat="1" applyFont="1" applyBorder="1"/>
    <xf numFmtId="171" fontId="4" fillId="0" borderId="6" xfId="0" applyNumberFormat="1" applyFont="1" applyBorder="1"/>
    <xf numFmtId="0" fontId="16" fillId="3" borderId="2" xfId="0" applyFont="1" applyFill="1" applyBorder="1" applyAlignment="1">
      <alignment vertical="center"/>
    </xf>
    <xf numFmtId="0" fontId="5" fillId="16" borderId="18" xfId="0" applyFont="1" applyFill="1" applyBorder="1"/>
    <xf numFmtId="0" fontId="16" fillId="3" borderId="48" xfId="0" applyFont="1" applyFill="1" applyBorder="1" applyAlignment="1">
      <alignment horizontal="right"/>
    </xf>
    <xf numFmtId="0" fontId="16" fillId="0" borderId="0" xfId="0" applyFont="1" applyAlignment="1">
      <alignment horizontal="right"/>
    </xf>
    <xf numFmtId="43" fontId="16" fillId="0" borderId="0" xfId="0" applyNumberFormat="1" applyFont="1"/>
    <xf numFmtId="0" fontId="4" fillId="16" borderId="32" xfId="0" applyFont="1" applyFill="1" applyBorder="1"/>
    <xf numFmtId="0" fontId="5" fillId="18" borderId="5" xfId="0" applyFont="1" applyFill="1" applyBorder="1" applyAlignment="1">
      <alignment vertical="center"/>
    </xf>
    <xf numFmtId="1" fontId="4" fillId="0" borderId="0" xfId="0" applyNumberFormat="1" applyFont="1" applyAlignment="1">
      <alignment horizontal="right" vertical="center"/>
    </xf>
    <xf numFmtId="0" fontId="21" fillId="0" borderId="0" xfId="0" applyFont="1"/>
    <xf numFmtId="171" fontId="5" fillId="0" borderId="0" xfId="0" applyNumberFormat="1" applyFont="1" applyAlignment="1">
      <alignment horizontal="right" vertical="center"/>
    </xf>
    <xf numFmtId="0" fontId="5" fillId="18" borderId="2" xfId="0" applyFont="1" applyFill="1" applyBorder="1" applyAlignment="1">
      <alignment vertical="center"/>
    </xf>
    <xf numFmtId="0" fontId="5" fillId="18" borderId="3" xfId="0" applyFont="1" applyFill="1" applyBorder="1" applyAlignment="1">
      <alignment vertical="center"/>
    </xf>
    <xf numFmtId="171" fontId="5" fillId="0" borderId="2" xfId="0" applyNumberFormat="1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10" fontId="4" fillId="0" borderId="11" xfId="1" applyNumberFormat="1" applyFont="1" applyFill="1" applyBorder="1" applyAlignment="1">
      <alignment horizontal="right"/>
    </xf>
    <xf numFmtId="10" fontId="4" fillId="0" borderId="6" xfId="1" applyNumberFormat="1" applyFont="1" applyFill="1" applyBorder="1" applyAlignment="1">
      <alignment horizontal="right"/>
    </xf>
    <xf numFmtId="10" fontId="4" fillId="0" borderId="11" xfId="1" applyNumberFormat="1" applyFont="1" applyBorder="1" applyAlignment="1">
      <alignment horizontal="right"/>
    </xf>
    <xf numFmtId="10" fontId="4" fillId="0" borderId="6" xfId="1" applyNumberFormat="1" applyFont="1" applyBorder="1" applyAlignment="1">
      <alignment horizontal="right"/>
    </xf>
    <xf numFmtId="10" fontId="4" fillId="11" borderId="2" xfId="1" applyNumberFormat="1" applyFont="1" applyFill="1" applyBorder="1" applyAlignment="1">
      <alignment horizontal="center"/>
    </xf>
    <xf numFmtId="10" fontId="4" fillId="0" borderId="2" xfId="1" applyNumberFormat="1" applyFont="1" applyFill="1" applyBorder="1" applyAlignment="1">
      <alignment horizontal="center"/>
    </xf>
    <xf numFmtId="10" fontId="4" fillId="4" borderId="2" xfId="1" applyNumberFormat="1" applyFont="1" applyFill="1" applyBorder="1" applyAlignment="1">
      <alignment horizontal="center"/>
    </xf>
    <xf numFmtId="10" fontId="4" fillId="6" borderId="2" xfId="1" applyNumberFormat="1" applyFont="1" applyFill="1" applyBorder="1" applyAlignment="1">
      <alignment horizontal="center"/>
    </xf>
    <xf numFmtId="10" fontId="4" fillId="12" borderId="2" xfId="1" applyNumberFormat="1" applyFont="1" applyFill="1" applyBorder="1" applyAlignment="1">
      <alignment horizontal="center"/>
    </xf>
    <xf numFmtId="10" fontId="4" fillId="9" borderId="2" xfId="1" applyNumberFormat="1" applyFont="1" applyFill="1" applyBorder="1" applyAlignment="1">
      <alignment horizontal="center"/>
    </xf>
    <xf numFmtId="10" fontId="4" fillId="5" borderId="2" xfId="1" applyNumberFormat="1" applyFont="1" applyFill="1" applyBorder="1" applyAlignment="1">
      <alignment horizontal="center"/>
    </xf>
    <xf numFmtId="10" fontId="4" fillId="10" borderId="2" xfId="1" applyNumberFormat="1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9" xfId="0" applyBorder="1"/>
    <xf numFmtId="0" fontId="0" fillId="0" borderId="13" xfId="0" applyBorder="1"/>
    <xf numFmtId="0" fontId="0" fillId="0" borderId="10" xfId="0" applyBorder="1"/>
    <xf numFmtId="43" fontId="4" fillId="12" borderId="36" xfId="0" applyNumberFormat="1" applyFont="1" applyFill="1" applyBorder="1"/>
    <xf numFmtId="0" fontId="4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7" fillId="0" borderId="9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10" fontId="20" fillId="0" borderId="46" xfId="1" applyNumberFormat="1" applyFont="1" applyBorder="1" applyAlignment="1">
      <alignment horizontal="center"/>
    </xf>
    <xf numFmtId="0" fontId="11" fillId="8" borderId="2" xfId="0" applyFont="1" applyFill="1" applyBorder="1" applyAlignment="1">
      <alignment horizontal="center"/>
    </xf>
    <xf numFmtId="0" fontId="11" fillId="3" borderId="2" xfId="0" applyFont="1" applyFill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16" fillId="3" borderId="2" xfId="1" applyNumberFormat="1" applyFont="1" applyFill="1" applyBorder="1" applyAlignment="1">
      <alignment horizontal="left" vertical="center" wrapText="1"/>
    </xf>
    <xf numFmtId="10" fontId="14" fillId="0" borderId="46" xfId="1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8" fillId="0" borderId="46" xfId="0" applyFont="1" applyBorder="1" applyAlignment="1">
      <alignment horizontal="center"/>
    </xf>
    <xf numFmtId="0" fontId="9" fillId="18" borderId="4" xfId="0" applyFont="1" applyFill="1" applyBorder="1" applyAlignment="1">
      <alignment horizontal="center"/>
    </xf>
    <xf numFmtId="0" fontId="9" fillId="18" borderId="3" xfId="0" applyFont="1" applyFill="1" applyBorder="1" applyAlignment="1">
      <alignment horizontal="center"/>
    </xf>
    <xf numFmtId="0" fontId="9" fillId="18" borderId="5" xfId="0" applyFont="1" applyFill="1" applyBorder="1" applyAlignment="1">
      <alignment horizontal="center"/>
    </xf>
    <xf numFmtId="0" fontId="4" fillId="16" borderId="7" xfId="0" applyFont="1" applyFill="1" applyBorder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17" fillId="17" borderId="12" xfId="0" applyFont="1" applyFill="1" applyBorder="1" applyAlignment="1">
      <alignment horizontal="left" vertical="center"/>
    </xf>
    <xf numFmtId="0" fontId="17" fillId="17" borderId="1" xfId="0" applyFont="1" applyFill="1" applyBorder="1" applyAlignment="1">
      <alignment horizontal="left" vertical="center"/>
    </xf>
    <xf numFmtId="0" fontId="9" fillId="3" borderId="7" xfId="3" applyFont="1" applyFill="1" applyBorder="1" applyAlignment="1">
      <alignment horizontal="center" vertical="center"/>
    </xf>
    <xf numFmtId="0" fontId="9" fillId="3" borderId="8" xfId="3" applyFont="1" applyFill="1" applyBorder="1" applyAlignment="1">
      <alignment horizontal="center" vertical="center"/>
    </xf>
    <xf numFmtId="0" fontId="9" fillId="3" borderId="9" xfId="3" applyFont="1" applyFill="1" applyBorder="1" applyAlignment="1">
      <alignment horizontal="center" vertical="center"/>
    </xf>
    <xf numFmtId="0" fontId="9" fillId="3" borderId="10" xfId="3" applyFont="1" applyFill="1" applyBorder="1" applyAlignment="1">
      <alignment horizontal="center" vertical="center"/>
    </xf>
    <xf numFmtId="0" fontId="9" fillId="3" borderId="0" xfId="3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0" fontId="16" fillId="3" borderId="0" xfId="0" applyFont="1" applyFill="1" applyAlignment="1">
      <alignment horizontal="center"/>
    </xf>
    <xf numFmtId="2" fontId="9" fillId="3" borderId="6" xfId="0" applyNumberFormat="1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2" fontId="9" fillId="3" borderId="25" xfId="0" applyNumberFormat="1" applyFont="1" applyFill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2" fontId="9" fillId="3" borderId="14" xfId="0" applyNumberFormat="1" applyFont="1" applyFill="1" applyBorder="1" applyAlignment="1">
      <alignment horizontal="center"/>
    </xf>
    <xf numFmtId="0" fontId="9" fillId="3" borderId="24" xfId="0" applyFont="1" applyFill="1" applyBorder="1" applyAlignment="1">
      <alignment horizontal="center"/>
    </xf>
    <xf numFmtId="2" fontId="9" fillId="3" borderId="37" xfId="0" applyNumberFormat="1" applyFont="1" applyFill="1" applyBorder="1" applyAlignment="1">
      <alignment horizontal="center"/>
    </xf>
    <xf numFmtId="2" fontId="9" fillId="3" borderId="35" xfId="0" applyNumberFormat="1" applyFont="1" applyFill="1" applyBorder="1" applyAlignment="1">
      <alignment horizontal="center"/>
    </xf>
    <xf numFmtId="2" fontId="9" fillId="3" borderId="38" xfId="0" applyNumberFormat="1" applyFont="1" applyFill="1" applyBorder="1" applyAlignment="1">
      <alignment horizontal="center"/>
    </xf>
    <xf numFmtId="2" fontId="9" fillId="3" borderId="33" xfId="0" applyNumberFormat="1" applyFont="1" applyFill="1" applyBorder="1" applyAlignment="1">
      <alignment horizontal="center"/>
    </xf>
    <xf numFmtId="0" fontId="9" fillId="3" borderId="33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2" fontId="9" fillId="3" borderId="41" xfId="0" applyNumberFormat="1" applyFont="1" applyFill="1" applyBorder="1" applyAlignment="1">
      <alignment horizontal="center"/>
    </xf>
    <xf numFmtId="0" fontId="9" fillId="3" borderId="41" xfId="0" applyFont="1" applyFill="1" applyBorder="1" applyAlignment="1">
      <alignment horizontal="center"/>
    </xf>
    <xf numFmtId="0" fontId="9" fillId="3" borderId="39" xfId="0" applyFont="1" applyFill="1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21" fillId="3" borderId="4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/>
    </xf>
    <xf numFmtId="0" fontId="16" fillId="3" borderId="10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21" fillId="3" borderId="17" xfId="0" applyFont="1" applyFill="1" applyBorder="1" applyAlignment="1">
      <alignment horizontal="center"/>
    </xf>
    <xf numFmtId="0" fontId="21" fillId="3" borderId="44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18" borderId="4" xfId="0" applyFont="1" applyFill="1" applyBorder="1" applyAlignment="1">
      <alignment horizontal="center" vertical="center"/>
    </xf>
    <xf numFmtId="0" fontId="16" fillId="18" borderId="5" xfId="0" applyFont="1" applyFill="1" applyBorder="1" applyAlignment="1">
      <alignment horizontal="center" vertical="center"/>
    </xf>
    <xf numFmtId="0" fontId="4" fillId="16" borderId="50" xfId="0" applyFont="1" applyFill="1" applyBorder="1" applyAlignment="1">
      <alignment horizontal="center"/>
    </xf>
    <xf numFmtId="0" fontId="4" fillId="16" borderId="49" xfId="0" applyFont="1" applyFill="1" applyBorder="1" applyAlignment="1">
      <alignment horizontal="center"/>
    </xf>
    <xf numFmtId="0" fontId="11" fillId="3" borderId="42" xfId="0" applyFont="1" applyFill="1" applyBorder="1" applyAlignment="1">
      <alignment horizontal="center"/>
    </xf>
    <xf numFmtId="0" fontId="16" fillId="3" borderId="47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0" xfId="0" applyFont="1" applyFill="1" applyBorder="1"/>
    <xf numFmtId="0" fontId="16" fillId="3" borderId="12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9" fillId="3" borderId="0" xfId="0" applyFont="1" applyFill="1"/>
    <xf numFmtId="0" fontId="9" fillId="3" borderId="0" xfId="0" applyFont="1" applyFill="1" applyAlignment="1">
      <alignment horizontal="center" vertical="center"/>
    </xf>
    <xf numFmtId="0" fontId="16" fillId="3" borderId="3" xfId="3" applyFont="1" applyFill="1" applyBorder="1" applyAlignment="1">
      <alignment horizontal="center" vertical="center"/>
    </xf>
    <xf numFmtId="0" fontId="16" fillId="3" borderId="4" xfId="3" applyFont="1" applyFill="1" applyBorder="1" applyAlignment="1">
      <alignment horizontal="center" vertical="center"/>
    </xf>
    <xf numFmtId="0" fontId="16" fillId="3" borderId="5" xfId="3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21" fillId="3" borderId="4" xfId="0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/>
    </xf>
    <xf numFmtId="0" fontId="21" fillId="3" borderId="5" xfId="0" applyFont="1" applyFill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0" fillId="0" borderId="45" xfId="0" applyFont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20" fillId="0" borderId="46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171" fontId="29" fillId="18" borderId="3" xfId="2" applyNumberFormat="1" applyFont="1" applyFill="1" applyBorder="1" applyAlignment="1">
      <alignment horizontal="right"/>
    </xf>
    <xf numFmtId="171" fontId="29" fillId="18" borderId="5" xfId="2" applyNumberFormat="1" applyFont="1" applyFill="1" applyBorder="1" applyAlignment="1">
      <alignment horizontal="right"/>
    </xf>
    <xf numFmtId="0" fontId="16" fillId="3" borderId="13" xfId="0" applyFont="1" applyFill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15" xfId="3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171" fontId="16" fillId="3" borderId="15" xfId="0" applyNumberFormat="1" applyFont="1" applyFill="1" applyBorder="1" applyAlignment="1">
      <alignment horizontal="center" vertical="center"/>
    </xf>
    <xf numFmtId="171" fontId="16" fillId="3" borderId="6" xfId="0" applyNumberFormat="1" applyFont="1" applyFill="1" applyBorder="1" applyAlignment="1">
      <alignment horizontal="center" vertical="center"/>
    </xf>
    <xf numFmtId="171" fontId="16" fillId="3" borderId="15" xfId="0" applyNumberFormat="1" applyFont="1" applyFill="1" applyBorder="1" applyAlignment="1">
      <alignment horizontal="center" vertical="center" wrapText="1"/>
    </xf>
    <xf numFmtId="171" fontId="16" fillId="3" borderId="6" xfId="0" applyNumberFormat="1" applyFont="1" applyFill="1" applyBorder="1" applyAlignment="1">
      <alignment horizontal="center" vertical="center" wrapText="1"/>
    </xf>
    <xf numFmtId="171" fontId="16" fillId="3" borderId="9" xfId="0" applyNumberFormat="1" applyFont="1" applyFill="1" applyBorder="1" applyAlignment="1">
      <alignment horizontal="center" vertical="center" wrapText="1"/>
    </xf>
    <xf numFmtId="171" fontId="16" fillId="3" borderId="10" xfId="0" applyNumberFormat="1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7" fillId="18" borderId="4" xfId="0" applyFont="1" applyFill="1" applyBorder="1" applyAlignment="1">
      <alignment horizontal="center" vertical="center" wrapText="1"/>
    </xf>
    <xf numFmtId="0" fontId="17" fillId="18" borderId="10" xfId="0" applyFont="1" applyFill="1" applyBorder="1" applyAlignment="1">
      <alignment horizontal="center" vertical="center" wrapText="1"/>
    </xf>
    <xf numFmtId="0" fontId="4" fillId="16" borderId="8" xfId="0" applyFont="1" applyFill="1" applyBorder="1" applyAlignment="1">
      <alignment horizontal="left" vertical="center"/>
    </xf>
    <xf numFmtId="0" fontId="4" fillId="16" borderId="12" xfId="0" applyFont="1" applyFill="1" applyBorder="1" applyAlignment="1">
      <alignment horizontal="left" vertical="center"/>
    </xf>
    <xf numFmtId="0" fontId="4" fillId="16" borderId="14" xfId="0" applyFont="1" applyFill="1" applyBorder="1" applyAlignment="1">
      <alignment horizontal="left" vertical="center"/>
    </xf>
    <xf numFmtId="0" fontId="4" fillId="16" borderId="7" xfId="0" applyFont="1" applyFill="1" applyBorder="1" applyAlignment="1">
      <alignment horizontal="center" vertical="center" wrapText="1"/>
    </xf>
    <xf numFmtId="0" fontId="4" fillId="16" borderId="12" xfId="0" applyFont="1" applyFill="1" applyBorder="1" applyAlignment="1">
      <alignment horizontal="center" vertical="center" wrapText="1"/>
    </xf>
    <xf numFmtId="0" fontId="4" fillId="16" borderId="7" xfId="0" applyFont="1" applyFill="1" applyBorder="1" applyAlignment="1">
      <alignment horizontal="left"/>
    </xf>
    <xf numFmtId="0" fontId="4" fillId="16" borderId="8" xfId="0" applyFont="1" applyFill="1" applyBorder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</cellXfs>
  <cellStyles count="5">
    <cellStyle name="40% - Accent2" xfId="3" builtinId="35"/>
    <cellStyle name="Accent5" xfId="4" builtinId="45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BAF8E6"/>
      <color rgb="FF009999"/>
      <color rgb="FF33CCCC"/>
      <color rgb="FFECE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Equity Investments with Rebalancing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'100% Equity Investments'!$B$49</c:f>
              <c:strCache>
                <c:ptCount val="1"/>
                <c:pt idx="0">
                  <c:v>Equity Value (BDT)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'100% Equity Investments'!$C$48:$F$48</c:f>
              <c:strCache>
                <c:ptCount val="4"/>
                <c:pt idx="0">
                  <c:v>Q04 2024</c:v>
                </c:pt>
                <c:pt idx="1">
                  <c:v>Q01 2025</c:v>
                </c:pt>
                <c:pt idx="2">
                  <c:v>Q02 2025</c:v>
                </c:pt>
                <c:pt idx="3">
                  <c:v>Q03 2025</c:v>
                </c:pt>
              </c:strCache>
            </c:strRef>
          </c:cat>
          <c:val>
            <c:numRef>
              <c:f>'100% Equity Investments'!$C$49:$F$49</c:f>
              <c:numCache>
                <c:formatCode>_(* #,##0_);_(* \(#,##0\);_(* "-"??_);_(@_)</c:formatCode>
                <c:ptCount val="4"/>
                <c:pt idx="0">
                  <c:v>1000000</c:v>
                </c:pt>
                <c:pt idx="1">
                  <c:v>967866.80185884517</c:v>
                </c:pt>
                <c:pt idx="2">
                  <c:v>904122.35588907008</c:v>
                </c:pt>
                <c:pt idx="3">
                  <c:v>1006232.4133855922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0-49DC-BD30-576D8C9F66CF}"/>
            </c:ext>
          </c:extLst>
        </c:ser>
        <c:ser>
          <c:idx val="1"/>
          <c:order val="1"/>
          <c:tx>
            <c:strRef>
              <c:f>'100% Equity Investments'!$B$50</c:f>
              <c:strCache>
                <c:ptCount val="1"/>
                <c:pt idx="0">
                  <c:v>T-Bill Value (BDT)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'100% Equity Investments'!$C$48:$F$48</c:f>
              <c:strCache>
                <c:ptCount val="4"/>
                <c:pt idx="0">
                  <c:v>Q04 2024</c:v>
                </c:pt>
                <c:pt idx="1">
                  <c:v>Q01 2025</c:v>
                </c:pt>
                <c:pt idx="2">
                  <c:v>Q02 2025</c:v>
                </c:pt>
                <c:pt idx="3">
                  <c:v>Q03 2025</c:v>
                </c:pt>
              </c:strCache>
            </c:strRef>
          </c:cat>
          <c:val>
            <c:numRef>
              <c:f>'100% Equity Investments'!$C$50:$F$50</c:f>
              <c:numCache>
                <c:formatCode>0</c:formatCode>
                <c:ptCount val="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70-49DC-BD30-576D8C9F6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084160"/>
        <c:axId val="1094085600"/>
      </c:barChart>
      <c:lineChart>
        <c:grouping val="standard"/>
        <c:varyColors val="0"/>
        <c:ser>
          <c:idx val="2"/>
          <c:order val="2"/>
          <c:tx>
            <c:strRef>
              <c:f>'100% Equity Investments'!$B$52</c:f>
              <c:strCache>
                <c:ptCount val="1"/>
                <c:pt idx="0">
                  <c:v>Quarter to Quarter Return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'100% Equity Investments'!$C$48:$F$48</c:f>
              <c:strCache>
                <c:ptCount val="4"/>
                <c:pt idx="0">
                  <c:v>Q04 2024</c:v>
                </c:pt>
                <c:pt idx="1">
                  <c:v>Q01 2025</c:v>
                </c:pt>
                <c:pt idx="2">
                  <c:v>Q02 2025</c:v>
                </c:pt>
                <c:pt idx="3">
                  <c:v>Q03 2025</c:v>
                </c:pt>
              </c:strCache>
            </c:strRef>
          </c:cat>
          <c:val>
            <c:numRef>
              <c:f>'100% Equity Investments'!$C$52:$F$52</c:f>
              <c:numCache>
                <c:formatCode>0.00%</c:formatCode>
                <c:ptCount val="4"/>
                <c:pt idx="1">
                  <c:v>-0.13064321023595882</c:v>
                </c:pt>
                <c:pt idx="2">
                  <c:v>-0.27251910302026827</c:v>
                </c:pt>
                <c:pt idx="3">
                  <c:v>0.42801460212473519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70-49DC-BD30-576D8C9F6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091360"/>
        <c:axId val="1094090880"/>
      </c:lineChart>
      <c:catAx>
        <c:axId val="109408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85600"/>
        <c:crosses val="autoZero"/>
        <c:auto val="1"/>
        <c:lblAlgn val="ctr"/>
        <c:lblOffset val="100"/>
        <c:noMultiLvlLbl val="0"/>
      </c:catAx>
      <c:valAx>
        <c:axId val="1094085600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84160"/>
        <c:crosses val="autoZero"/>
        <c:crossBetween val="between"/>
      </c:valAx>
      <c:valAx>
        <c:axId val="109409088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91360"/>
        <c:crosses val="max"/>
        <c:crossBetween val="between"/>
      </c:valAx>
      <c:catAx>
        <c:axId val="10940913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4090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Equity Investments without Rebalancing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'100% Equity Investments'!$B$21</c:f>
              <c:strCache>
                <c:ptCount val="1"/>
                <c:pt idx="0">
                  <c:v>Equity Value (BDT)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'100% Equity Investments'!$C$20:$F$20</c:f>
              <c:strCache>
                <c:ptCount val="4"/>
                <c:pt idx="0">
                  <c:v>Q04 2024</c:v>
                </c:pt>
                <c:pt idx="1">
                  <c:v>Q01 2025</c:v>
                </c:pt>
                <c:pt idx="2">
                  <c:v>Q02 2025</c:v>
                </c:pt>
                <c:pt idx="3">
                  <c:v>Q03 2025</c:v>
                </c:pt>
              </c:strCache>
            </c:strRef>
          </c:cat>
          <c:val>
            <c:numRef>
              <c:f>'100% Equity Investments'!$C$21:$F$21</c:f>
              <c:numCache>
                <c:formatCode>_(* #,##0_);_(* \(#,##0\);_(* "-"??_);_(@_)</c:formatCode>
                <c:ptCount val="4"/>
                <c:pt idx="0">
                  <c:v>1000000</c:v>
                </c:pt>
                <c:pt idx="1">
                  <c:v>967866.80185884517</c:v>
                </c:pt>
                <c:pt idx="2">
                  <c:v>901391.42522877536</c:v>
                </c:pt>
                <c:pt idx="3">
                  <c:v>1001801.4583773705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A-4C0A-9C0A-18C0B0E46DA7}"/>
            </c:ext>
          </c:extLst>
        </c:ser>
        <c:ser>
          <c:idx val="1"/>
          <c:order val="1"/>
          <c:tx>
            <c:strRef>
              <c:f>'100% Equity Investments'!$B$22</c:f>
              <c:strCache>
                <c:ptCount val="1"/>
                <c:pt idx="0">
                  <c:v>T-Bill Value (BDT)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'100% Equity Investments'!$C$20:$F$20</c:f>
              <c:strCache>
                <c:ptCount val="4"/>
                <c:pt idx="0">
                  <c:v>Q04 2024</c:v>
                </c:pt>
                <c:pt idx="1">
                  <c:v>Q01 2025</c:v>
                </c:pt>
                <c:pt idx="2">
                  <c:v>Q02 2025</c:v>
                </c:pt>
                <c:pt idx="3">
                  <c:v>Q03 2025</c:v>
                </c:pt>
              </c:strCache>
            </c:strRef>
          </c:cat>
          <c:val>
            <c:numRef>
              <c:f>'100% Equity Investments'!$C$22:$F$22</c:f>
              <c:numCache>
                <c:formatCode>0</c:formatCode>
                <c:ptCount val="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4A-4C0A-9C0A-18C0B0E46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092800"/>
        <c:axId val="1094093280"/>
      </c:barChart>
      <c:lineChart>
        <c:grouping val="standard"/>
        <c:varyColors val="0"/>
        <c:ser>
          <c:idx val="2"/>
          <c:order val="2"/>
          <c:tx>
            <c:strRef>
              <c:f>'100% Equity Investments'!$B$24</c:f>
              <c:strCache>
                <c:ptCount val="1"/>
                <c:pt idx="0">
                  <c:v>Quarter to Quarter Return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'100% Equity Investments'!$C$20:$F$20</c:f>
              <c:strCache>
                <c:ptCount val="4"/>
                <c:pt idx="0">
                  <c:v>Q04 2024</c:v>
                </c:pt>
                <c:pt idx="1">
                  <c:v>Q01 2025</c:v>
                </c:pt>
                <c:pt idx="2">
                  <c:v>Q02 2025</c:v>
                </c:pt>
                <c:pt idx="3">
                  <c:v>Q03 2025</c:v>
                </c:pt>
              </c:strCache>
            </c:strRef>
          </c:cat>
          <c:val>
            <c:numRef>
              <c:f>'100% Equity Investments'!$C$24:$F$24</c:f>
              <c:numCache>
                <c:formatCode>0.00%</c:formatCode>
                <c:ptCount val="4"/>
                <c:pt idx="1">
                  <c:v>-0.13064321023595882</c:v>
                </c:pt>
                <c:pt idx="2">
                  <c:v>-0.28461951575141908</c:v>
                </c:pt>
                <c:pt idx="3">
                  <c:v>0.42246207677668868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4A-4C0A-9C0A-18C0B0E46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082240"/>
        <c:axId val="1094080800"/>
      </c:lineChart>
      <c:catAx>
        <c:axId val="109409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93280"/>
        <c:crosses val="autoZero"/>
        <c:auto val="1"/>
        <c:lblAlgn val="ctr"/>
        <c:lblOffset val="100"/>
        <c:noMultiLvlLbl val="0"/>
      </c:catAx>
      <c:valAx>
        <c:axId val="1094093280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92800"/>
        <c:crosses val="autoZero"/>
        <c:crossBetween val="between"/>
      </c:valAx>
      <c:valAx>
        <c:axId val="109408080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82240"/>
        <c:crosses val="max"/>
        <c:crossBetween val="between"/>
      </c:valAx>
      <c:catAx>
        <c:axId val="1094082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40808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50-50% Investment without Rebalancing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 Path and Others'!$B$127</c:f>
              <c:strCache>
                <c:ptCount val="1"/>
                <c:pt idx="0">
                  <c:v>Equity Investments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'Actual Path and Others'!$C$126:$F$126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Others'!$C$127:$F$127</c:f>
              <c:numCache>
                <c:formatCode>_(* #,##0_);_(* \(#,##0\);_(* "-"??_);_(@_)</c:formatCode>
                <c:ptCount val="4"/>
                <c:pt idx="0">
                  <c:v>500000</c:v>
                </c:pt>
                <c:pt idx="1">
                  <c:v>483933.40092942258</c:v>
                </c:pt>
                <c:pt idx="2">
                  <c:v>450695.71261438768</c:v>
                </c:pt>
                <c:pt idx="3">
                  <c:v>500900.72918868525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3-4D80-BD49-8D8943C89645}"/>
            </c:ext>
          </c:extLst>
        </c:ser>
        <c:ser>
          <c:idx val="1"/>
          <c:order val="1"/>
          <c:tx>
            <c:strRef>
              <c:f>'Actual Path and Others'!$B$128</c:f>
              <c:strCache>
                <c:ptCount val="1"/>
                <c:pt idx="0">
                  <c:v>T-Bill Investments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'Actual Path and Others'!$C$126:$F$126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Others'!$C$128:$F$128</c:f>
              <c:numCache>
                <c:formatCode>_(* #,##0_);_(* \(#,##0\);_(* "-"??_);_(@_)</c:formatCode>
                <c:ptCount val="4"/>
                <c:pt idx="0">
                  <c:v>500000</c:v>
                </c:pt>
                <c:pt idx="1">
                  <c:v>514550.86538461538</c:v>
                </c:pt>
                <c:pt idx="2">
                  <c:v>528445.59327707731</c:v>
                </c:pt>
                <c:pt idx="3">
                  <c:v>543936.11711990577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E3-4D80-BD49-8D8943C89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094720"/>
        <c:axId val="1094082720"/>
      </c:barChart>
      <c:lineChart>
        <c:grouping val="standard"/>
        <c:varyColors val="0"/>
        <c:ser>
          <c:idx val="2"/>
          <c:order val="2"/>
          <c:tx>
            <c:strRef>
              <c:f>'Actual Path and Others'!$B$130</c:f>
              <c:strCache>
                <c:ptCount val="1"/>
                <c:pt idx="0">
                  <c:v>Quarter to Quarter Return</c:v>
                </c:pt>
              </c:strCache>
            </c:strRef>
          </c:tx>
          <c:spPr>
            <a:ln w="28575" cap="rnd">
              <a:solidFill>
                <a:schemeClr val="accent4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'Actual Path and Others'!$C$126:$F$126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Others'!$C$130:$F$130</c:f>
              <c:numCache>
                <c:formatCode>0.00%</c:formatCode>
                <c:ptCount val="4"/>
                <c:pt idx="1">
                  <c:v>-6.0675342894399723E-3</c:v>
                </c:pt>
                <c:pt idx="2">
                  <c:v>-7.8249705308224546E-2</c:v>
                </c:pt>
                <c:pt idx="3">
                  <c:v>0.2597602207703727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E3-4D80-BD49-8D8943C89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090400"/>
        <c:axId val="1094093760"/>
      </c:lineChart>
      <c:catAx>
        <c:axId val="109409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82720"/>
        <c:crosses val="autoZero"/>
        <c:auto val="1"/>
        <c:lblAlgn val="ctr"/>
        <c:lblOffset val="100"/>
        <c:noMultiLvlLbl val="0"/>
      </c:catAx>
      <c:valAx>
        <c:axId val="1094082720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94720"/>
        <c:crosses val="autoZero"/>
        <c:crossBetween val="between"/>
      </c:valAx>
      <c:valAx>
        <c:axId val="10940937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90400"/>
        <c:crosses val="max"/>
        <c:crossBetween val="between"/>
      </c:valAx>
      <c:catAx>
        <c:axId val="1094090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4093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50-50% Investment with Rebalancing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 Path and Others'!$B$156</c:f>
              <c:strCache>
                <c:ptCount val="1"/>
                <c:pt idx="0">
                  <c:v>Equity Investments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'Actual Path and Others'!$C$155:$F$155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Others'!$C$156:$F$156</c:f>
              <c:numCache>
                <c:formatCode>_(* #,##0_);_(* \(#,##0\);_(* "-"??_);_(@_)</c:formatCode>
                <c:ptCount val="4"/>
                <c:pt idx="0">
                  <c:v>500000</c:v>
                </c:pt>
                <c:pt idx="1">
                  <c:v>483933.40092942258</c:v>
                </c:pt>
                <c:pt idx="2">
                  <c:v>466361.66538837232</c:v>
                </c:pt>
                <c:pt idx="3">
                  <c:v>544830.68158832216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7-4F56-9FF4-DE9CDB70481C}"/>
            </c:ext>
          </c:extLst>
        </c:ser>
        <c:ser>
          <c:idx val="1"/>
          <c:order val="1"/>
          <c:tx>
            <c:strRef>
              <c:f>'Actual Path and Others'!$B$157</c:f>
              <c:strCache>
                <c:ptCount val="1"/>
                <c:pt idx="0">
                  <c:v>T-Bill Investments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'Actual Path and Others'!$C$155:$F$155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Others'!$C$157:$F$157</c:f>
              <c:numCache>
                <c:formatCode>_(* #,##0_);_(* \(#,##0\);_(* "-"??_);_(@_)</c:formatCode>
                <c:ptCount val="4"/>
                <c:pt idx="0">
                  <c:v>500000</c:v>
                </c:pt>
                <c:pt idx="1">
                  <c:v>514550.86538461538</c:v>
                </c:pt>
                <c:pt idx="2">
                  <c:v>512723.4701041134</c:v>
                </c:pt>
                <c:pt idx="3">
                  <c:v>503892.71261305141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7-4F56-9FF4-DE9CDB704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118912"/>
        <c:axId val="1308120832"/>
      </c:barChart>
      <c:lineChart>
        <c:grouping val="standard"/>
        <c:varyColors val="0"/>
        <c:ser>
          <c:idx val="2"/>
          <c:order val="2"/>
          <c:tx>
            <c:strRef>
              <c:f>'Actual Path and Others'!$B$159</c:f>
              <c:strCache>
                <c:ptCount val="1"/>
                <c:pt idx="0">
                  <c:v>Quarter to Quarter Return</c:v>
                </c:pt>
              </c:strCache>
            </c:strRef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'Actual Path and Others'!$C$155:$F$155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Others'!$C$159:$F$159</c:f>
              <c:numCache>
                <c:formatCode>0.00%</c:formatCode>
                <c:ptCount val="4"/>
                <c:pt idx="1">
                  <c:v>-6.0675342894399723E-3</c:v>
                </c:pt>
                <c:pt idx="2">
                  <c:v>-7.8479179889131195E-2</c:v>
                </c:pt>
                <c:pt idx="3">
                  <c:v>0.27484115186011454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57-4F56-9FF4-DE9CDB704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108352"/>
        <c:axId val="1308107872"/>
      </c:lineChart>
      <c:catAx>
        <c:axId val="130811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20832"/>
        <c:crosses val="autoZero"/>
        <c:auto val="1"/>
        <c:lblAlgn val="ctr"/>
        <c:lblOffset val="100"/>
        <c:noMultiLvlLbl val="0"/>
      </c:catAx>
      <c:valAx>
        <c:axId val="130812083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18912"/>
        <c:crosses val="autoZero"/>
        <c:crossBetween val="between"/>
      </c:valAx>
      <c:valAx>
        <c:axId val="130810787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08352"/>
        <c:crosses val="max"/>
        <c:crossBetween val="between"/>
      </c:valAx>
      <c:catAx>
        <c:axId val="1308108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81078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100% Risk-Free Investments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 Path and Others'!$B$168</c:f>
              <c:strCache>
                <c:ptCount val="1"/>
                <c:pt idx="0">
                  <c:v>T-Bill Investments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'Actual Path and Others'!$C$167:$F$167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Others'!$C$168:$F$168</c:f>
              <c:numCache>
                <c:formatCode>_(* #,##0_);_(* \(#,##0\);_(* "-"??_);_(@_)</c:formatCode>
                <c:ptCount val="4"/>
                <c:pt idx="0">
                  <c:v>1000000</c:v>
                </c:pt>
                <c:pt idx="1">
                  <c:v>1029101.7307692308</c:v>
                </c:pt>
                <c:pt idx="2">
                  <c:v>1056891.1865541546</c:v>
                </c:pt>
                <c:pt idx="3">
                  <c:v>1087872.2342398115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C-42C8-9F79-FD384A4B8F67}"/>
            </c:ext>
          </c:extLst>
        </c:ser>
        <c:ser>
          <c:idx val="1"/>
          <c:order val="1"/>
          <c:tx>
            <c:strRef>
              <c:f>'Actual Path and Others'!$B$169</c:f>
              <c:strCache>
                <c:ptCount val="1"/>
                <c:pt idx="0">
                  <c:v>Stock Investments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'Actual Path and Others'!$C$167:$F$167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Others'!$C$169:$F$169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C-42C8-9F79-FD384A4B8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5277008"/>
        <c:axId val="1405277488"/>
      </c:barChart>
      <c:lineChart>
        <c:grouping val="standard"/>
        <c:varyColors val="0"/>
        <c:ser>
          <c:idx val="2"/>
          <c:order val="2"/>
          <c:tx>
            <c:strRef>
              <c:f>'Actual Path and Others'!$B$171</c:f>
              <c:strCache>
                <c:ptCount val="1"/>
                <c:pt idx="0">
                  <c:v>Quarter to Quarter Return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'Actual Path and Others'!$C$167:$F$167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Others'!$C$171:$F$171</c:f>
              <c:numCache>
                <c:formatCode>0.00%</c:formatCode>
                <c:ptCount val="4"/>
                <c:pt idx="1">
                  <c:v>0.11474526274611838</c:v>
                </c:pt>
                <c:pt idx="2">
                  <c:v>0.1065817614111661</c:v>
                </c:pt>
                <c:pt idx="3">
                  <c:v>0.11556781493560431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4C-42C8-9F79-FD384A4B8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5278448"/>
        <c:axId val="1405276048"/>
      </c:lineChart>
      <c:catAx>
        <c:axId val="140527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77488"/>
        <c:crosses val="autoZero"/>
        <c:auto val="1"/>
        <c:lblAlgn val="ctr"/>
        <c:lblOffset val="100"/>
        <c:noMultiLvlLbl val="0"/>
      </c:catAx>
      <c:valAx>
        <c:axId val="1405277488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77008"/>
        <c:crosses val="autoZero"/>
        <c:crossBetween val="between"/>
      </c:valAx>
      <c:valAx>
        <c:axId val="14052760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78448"/>
        <c:crosses val="max"/>
        <c:crossBetween val="between"/>
      </c:valAx>
      <c:catAx>
        <c:axId val="14052784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05276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Dynamic Asset Portfolio with Actual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 Path and Others'!$B$82</c:f>
              <c:strCache>
                <c:ptCount val="1"/>
                <c:pt idx="0">
                  <c:v>Dynamic Equity Portfolio (BDT)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'Actual Path and Others'!$C$81:$F$81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Others'!$C$82:$F$82</c:f>
              <c:numCache>
                <c:formatCode>_(* #,##0_);_(* \(#,##0\);_(* "-"??_);_(@_)</c:formatCode>
                <c:ptCount val="4"/>
                <c:pt idx="0">
                  <c:v>568901.31101577624</c:v>
                </c:pt>
                <c:pt idx="1">
                  <c:v>550620.6924661434</c:v>
                </c:pt>
                <c:pt idx="2">
                  <c:v>153778.21909525225</c:v>
                </c:pt>
                <c:pt idx="3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D-4E51-ACA8-E8AC78168CBF}"/>
            </c:ext>
          </c:extLst>
        </c:ser>
        <c:ser>
          <c:idx val="1"/>
          <c:order val="1"/>
          <c:tx>
            <c:strRef>
              <c:f>'Actual Path and Others'!$B$83</c:f>
              <c:strCache>
                <c:ptCount val="1"/>
                <c:pt idx="0">
                  <c:v>Dynamic T-Bill Portfolio (BDT)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'Actual Path and Others'!$C$81:$F$81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Others'!$C$83:$F$83</c:f>
              <c:numCache>
                <c:formatCode>_(* #,##0_);_(* \(#,##0\);_(* "-"??_);_(@_)</c:formatCode>
                <c:ptCount val="4"/>
                <c:pt idx="0">
                  <c:v>489562.2847762903</c:v>
                </c:pt>
                <c:pt idx="1">
                  <c:v>503809.39458261937</c:v>
                </c:pt>
                <c:pt idx="2">
                  <c:v>913837.9268763063</c:v>
                </c:pt>
                <c:pt idx="3">
                  <c:v>1098911.5784144776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D-4E51-ACA8-E8AC78168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593056"/>
        <c:axId val="1462593536"/>
      </c:barChart>
      <c:lineChart>
        <c:grouping val="standard"/>
        <c:varyColors val="0"/>
        <c:ser>
          <c:idx val="2"/>
          <c:order val="2"/>
          <c:tx>
            <c:strRef>
              <c:f>'Actual Path and Others'!$B$85</c:f>
              <c:strCache>
                <c:ptCount val="1"/>
                <c:pt idx="0">
                  <c:v>Quarter to Quarter Return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'Actual Path and Others'!$C$81:$F$81</c:f>
              <c:strCache>
                <c:ptCount val="4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</c:strCache>
            </c:strRef>
          </c:cat>
          <c:val>
            <c:numRef>
              <c:f>'Actual Path and Others'!$C$85:$F$85</c:f>
              <c:numCache>
                <c:formatCode>0.00%</c:formatCode>
                <c:ptCount val="4"/>
                <c:pt idx="1">
                  <c:v>-1.5271998494973954E-2</c:v>
                </c:pt>
                <c:pt idx="2">
                  <c:v>4.9711371728462669E-2</c:v>
                </c:pt>
                <c:pt idx="3">
                  <c:v>0.11556781493560431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1D-4E51-ACA8-E8AC78168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108832"/>
        <c:axId val="1462604576"/>
      </c:lineChart>
      <c:catAx>
        <c:axId val="146259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593536"/>
        <c:crosses val="autoZero"/>
        <c:auto val="1"/>
        <c:lblAlgn val="ctr"/>
        <c:lblOffset val="100"/>
        <c:noMultiLvlLbl val="0"/>
      </c:catAx>
      <c:valAx>
        <c:axId val="146259353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593056"/>
        <c:crosses val="autoZero"/>
        <c:crossBetween val="between"/>
      </c:valAx>
      <c:valAx>
        <c:axId val="146260457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08832"/>
        <c:crosses val="max"/>
        <c:crossBetween val="between"/>
      </c:valAx>
      <c:catAx>
        <c:axId val="1308108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2604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Comparisons!$C$69</c:f>
              <c:strCache>
                <c:ptCount val="1"/>
                <c:pt idx="0">
                  <c:v>Risk (Standard Deviation)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cat>
            <c:strRef>
              <c:f>Comparisons!$B$70:$B$77</c:f>
              <c:strCache>
                <c:ptCount val="8"/>
                <c:pt idx="0">
                  <c:v>1. Dynamic Asset Allocation</c:v>
                </c:pt>
                <c:pt idx="1">
                  <c:v>2. Static Asset Allocation (50% and 50%)</c:v>
                </c:pt>
                <c:pt idx="2">
                  <c:v>3. 100% Equity Investments without Rebalancing</c:v>
                </c:pt>
                <c:pt idx="3">
                  <c:v>4. 100% Equity Investments with Rebalancing</c:v>
                </c:pt>
                <c:pt idx="4">
                  <c:v>5. Dynamic Asset Portfolio with Actual Price</c:v>
                </c:pt>
                <c:pt idx="5">
                  <c:v>6. 50% Equity and 50% Risk-Free Investments without Rebalancing</c:v>
                </c:pt>
                <c:pt idx="6">
                  <c:v>7. 50% Equity and 50% Risk-Free Investments with Rebalancing</c:v>
                </c:pt>
                <c:pt idx="7">
                  <c:v>8. 100% Risk-Free Investments</c:v>
                </c:pt>
              </c:strCache>
            </c:strRef>
          </c:cat>
          <c:val>
            <c:numRef>
              <c:f>Comparisons!$C$70:$C$77</c:f>
              <c:numCache>
                <c:formatCode>0.00%</c:formatCode>
                <c:ptCount val="8"/>
                <c:pt idx="0">
                  <c:v>0.25943642152606888</c:v>
                </c:pt>
                <c:pt idx="1">
                  <c:v>0.14534456046145416</c:v>
                </c:pt>
                <c:pt idx="2">
                  <c:v>0.30360766709569598</c:v>
                </c:pt>
                <c:pt idx="3">
                  <c:v>0.30239319368978451</c:v>
                </c:pt>
                <c:pt idx="4">
                  <c:v>5.3415526556777497E-2</c:v>
                </c:pt>
                <c:pt idx="5">
                  <c:v>0.14534456046114222</c:v>
                </c:pt>
                <c:pt idx="6">
                  <c:v>0.15238416117756876</c:v>
                </c:pt>
                <c:pt idx="7">
                  <c:v>4.0561134119343591E-3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2-46E3-AED0-AF3160690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966912896"/>
        <c:axId val="1966892736"/>
      </c:barChart>
      <c:catAx>
        <c:axId val="19669128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892736"/>
        <c:crosses val="autoZero"/>
        <c:auto val="1"/>
        <c:lblAlgn val="ctr"/>
        <c:lblOffset val="100"/>
        <c:noMultiLvlLbl val="0"/>
      </c:catAx>
      <c:valAx>
        <c:axId val="1966892736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91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Comparisons!$B$82</c:f>
              <c:strCache>
                <c:ptCount val="1"/>
                <c:pt idx="0">
                  <c:v>1. Dynamic Asset Allocation</c:v>
                </c:pt>
              </c:strCache>
            </c:strRef>
          </c:tx>
          <c:spPr>
            <a:solidFill>
              <a:schemeClr val="accent4">
                <a:shade val="45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Comparisons!$C$81:$F$81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Average Return</c:v>
                </c:pt>
              </c:strCache>
            </c:strRef>
          </c:cat>
          <c:val>
            <c:numRef>
              <c:f>Comparisons!$C$82:$F$82</c:f>
              <c:numCache>
                <c:formatCode>0.00%</c:formatCode>
                <c:ptCount val="4"/>
                <c:pt idx="0">
                  <c:v>0.62577448752655596</c:v>
                </c:pt>
                <c:pt idx="1">
                  <c:v>4.2571289773697653E-2</c:v>
                </c:pt>
                <c:pt idx="2">
                  <c:v>0.1155678149160876</c:v>
                </c:pt>
                <c:pt idx="3">
                  <c:v>0.26130453073878041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F-4E4C-9E57-D11FAE06EF00}"/>
            </c:ext>
          </c:extLst>
        </c:ser>
        <c:ser>
          <c:idx val="1"/>
          <c:order val="1"/>
          <c:tx>
            <c:strRef>
              <c:f>Comparisons!$B$83</c:f>
              <c:strCache>
                <c:ptCount val="1"/>
                <c:pt idx="0">
                  <c:v>2. Static Asset Allocation (50% and 50%)</c:v>
                </c:pt>
              </c:strCache>
            </c:strRef>
          </c:tx>
          <c:spPr>
            <a:solidFill>
              <a:schemeClr val="accent4">
                <a:shade val="61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Comparisons!$C$81:$F$81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Average Return</c:v>
                </c:pt>
              </c:strCache>
            </c:strRef>
          </c:cat>
          <c:val>
            <c:numRef>
              <c:f>Comparisons!$C$83:$F$83</c:f>
              <c:numCache>
                <c:formatCode>0.00%</c:formatCode>
                <c:ptCount val="4"/>
                <c:pt idx="0">
                  <c:v>-6.0675342994257996E-3</c:v>
                </c:pt>
                <c:pt idx="1">
                  <c:v>-7.8249705318410773E-2</c:v>
                </c:pt>
                <c:pt idx="2">
                  <c:v>0.25976022076092653</c:v>
                </c:pt>
                <c:pt idx="3">
                  <c:v>5.848099371436332E-2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F-4E4C-9E57-D11FAE06EF00}"/>
            </c:ext>
          </c:extLst>
        </c:ser>
        <c:ser>
          <c:idx val="2"/>
          <c:order val="2"/>
          <c:tx>
            <c:strRef>
              <c:f>Comparisons!$B$84</c:f>
              <c:strCache>
                <c:ptCount val="1"/>
                <c:pt idx="0">
                  <c:v>3. 100% Equity Investments without Rebalancing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Comparisons!$C$81:$F$81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Average Return</c:v>
                </c:pt>
              </c:strCache>
            </c:strRef>
          </c:cat>
          <c:val>
            <c:numRef>
              <c:f>Comparisons!$C$84:$F$84</c:f>
              <c:numCache>
                <c:formatCode>0.00%</c:formatCode>
                <c:ptCount val="4"/>
                <c:pt idx="0">
                  <c:v>-0.13064321023595882</c:v>
                </c:pt>
                <c:pt idx="1">
                  <c:v>-0.28461951575141908</c:v>
                </c:pt>
                <c:pt idx="2">
                  <c:v>0.42246207677668868</c:v>
                </c:pt>
                <c:pt idx="3">
                  <c:v>2.3997835964369254E-3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6F-4E4C-9E57-D11FAE06EF00}"/>
            </c:ext>
          </c:extLst>
        </c:ser>
        <c:ser>
          <c:idx val="3"/>
          <c:order val="3"/>
          <c:tx>
            <c:strRef>
              <c:f>Comparisons!$B$85</c:f>
              <c:strCache>
                <c:ptCount val="1"/>
                <c:pt idx="0">
                  <c:v>4. 100% Equity Investments with Rebalancing</c:v>
                </c:pt>
              </c:strCache>
            </c:strRef>
          </c:tx>
          <c:spPr>
            <a:solidFill>
              <a:schemeClr val="accent4">
                <a:shade val="92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Comparisons!$C$81:$F$81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Average Return</c:v>
                </c:pt>
              </c:strCache>
            </c:strRef>
          </c:cat>
          <c:val>
            <c:numRef>
              <c:f>Comparisons!$C$85:$F$85</c:f>
              <c:numCache>
                <c:formatCode>0.00%</c:formatCode>
                <c:ptCount val="4"/>
                <c:pt idx="0">
                  <c:v>-0.13064321023595882</c:v>
                </c:pt>
                <c:pt idx="1">
                  <c:v>-0.27251910302026827</c:v>
                </c:pt>
                <c:pt idx="2">
                  <c:v>0.42801460212473519</c:v>
                </c:pt>
                <c:pt idx="3">
                  <c:v>8.2840962895026991E-3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6F-4E4C-9E57-D11FAE06EF00}"/>
            </c:ext>
          </c:extLst>
        </c:ser>
        <c:ser>
          <c:idx val="4"/>
          <c:order val="4"/>
          <c:tx>
            <c:strRef>
              <c:f>Comparisons!$B$86</c:f>
              <c:strCache>
                <c:ptCount val="1"/>
                <c:pt idx="0">
                  <c:v>5. Dynamic Asset Portfolio with Actual Price</c:v>
                </c:pt>
              </c:strCache>
            </c:strRef>
          </c:tx>
          <c:spPr>
            <a:solidFill>
              <a:schemeClr val="accent4">
                <a:tint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Comparisons!$C$81:$F$81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Average Return</c:v>
                </c:pt>
              </c:strCache>
            </c:strRef>
          </c:cat>
          <c:val>
            <c:numRef>
              <c:f>Comparisons!$C$86:$F$86</c:f>
              <c:numCache>
                <c:formatCode>0.00%</c:formatCode>
                <c:ptCount val="4"/>
                <c:pt idx="0">
                  <c:v>-1.5271998494973954E-2</c:v>
                </c:pt>
                <c:pt idx="1">
                  <c:v>4.9711371728462669E-2</c:v>
                </c:pt>
                <c:pt idx="2">
                  <c:v>0.11556781493560431</c:v>
                </c:pt>
                <c:pt idx="3">
                  <c:v>5.0002396056364341E-2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6F-4E4C-9E57-D11FAE06EF00}"/>
            </c:ext>
          </c:extLst>
        </c:ser>
        <c:ser>
          <c:idx val="5"/>
          <c:order val="5"/>
          <c:tx>
            <c:strRef>
              <c:f>Comparisons!$B$87</c:f>
              <c:strCache>
                <c:ptCount val="1"/>
                <c:pt idx="0">
                  <c:v>6. 50% Equity and 50% Risk-Free Investments without Rebalancing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Comparisons!$C$81:$F$81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Average Return</c:v>
                </c:pt>
              </c:strCache>
            </c:strRef>
          </c:cat>
          <c:val>
            <c:numRef>
              <c:f>Comparisons!$C$87:$F$87</c:f>
              <c:numCache>
                <c:formatCode>0.00%</c:formatCode>
                <c:ptCount val="4"/>
                <c:pt idx="0">
                  <c:v>-6.0675342894399723E-3</c:v>
                </c:pt>
                <c:pt idx="1">
                  <c:v>-7.8249705308224546E-2</c:v>
                </c:pt>
                <c:pt idx="2">
                  <c:v>0.2597602207703727</c:v>
                </c:pt>
                <c:pt idx="3">
                  <c:v>5.8480993724236062E-2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6F-4E4C-9E57-D11FAE06EF00}"/>
            </c:ext>
          </c:extLst>
        </c:ser>
        <c:ser>
          <c:idx val="6"/>
          <c:order val="6"/>
          <c:tx>
            <c:strRef>
              <c:f>Comparisons!$B$88</c:f>
              <c:strCache>
                <c:ptCount val="1"/>
                <c:pt idx="0">
                  <c:v>7. 50% Equity and 50% Risk-Free Investments with Rebalancing</c:v>
                </c:pt>
              </c:strCache>
            </c:strRef>
          </c:tx>
          <c:spPr>
            <a:solidFill>
              <a:schemeClr val="accent4">
                <a:tint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Comparisons!$C$81:$F$81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Average Return</c:v>
                </c:pt>
              </c:strCache>
            </c:strRef>
          </c:cat>
          <c:val>
            <c:numRef>
              <c:f>Comparisons!$C$88:$F$88</c:f>
              <c:numCache>
                <c:formatCode>0.00%</c:formatCode>
                <c:ptCount val="4"/>
                <c:pt idx="0">
                  <c:v>-6.0675342894399723E-3</c:v>
                </c:pt>
                <c:pt idx="1">
                  <c:v>-7.8479179889131195E-2</c:v>
                </c:pt>
                <c:pt idx="2">
                  <c:v>0.27484115186011454</c:v>
                </c:pt>
                <c:pt idx="3">
                  <c:v>6.343147922718112E-2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6F-4E4C-9E57-D11FAE06EF00}"/>
            </c:ext>
          </c:extLst>
        </c:ser>
        <c:ser>
          <c:idx val="7"/>
          <c:order val="7"/>
          <c:tx>
            <c:strRef>
              <c:f>Comparisons!$B$89</c:f>
              <c:strCache>
                <c:ptCount val="1"/>
                <c:pt idx="0">
                  <c:v>8. 100% Risk-Free Investments</c:v>
                </c:pt>
              </c:strCache>
            </c:strRef>
          </c:tx>
          <c:spPr>
            <a:solidFill>
              <a:schemeClr val="accent4">
                <a:tint val="46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Comparisons!$C$81:$F$81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Average Return</c:v>
                </c:pt>
              </c:strCache>
            </c:strRef>
          </c:cat>
          <c:val>
            <c:numRef>
              <c:f>Comparisons!$C$89:$F$89</c:f>
              <c:numCache>
                <c:formatCode>0.00%</c:formatCode>
                <c:ptCount val="4"/>
                <c:pt idx="0">
                  <c:v>0.11474526274611838</c:v>
                </c:pt>
                <c:pt idx="1">
                  <c:v>0.1065817614111661</c:v>
                </c:pt>
                <c:pt idx="2">
                  <c:v>0.11556781493560431</c:v>
                </c:pt>
                <c:pt idx="3">
                  <c:v>0.11229827969762958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6F-4E4C-9E57-D11FAE06E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47679488"/>
        <c:axId val="147693568"/>
      </c:barChart>
      <c:catAx>
        <c:axId val="147679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93568"/>
        <c:crosses val="autoZero"/>
        <c:auto val="1"/>
        <c:lblAlgn val="ctr"/>
        <c:lblOffset val="100"/>
        <c:noMultiLvlLbl val="0"/>
      </c:catAx>
      <c:valAx>
        <c:axId val="14769356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7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  <a:r>
              <a:rPr lang="en-US" baseline="0"/>
              <a:t>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Comparisons!$C$93</c:f>
              <c:strCache>
                <c:ptCount val="1"/>
                <c:pt idx="0">
                  <c:v>Q1 2025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Comparisons!$B$94:$B$101</c:f>
              <c:strCache>
                <c:ptCount val="8"/>
                <c:pt idx="0">
                  <c:v>1. Dynamic Asset Allocation</c:v>
                </c:pt>
                <c:pt idx="1">
                  <c:v>2. Static Asset Allocation (50% and 50%)</c:v>
                </c:pt>
                <c:pt idx="2">
                  <c:v>3. 100% Equity Investments without Rebalancing</c:v>
                </c:pt>
                <c:pt idx="3">
                  <c:v>4. 100% Equity Investments with Rebalancing</c:v>
                </c:pt>
                <c:pt idx="4">
                  <c:v>5. Dynamic Asset Portfolio with Actual Price</c:v>
                </c:pt>
                <c:pt idx="5">
                  <c:v>6. 50% Equity and 50% Risk-Free Investments without Rebalancing</c:v>
                </c:pt>
                <c:pt idx="6">
                  <c:v>7. 50% Equity and 50% Risk-Free Investments with Rebalancing</c:v>
                </c:pt>
                <c:pt idx="7">
                  <c:v>8. 100% Risk-Free Investments</c:v>
                </c:pt>
              </c:strCache>
            </c:strRef>
          </c:cat>
          <c:val>
            <c:numRef>
              <c:f>Comparisons!$C$94:$C$101</c:f>
              <c:numCache>
                <c:formatCode>_(* #,##0_);_(* \(#,##0\);_(* "-"??_);_(@_)</c:formatCode>
                <c:ptCount val="8"/>
                <c:pt idx="0">
                  <c:v>1169344.8349991189</c:v>
                </c:pt>
                <c:pt idx="1">
                  <c:v>998484.26631154527</c:v>
                </c:pt>
                <c:pt idx="2">
                  <c:v>967866.80185884517</c:v>
                </c:pt>
                <c:pt idx="3">
                  <c:v>967866.80185884517</c:v>
                </c:pt>
                <c:pt idx="4">
                  <c:v>1054430.0870487627</c:v>
                </c:pt>
                <c:pt idx="5">
                  <c:v>998484.26631403796</c:v>
                </c:pt>
                <c:pt idx="6">
                  <c:v>998484.26631403796</c:v>
                </c:pt>
                <c:pt idx="7">
                  <c:v>1029101.7307692308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1-4AFA-953E-41192992AF5E}"/>
            </c:ext>
          </c:extLst>
        </c:ser>
        <c:ser>
          <c:idx val="1"/>
          <c:order val="1"/>
          <c:tx>
            <c:strRef>
              <c:f>Comparisons!$D$93</c:f>
              <c:strCache>
                <c:ptCount val="1"/>
                <c:pt idx="0">
                  <c:v>Q2 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Comparisons!$B$94:$B$101</c:f>
              <c:strCache>
                <c:ptCount val="8"/>
                <c:pt idx="0">
                  <c:v>1. Dynamic Asset Allocation</c:v>
                </c:pt>
                <c:pt idx="1">
                  <c:v>2. Static Asset Allocation (50% and 50%)</c:v>
                </c:pt>
                <c:pt idx="2">
                  <c:v>3. 100% Equity Investments without Rebalancing</c:v>
                </c:pt>
                <c:pt idx="3">
                  <c:v>4. 100% Equity Investments with Rebalancing</c:v>
                </c:pt>
                <c:pt idx="4">
                  <c:v>5. Dynamic Asset Portfolio with Actual Price</c:v>
                </c:pt>
                <c:pt idx="5">
                  <c:v>6. 50% Equity and 50% Risk-Free Investments without Rebalancing</c:v>
                </c:pt>
                <c:pt idx="6">
                  <c:v>7. 50% Equity and 50% Risk-Free Investments with Rebalancing</c:v>
                </c:pt>
                <c:pt idx="7">
                  <c:v>8. 100% Risk-Free Investments</c:v>
                </c:pt>
              </c:strCache>
            </c:strRef>
          </c:cat>
          <c:val>
            <c:numRef>
              <c:f>Comparisons!$D$94:$D$101</c:f>
              <c:numCache>
                <c:formatCode>_(* #,##0_);_(* \(#,##0\);_(* "-"??_);_(@_)</c:formatCode>
                <c:ptCount val="8"/>
                <c:pt idx="0">
                  <c:v>1181856.4256737451</c:v>
                </c:pt>
                <c:pt idx="1">
                  <c:v>979141.30588652706</c:v>
                </c:pt>
                <c:pt idx="2">
                  <c:v>901391.42522877536</c:v>
                </c:pt>
                <c:pt idx="3">
                  <c:v>904122.35588907008</c:v>
                </c:pt>
                <c:pt idx="4">
                  <c:v>1067616.1459715585</c:v>
                </c:pt>
                <c:pt idx="5">
                  <c:v>979141.30589146493</c:v>
                </c:pt>
                <c:pt idx="6">
                  <c:v>979085.13549248572</c:v>
                </c:pt>
                <c:pt idx="7">
                  <c:v>1056891.1865541546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1-4AFA-953E-41192992AF5E}"/>
            </c:ext>
          </c:extLst>
        </c:ser>
        <c:ser>
          <c:idx val="2"/>
          <c:order val="2"/>
          <c:tx>
            <c:strRef>
              <c:f>Comparisons!$E$93</c:f>
              <c:strCache>
                <c:ptCount val="1"/>
                <c:pt idx="0">
                  <c:v>Q3 2025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Comparisons!$B$94:$B$101</c:f>
              <c:strCache>
                <c:ptCount val="8"/>
                <c:pt idx="0">
                  <c:v>1. Dynamic Asset Allocation</c:v>
                </c:pt>
                <c:pt idx="1">
                  <c:v>2. Static Asset Allocation (50% and 50%)</c:v>
                </c:pt>
                <c:pt idx="2">
                  <c:v>3. 100% Equity Investments without Rebalancing</c:v>
                </c:pt>
                <c:pt idx="3">
                  <c:v>4. 100% Equity Investments with Rebalancing</c:v>
                </c:pt>
                <c:pt idx="4">
                  <c:v>5. Dynamic Asset Portfolio with Actual Price</c:v>
                </c:pt>
                <c:pt idx="5">
                  <c:v>6. 50% Equity and 50% Risk-Free Investments without Rebalancing</c:v>
                </c:pt>
                <c:pt idx="6">
                  <c:v>7. 50% Equity and 50% Risk-Free Investments with Rebalancing</c:v>
                </c:pt>
                <c:pt idx="7">
                  <c:v>8. 100% Risk-Free Investments</c:v>
                </c:pt>
              </c:strCache>
            </c:strRef>
          </c:cat>
          <c:val>
            <c:numRef>
              <c:f>Comparisons!$E$94:$E$101</c:f>
              <c:numCache>
                <c:formatCode>_(* #,##0_);_(* \(#,##0\);_(* "-"??_);_(@_)</c:formatCode>
                <c:ptCount val="8"/>
                <c:pt idx="0">
                  <c:v>1216500.6262697438</c:v>
                </c:pt>
                <c:pt idx="1">
                  <c:v>1044836.8463008546</c:v>
                </c:pt>
                <c:pt idx="2">
                  <c:v>1001801.4583773705</c:v>
                </c:pt>
                <c:pt idx="3">
                  <c:v>1006232.4133855922</c:v>
                </c:pt>
                <c:pt idx="4">
                  <c:v>1098911.5784144776</c:v>
                </c:pt>
                <c:pt idx="5">
                  <c:v>1044836.8463085911</c:v>
                </c:pt>
                <c:pt idx="6">
                  <c:v>1048723.3942013737</c:v>
                </c:pt>
                <c:pt idx="7">
                  <c:v>1087872.2342398115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11-4AFA-953E-41192992A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678464"/>
        <c:axId val="223680000"/>
      </c:barChart>
      <c:catAx>
        <c:axId val="22367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680000"/>
        <c:crosses val="autoZero"/>
        <c:auto val="1"/>
        <c:lblAlgn val="ctr"/>
        <c:lblOffset val="100"/>
        <c:noMultiLvlLbl val="0"/>
      </c:catAx>
      <c:valAx>
        <c:axId val="223680000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67846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18677</xdr:colOff>
      <xdr:row>45</xdr:row>
      <xdr:rowOff>18676</xdr:rowOff>
    </xdr:from>
    <xdr:to>
      <xdr:col>9</xdr:col>
      <xdr:colOff>709706</xdr:colOff>
      <xdr:row>47</xdr:row>
      <xdr:rowOff>168089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0233CC2-7D1F-497A-9B19-CFD1432C4E32}"/>
            </a:ext>
          </a:extLst>
        </xdr:cNvPr>
        <xdr:cNvCxnSpPr/>
      </xdr:nvCxnSpPr>
      <xdr:spPr>
        <a:xfrm flipV="1">
          <a:off x="8337177" y="8419726"/>
          <a:ext cx="691029" cy="51771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21665</xdr:colOff>
      <xdr:row>48</xdr:row>
      <xdr:rowOff>2988</xdr:rowOff>
    </xdr:from>
    <xdr:to>
      <xdr:col>10</xdr:col>
      <xdr:colOff>0</xdr:colOff>
      <xdr:row>50</xdr:row>
      <xdr:rowOff>37353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B6CB15E-021C-47F2-8CE2-32ED59899F43}"/>
            </a:ext>
          </a:extLst>
        </xdr:cNvPr>
        <xdr:cNvCxnSpPr/>
      </xdr:nvCxnSpPr>
      <xdr:spPr>
        <a:xfrm>
          <a:off x="8340165" y="8956488"/>
          <a:ext cx="854635" cy="4026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24654</xdr:colOff>
      <xdr:row>43</xdr:row>
      <xdr:rowOff>5976</xdr:rowOff>
    </xdr:from>
    <xdr:to>
      <xdr:col>7</xdr:col>
      <xdr:colOff>787870</xdr:colOff>
      <xdr:row>48</xdr:row>
      <xdr:rowOff>35277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8C94DD9-7C09-4E8C-9442-2E1265A7EF62}"/>
            </a:ext>
          </a:extLst>
        </xdr:cNvPr>
        <xdr:cNvCxnSpPr/>
      </xdr:nvCxnSpPr>
      <xdr:spPr>
        <a:xfrm>
          <a:off x="6304804" y="8038726"/>
          <a:ext cx="763216" cy="95005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27642</xdr:colOff>
      <xdr:row>22</xdr:row>
      <xdr:rowOff>152870</xdr:rowOff>
    </xdr:from>
    <xdr:to>
      <xdr:col>5</xdr:col>
      <xdr:colOff>729074</xdr:colOff>
      <xdr:row>33</xdr:row>
      <xdr:rowOff>27641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CF0E7FD-42F2-4D53-93B8-306BCF3B2DC7}"/>
            </a:ext>
          </a:extLst>
        </xdr:cNvPr>
        <xdr:cNvCxnSpPr/>
      </xdr:nvCxnSpPr>
      <xdr:spPr>
        <a:xfrm flipV="1">
          <a:off x="4364692" y="4318470"/>
          <a:ext cx="701432" cy="190042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11954</xdr:colOff>
      <xdr:row>32</xdr:row>
      <xdr:rowOff>180041</xdr:rowOff>
    </xdr:from>
    <xdr:to>
      <xdr:col>5</xdr:col>
      <xdr:colOff>740833</xdr:colOff>
      <xdr:row>43</xdr:row>
      <xdr:rowOff>35278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38CEEAE-2622-4099-A934-A0712543C4CD}"/>
            </a:ext>
          </a:extLst>
        </xdr:cNvPr>
        <xdr:cNvCxnSpPr/>
      </xdr:nvCxnSpPr>
      <xdr:spPr>
        <a:xfrm>
          <a:off x="4349004" y="6187141"/>
          <a:ext cx="728879" cy="188088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18677</xdr:colOff>
      <xdr:row>28</xdr:row>
      <xdr:rowOff>18677</xdr:rowOff>
    </xdr:from>
    <xdr:to>
      <xdr:col>9</xdr:col>
      <xdr:colOff>728383</xdr:colOff>
      <xdr:row>30</xdr:row>
      <xdr:rowOff>18677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285B901-9967-4F95-9839-EC97F02F1603}"/>
            </a:ext>
          </a:extLst>
        </xdr:cNvPr>
        <xdr:cNvCxnSpPr/>
      </xdr:nvCxnSpPr>
      <xdr:spPr>
        <a:xfrm>
          <a:off x="8337177" y="5289177"/>
          <a:ext cx="709706" cy="368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2989</xdr:colOff>
      <xdr:row>18</xdr:row>
      <xdr:rowOff>2988</xdr:rowOff>
    </xdr:from>
    <xdr:to>
      <xdr:col>9</xdr:col>
      <xdr:colOff>728383</xdr:colOff>
      <xdr:row>20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54C41CC-9EAC-4A29-A912-F9D602128469}"/>
            </a:ext>
          </a:extLst>
        </xdr:cNvPr>
        <xdr:cNvCxnSpPr/>
      </xdr:nvCxnSpPr>
      <xdr:spPr>
        <a:xfrm>
          <a:off x="8321489" y="3431988"/>
          <a:ext cx="725394" cy="36531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5977</xdr:colOff>
      <xdr:row>24</xdr:row>
      <xdr:rowOff>168088</xdr:rowOff>
    </xdr:from>
    <xdr:to>
      <xdr:col>9</xdr:col>
      <xdr:colOff>709706</xdr:colOff>
      <xdr:row>27</xdr:row>
      <xdr:rowOff>155389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DCD7FDF-1B8D-495D-8E14-558EB9AF3C23}"/>
            </a:ext>
          </a:extLst>
        </xdr:cNvPr>
        <xdr:cNvCxnSpPr/>
      </xdr:nvCxnSpPr>
      <xdr:spPr>
        <a:xfrm flipV="1">
          <a:off x="8324477" y="4701988"/>
          <a:ext cx="703729" cy="53975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20265</xdr:colOff>
      <xdr:row>37</xdr:row>
      <xdr:rowOff>176389</xdr:rowOff>
    </xdr:from>
    <xdr:to>
      <xdr:col>7</xdr:col>
      <xdr:colOff>811389</xdr:colOff>
      <xdr:row>43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1956A10-791A-42B2-86C5-97292F64004E}"/>
            </a:ext>
          </a:extLst>
        </xdr:cNvPr>
        <xdr:cNvCxnSpPr/>
      </xdr:nvCxnSpPr>
      <xdr:spPr>
        <a:xfrm flipV="1">
          <a:off x="6300415" y="7104239"/>
          <a:ext cx="791124" cy="92851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17930</xdr:colOff>
      <xdr:row>15</xdr:row>
      <xdr:rowOff>0</xdr:rowOff>
    </xdr:from>
    <xdr:to>
      <xdr:col>9</xdr:col>
      <xdr:colOff>728383</xdr:colOff>
      <xdr:row>17</xdr:row>
      <xdr:rowOff>186019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0AFDC2E-40C1-4D7F-AE09-7FAA9479D2EF}"/>
            </a:ext>
          </a:extLst>
        </xdr:cNvPr>
        <xdr:cNvCxnSpPr/>
      </xdr:nvCxnSpPr>
      <xdr:spPr>
        <a:xfrm flipV="1">
          <a:off x="8336430" y="2876550"/>
          <a:ext cx="710453" cy="55431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40531</xdr:colOff>
      <xdr:row>17</xdr:row>
      <xdr:rowOff>176389</xdr:rowOff>
    </xdr:from>
    <xdr:to>
      <xdr:col>7</xdr:col>
      <xdr:colOff>787870</xdr:colOff>
      <xdr:row>23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F27D7E1-C0A6-49C2-B6B2-F6DCEF49247B}"/>
            </a:ext>
          </a:extLst>
        </xdr:cNvPr>
        <xdr:cNvCxnSpPr/>
      </xdr:nvCxnSpPr>
      <xdr:spPr>
        <a:xfrm flipV="1">
          <a:off x="6320681" y="3421239"/>
          <a:ext cx="747339" cy="92851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23158</xdr:colOff>
      <xdr:row>38</xdr:row>
      <xdr:rowOff>4483</xdr:rowOff>
    </xdr:from>
    <xdr:to>
      <xdr:col>9</xdr:col>
      <xdr:colOff>728383</xdr:colOff>
      <xdr:row>40</xdr:row>
      <xdr:rowOff>37353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C76622B-9630-4922-9F92-BCDCFF6878A2}"/>
            </a:ext>
          </a:extLst>
        </xdr:cNvPr>
        <xdr:cNvCxnSpPr/>
      </xdr:nvCxnSpPr>
      <xdr:spPr>
        <a:xfrm>
          <a:off x="8341658" y="7116483"/>
          <a:ext cx="705225" cy="4011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26148</xdr:colOff>
      <xdr:row>22</xdr:row>
      <xdr:rowOff>143740</xdr:rowOff>
    </xdr:from>
    <xdr:to>
      <xdr:col>7</xdr:col>
      <xdr:colOff>811389</xdr:colOff>
      <xdr:row>27</xdr:row>
      <xdr:rowOff>164631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D0C4112C-D6A6-40ED-A43F-753DBF0692A0}"/>
            </a:ext>
          </a:extLst>
        </xdr:cNvPr>
        <xdr:cNvCxnSpPr/>
      </xdr:nvCxnSpPr>
      <xdr:spPr>
        <a:xfrm>
          <a:off x="6306298" y="4309340"/>
          <a:ext cx="785241" cy="94164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35</xdr:row>
      <xdr:rowOff>0</xdr:rowOff>
    </xdr:from>
    <xdr:to>
      <xdr:col>9</xdr:col>
      <xdr:colOff>747059</xdr:colOff>
      <xdr:row>38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D78F284-A010-474E-89E5-17DAD9356D3F}"/>
            </a:ext>
          </a:extLst>
        </xdr:cNvPr>
        <xdr:cNvCxnSpPr/>
      </xdr:nvCxnSpPr>
      <xdr:spPr>
        <a:xfrm flipV="1">
          <a:off x="8318500" y="6559550"/>
          <a:ext cx="747059" cy="552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21</xdr:row>
      <xdr:rowOff>107950</xdr:rowOff>
    </xdr:from>
    <xdr:to>
      <xdr:col>2</xdr:col>
      <xdr:colOff>1016000</xdr:colOff>
      <xdr:row>29</xdr:row>
      <xdr:rowOff>109506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4F35298-B9A9-45F7-B728-17DF0769F7EA}"/>
            </a:ext>
          </a:extLst>
        </xdr:cNvPr>
        <xdr:cNvCxnSpPr/>
      </xdr:nvCxnSpPr>
      <xdr:spPr>
        <a:xfrm flipV="1">
          <a:off x="1339850" y="4260850"/>
          <a:ext cx="1016000" cy="147475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25400</xdr:colOff>
      <xdr:row>29</xdr:row>
      <xdr:rowOff>114300</xdr:rowOff>
    </xdr:from>
    <xdr:to>
      <xdr:col>2</xdr:col>
      <xdr:colOff>984250</xdr:colOff>
      <xdr:row>37</xdr:row>
      <xdr:rowOff>82550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B5D8EAE-2FF5-4885-AD7C-B940E2A2009E}"/>
            </a:ext>
          </a:extLst>
        </xdr:cNvPr>
        <xdr:cNvCxnSpPr/>
      </xdr:nvCxnSpPr>
      <xdr:spPr>
        <a:xfrm>
          <a:off x="1365250" y="5740400"/>
          <a:ext cx="958850" cy="1441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</xdr:row>
      <xdr:rowOff>101600</xdr:rowOff>
    </xdr:from>
    <xdr:to>
      <xdr:col>4</xdr:col>
      <xdr:colOff>609600</xdr:colOff>
      <xdr:row>21</xdr:row>
      <xdr:rowOff>121140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5131643-B0F8-4028-B851-90944A863EDC}"/>
            </a:ext>
          </a:extLst>
        </xdr:cNvPr>
        <xdr:cNvCxnSpPr/>
      </xdr:nvCxnSpPr>
      <xdr:spPr>
        <a:xfrm flipV="1">
          <a:off x="3479800" y="3517900"/>
          <a:ext cx="609600" cy="7561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10813</xdr:colOff>
      <xdr:row>21</xdr:row>
      <xdr:rowOff>132855</xdr:rowOff>
    </xdr:from>
    <xdr:to>
      <xdr:col>5</xdr:col>
      <xdr:colOff>0</xdr:colOff>
      <xdr:row>25</xdr:row>
      <xdr:rowOff>139700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1879149-3374-4F23-A440-E5D01F30A6ED}"/>
            </a:ext>
          </a:extLst>
        </xdr:cNvPr>
        <xdr:cNvCxnSpPr/>
      </xdr:nvCxnSpPr>
      <xdr:spPr>
        <a:xfrm>
          <a:off x="3490613" y="4285755"/>
          <a:ext cx="611487" cy="7434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8752</xdr:colOff>
      <xdr:row>37</xdr:row>
      <xdr:rowOff>105957</xdr:rowOff>
    </xdr:from>
    <xdr:to>
      <xdr:col>4</xdr:col>
      <xdr:colOff>609600</xdr:colOff>
      <xdr:row>41</xdr:row>
      <xdr:rowOff>107950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C287755-D9A0-432E-A8B7-EEB47F57411F}"/>
            </a:ext>
          </a:extLst>
        </xdr:cNvPr>
        <xdr:cNvCxnSpPr/>
      </xdr:nvCxnSpPr>
      <xdr:spPr>
        <a:xfrm>
          <a:off x="3488552" y="7205257"/>
          <a:ext cx="600848" cy="73859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6693</xdr:colOff>
      <xdr:row>41</xdr:row>
      <xdr:rowOff>91930</xdr:rowOff>
    </xdr:from>
    <xdr:to>
      <xdr:col>7</xdr:col>
      <xdr:colOff>12872</xdr:colOff>
      <xdr:row>43</xdr:row>
      <xdr:rowOff>128716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C710813-24C2-4361-9FFA-FEF05A6356DC}"/>
            </a:ext>
          </a:extLst>
        </xdr:cNvPr>
        <xdr:cNvCxnSpPr/>
      </xdr:nvCxnSpPr>
      <xdr:spPr>
        <a:xfrm>
          <a:off x="11011243" y="7597630"/>
          <a:ext cx="615779" cy="40508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17506</xdr:colOff>
      <xdr:row>33</xdr:row>
      <xdr:rowOff>77229</xdr:rowOff>
    </xdr:from>
    <xdr:to>
      <xdr:col>4</xdr:col>
      <xdr:colOff>592094</xdr:colOff>
      <xdr:row>37</xdr:row>
      <xdr:rowOff>90773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3D715E5-B6B4-4FC0-99C6-CA8D6B89A2AC}"/>
            </a:ext>
          </a:extLst>
        </xdr:cNvPr>
        <xdr:cNvCxnSpPr/>
      </xdr:nvCxnSpPr>
      <xdr:spPr>
        <a:xfrm flipV="1">
          <a:off x="9237706" y="6109729"/>
          <a:ext cx="574588" cy="75014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31750</xdr:colOff>
      <xdr:row>15</xdr:row>
      <xdr:rowOff>90101</xdr:rowOff>
    </xdr:from>
    <xdr:to>
      <xdr:col>7</xdr:col>
      <xdr:colOff>1545</xdr:colOff>
      <xdr:row>17</xdr:row>
      <xdr:rowOff>69850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2622300-E2AF-42C4-8597-972F5F3CDC54}"/>
            </a:ext>
          </a:extLst>
        </xdr:cNvPr>
        <xdr:cNvCxnSpPr/>
      </xdr:nvCxnSpPr>
      <xdr:spPr>
        <a:xfrm flipV="1">
          <a:off x="5416550" y="3138101"/>
          <a:ext cx="738145" cy="34804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17</xdr:row>
      <xdr:rowOff>114300</xdr:rowOff>
    </xdr:from>
    <xdr:to>
      <xdr:col>6</xdr:col>
      <xdr:colOff>755650</xdr:colOff>
      <xdr:row>19</xdr:row>
      <xdr:rowOff>133350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3BCBA96-5C9A-4BD8-8B5F-739DF644E755}"/>
            </a:ext>
          </a:extLst>
        </xdr:cNvPr>
        <xdr:cNvCxnSpPr/>
      </xdr:nvCxnSpPr>
      <xdr:spPr>
        <a:xfrm>
          <a:off x="5422900" y="3530600"/>
          <a:ext cx="717550" cy="3873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23</xdr:row>
      <xdr:rowOff>71565</xdr:rowOff>
    </xdr:from>
    <xdr:to>
      <xdr:col>7</xdr:col>
      <xdr:colOff>1373</xdr:colOff>
      <xdr:row>25</xdr:row>
      <xdr:rowOff>101600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1AC4409-CEAB-4115-96DA-1D4B6C72F3A7}"/>
            </a:ext>
          </a:extLst>
        </xdr:cNvPr>
        <xdr:cNvCxnSpPr/>
      </xdr:nvCxnSpPr>
      <xdr:spPr>
        <a:xfrm flipV="1">
          <a:off x="5403850" y="4592765"/>
          <a:ext cx="750673" cy="39833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6694</xdr:colOff>
      <xdr:row>25</xdr:row>
      <xdr:rowOff>117674</xdr:rowOff>
    </xdr:from>
    <xdr:to>
      <xdr:col>6</xdr:col>
      <xdr:colOff>755650</xdr:colOff>
      <xdr:row>27</xdr:row>
      <xdr:rowOff>101600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70ADC06-DCDF-4752-89BD-3F1C2C9AD4E7}"/>
            </a:ext>
          </a:extLst>
        </xdr:cNvPr>
        <xdr:cNvCxnSpPr/>
      </xdr:nvCxnSpPr>
      <xdr:spPr>
        <a:xfrm>
          <a:off x="5391494" y="5007174"/>
          <a:ext cx="748956" cy="35222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4634</xdr:colOff>
      <xdr:row>31</xdr:row>
      <xdr:rowOff>114300</xdr:rowOff>
    </xdr:from>
    <xdr:to>
      <xdr:col>6</xdr:col>
      <xdr:colOff>742950</xdr:colOff>
      <xdr:row>33</xdr:row>
      <xdr:rowOff>77902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C559806D-8033-4082-A83A-34CC63879809}"/>
            </a:ext>
          </a:extLst>
        </xdr:cNvPr>
        <xdr:cNvCxnSpPr/>
      </xdr:nvCxnSpPr>
      <xdr:spPr>
        <a:xfrm flipV="1">
          <a:off x="5389434" y="6108700"/>
          <a:ext cx="738316" cy="33190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10479</xdr:colOff>
      <xdr:row>33</xdr:row>
      <xdr:rowOff>88714</xdr:rowOff>
    </xdr:from>
    <xdr:to>
      <xdr:col>6</xdr:col>
      <xdr:colOff>742950</xdr:colOff>
      <xdr:row>35</xdr:row>
      <xdr:rowOff>101600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59032A9-8DDF-4F24-B54E-491230CD09C7}"/>
            </a:ext>
          </a:extLst>
        </xdr:cNvPr>
        <xdr:cNvCxnSpPr/>
      </xdr:nvCxnSpPr>
      <xdr:spPr>
        <a:xfrm>
          <a:off x="5395279" y="6451414"/>
          <a:ext cx="732471" cy="38118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10478</xdr:colOff>
      <xdr:row>39</xdr:row>
      <xdr:rowOff>57150</xdr:rowOff>
    </xdr:from>
    <xdr:to>
      <xdr:col>7</xdr:col>
      <xdr:colOff>19050</xdr:colOff>
      <xdr:row>41</xdr:row>
      <xdr:rowOff>87559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D34B1F1-AE70-4264-A44A-490081539995}"/>
            </a:ext>
          </a:extLst>
        </xdr:cNvPr>
        <xdr:cNvCxnSpPr/>
      </xdr:nvCxnSpPr>
      <xdr:spPr>
        <a:xfrm flipV="1">
          <a:off x="5395278" y="7524750"/>
          <a:ext cx="776922" cy="39870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</xdr:colOff>
      <xdr:row>21</xdr:row>
      <xdr:rowOff>83344</xdr:rowOff>
    </xdr:from>
    <xdr:to>
      <xdr:col>8</xdr:col>
      <xdr:colOff>0</xdr:colOff>
      <xdr:row>23</xdr:row>
      <xdr:rowOff>116173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1948E7F-3EAE-4BCC-9E9D-E4FEA28134C5}"/>
            </a:ext>
          </a:extLst>
        </xdr:cNvPr>
        <xdr:cNvCxnSpPr/>
      </xdr:nvCxnSpPr>
      <xdr:spPr>
        <a:xfrm flipV="1">
          <a:off x="6025356" y="3880644"/>
          <a:ext cx="597694" cy="40112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21431</xdr:colOff>
      <xdr:row>13</xdr:row>
      <xdr:rowOff>71438</xdr:rowOff>
    </xdr:from>
    <xdr:to>
      <xdr:col>8</xdr:col>
      <xdr:colOff>11906</xdr:colOff>
      <xdr:row>15</xdr:row>
      <xdr:rowOff>119128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5182CDA-C5FD-4E60-841D-C0ABE1BC3D76}"/>
            </a:ext>
          </a:extLst>
        </xdr:cNvPr>
        <xdr:cNvCxnSpPr/>
      </xdr:nvCxnSpPr>
      <xdr:spPr>
        <a:xfrm flipV="1">
          <a:off x="6034881" y="2395538"/>
          <a:ext cx="600075" cy="4159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31</xdr:row>
      <xdr:rowOff>146050</xdr:rowOff>
    </xdr:from>
    <xdr:to>
      <xdr:col>7</xdr:col>
      <xdr:colOff>595312</xdr:colOff>
      <xdr:row>33</xdr:row>
      <xdr:rowOff>119062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4E0BD92-677F-47F9-A975-252A7563FDAD}"/>
            </a:ext>
          </a:extLst>
        </xdr:cNvPr>
        <xdr:cNvCxnSpPr/>
      </xdr:nvCxnSpPr>
      <xdr:spPr>
        <a:xfrm>
          <a:off x="5391150" y="6127750"/>
          <a:ext cx="576262" cy="34131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23</xdr:row>
      <xdr:rowOff>125040</xdr:rowOff>
    </xdr:from>
    <xdr:to>
      <xdr:col>8</xdr:col>
      <xdr:colOff>0</xdr:colOff>
      <xdr:row>25</xdr:row>
      <xdr:rowOff>107156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DAB1D5D-CDC8-4577-95B0-00C3546572CB}"/>
            </a:ext>
          </a:extLst>
        </xdr:cNvPr>
        <xdr:cNvCxnSpPr/>
      </xdr:nvCxnSpPr>
      <xdr:spPr>
        <a:xfrm>
          <a:off x="6042025" y="4290640"/>
          <a:ext cx="581025" cy="35041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8825</xdr:colOff>
      <xdr:row>15</xdr:row>
      <xdr:rowOff>143947</xdr:rowOff>
    </xdr:from>
    <xdr:to>
      <xdr:col>7</xdr:col>
      <xdr:colOff>577272</xdr:colOff>
      <xdr:row>17</xdr:row>
      <xdr:rowOff>92725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02075DA-7ADF-4375-8982-19CB7A525592}"/>
            </a:ext>
          </a:extLst>
        </xdr:cNvPr>
        <xdr:cNvCxnSpPr/>
      </xdr:nvCxnSpPr>
      <xdr:spPr>
        <a:xfrm>
          <a:off x="6022275" y="2836347"/>
          <a:ext cx="568447" cy="31707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7</xdr:row>
      <xdr:rowOff>72159</xdr:rowOff>
    </xdr:from>
    <xdr:to>
      <xdr:col>6</xdr:col>
      <xdr:colOff>0</xdr:colOff>
      <xdr:row>11</xdr:row>
      <xdr:rowOff>44450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FD5C4B5-30B4-4724-97A7-A6ABFF865F07}"/>
            </a:ext>
          </a:extLst>
        </xdr:cNvPr>
        <xdr:cNvCxnSpPr/>
      </xdr:nvCxnSpPr>
      <xdr:spPr>
        <a:xfrm flipV="1">
          <a:off x="3784600" y="1634259"/>
          <a:ext cx="622300" cy="70889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3703</xdr:colOff>
      <xdr:row>23</xdr:row>
      <xdr:rowOff>57727</xdr:rowOff>
    </xdr:from>
    <xdr:to>
      <xdr:col>5</xdr:col>
      <xdr:colOff>577273</xdr:colOff>
      <xdr:row>27</xdr:row>
      <xdr:rowOff>90328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25B4164-CA64-4ABF-B403-B3A9D4ABF231}"/>
            </a:ext>
          </a:extLst>
        </xdr:cNvPr>
        <xdr:cNvCxnSpPr/>
      </xdr:nvCxnSpPr>
      <xdr:spPr>
        <a:xfrm flipV="1">
          <a:off x="4378853" y="4223327"/>
          <a:ext cx="573570" cy="76920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952500</xdr:colOff>
      <xdr:row>27</xdr:row>
      <xdr:rowOff>114300</xdr:rowOff>
    </xdr:from>
    <xdr:to>
      <xdr:col>5</xdr:col>
      <xdr:colOff>631156</xdr:colOff>
      <xdr:row>31</xdr:row>
      <xdr:rowOff>165100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205E43F-E51A-4396-BA49-1129310C3B52}"/>
            </a:ext>
          </a:extLst>
        </xdr:cNvPr>
        <xdr:cNvCxnSpPr/>
      </xdr:nvCxnSpPr>
      <xdr:spPr>
        <a:xfrm>
          <a:off x="3759200" y="5359400"/>
          <a:ext cx="637506" cy="7874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3941</xdr:colOff>
      <xdr:row>5</xdr:row>
      <xdr:rowOff>72159</xdr:rowOff>
    </xdr:from>
    <xdr:to>
      <xdr:col>7</xdr:col>
      <xdr:colOff>591704</xdr:colOff>
      <xdr:row>7</xdr:row>
      <xdr:rowOff>116444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CDFF005-A201-4F84-AAEE-91DE84D613FE}"/>
            </a:ext>
          </a:extLst>
        </xdr:cNvPr>
        <xdr:cNvCxnSpPr/>
      </xdr:nvCxnSpPr>
      <xdr:spPr>
        <a:xfrm flipV="1">
          <a:off x="6017391" y="923059"/>
          <a:ext cx="587763" cy="4125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7</xdr:row>
      <xdr:rowOff>120650</xdr:rowOff>
    </xdr:from>
    <xdr:to>
      <xdr:col>7</xdr:col>
      <xdr:colOff>591704</xdr:colOff>
      <xdr:row>9</xdr:row>
      <xdr:rowOff>101023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E9E9DB5-4D1A-47FE-B15B-6D4D687E1C84}"/>
            </a:ext>
          </a:extLst>
        </xdr:cNvPr>
        <xdr:cNvCxnSpPr/>
      </xdr:nvCxnSpPr>
      <xdr:spPr>
        <a:xfrm>
          <a:off x="5416550" y="1682750"/>
          <a:ext cx="579004" cy="34867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5675</xdr:colOff>
      <xdr:row>11</xdr:row>
      <xdr:rowOff>65425</xdr:rowOff>
    </xdr:from>
    <xdr:to>
      <xdr:col>5</xdr:col>
      <xdr:colOff>577273</xdr:colOff>
      <xdr:row>15</xdr:row>
      <xdr:rowOff>129886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C7502AD-D5DA-4574-8E35-19E5FE5A0E46}"/>
            </a:ext>
          </a:extLst>
        </xdr:cNvPr>
        <xdr:cNvCxnSpPr/>
      </xdr:nvCxnSpPr>
      <xdr:spPr>
        <a:xfrm>
          <a:off x="4380825" y="2021225"/>
          <a:ext cx="571598" cy="80106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971550</xdr:colOff>
      <xdr:row>11</xdr:row>
      <xdr:rowOff>57727</xdr:rowOff>
    </xdr:from>
    <xdr:to>
      <xdr:col>3</xdr:col>
      <xdr:colOff>577273</xdr:colOff>
      <xdr:row>18</xdr:row>
      <xdr:rowOff>101600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B2AA782-001D-469F-9917-9CFD914B5C53}"/>
            </a:ext>
          </a:extLst>
        </xdr:cNvPr>
        <xdr:cNvCxnSpPr/>
      </xdr:nvCxnSpPr>
      <xdr:spPr>
        <a:xfrm flipV="1">
          <a:off x="2800350" y="1905577"/>
          <a:ext cx="583623" cy="133292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5913</xdr:colOff>
      <xdr:row>18</xdr:row>
      <xdr:rowOff>77109</xdr:rowOff>
    </xdr:from>
    <xdr:to>
      <xdr:col>3</xdr:col>
      <xdr:colOff>577273</xdr:colOff>
      <xdr:row>27</xdr:row>
      <xdr:rowOff>115455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6ECFF0F-D38C-40A5-AC92-7F26A5AC6BA4}"/>
            </a:ext>
          </a:extLst>
        </xdr:cNvPr>
        <xdr:cNvCxnSpPr/>
      </xdr:nvCxnSpPr>
      <xdr:spPr>
        <a:xfrm>
          <a:off x="2812613" y="3321959"/>
          <a:ext cx="571360" cy="169569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10680</xdr:colOff>
      <xdr:row>29</xdr:row>
      <xdr:rowOff>95250</xdr:rowOff>
    </xdr:from>
    <xdr:to>
      <xdr:col>7</xdr:col>
      <xdr:colOff>583406</xdr:colOff>
      <xdr:row>31</xdr:row>
      <xdr:rowOff>120691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B6D31F2-1828-47BD-A85B-37C95E4E6CFA}"/>
            </a:ext>
          </a:extLst>
        </xdr:cNvPr>
        <xdr:cNvCxnSpPr/>
      </xdr:nvCxnSpPr>
      <xdr:spPr>
        <a:xfrm flipV="1">
          <a:off x="6024130" y="5365750"/>
          <a:ext cx="572726" cy="39374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28</xdr:row>
      <xdr:rowOff>25400</xdr:rowOff>
    </xdr:from>
    <xdr:to>
      <xdr:col>4</xdr:col>
      <xdr:colOff>482600</xdr:colOff>
      <xdr:row>29</xdr:row>
      <xdr:rowOff>152400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A71FC630-5336-DDBE-A23E-7E9C78BB5A93}"/>
            </a:ext>
          </a:extLst>
        </xdr:cNvPr>
        <xdr:cNvCxnSpPr/>
      </xdr:nvCxnSpPr>
      <xdr:spPr>
        <a:xfrm flipV="1">
          <a:off x="3289300" y="5283200"/>
          <a:ext cx="0" cy="3111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20</xdr:row>
      <xdr:rowOff>173181</xdr:rowOff>
    </xdr:from>
    <xdr:to>
      <xdr:col>5</xdr:col>
      <xdr:colOff>987137</xdr:colOff>
      <xdr:row>31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8BAF1B4-9700-4091-970F-4ADC43B73751}"/>
            </a:ext>
          </a:extLst>
        </xdr:cNvPr>
        <xdr:cNvCxnSpPr/>
      </xdr:nvCxnSpPr>
      <xdr:spPr>
        <a:xfrm flipV="1">
          <a:off x="4508501" y="4129231"/>
          <a:ext cx="987136" cy="185246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31</xdr:row>
      <xdr:rowOff>25400</xdr:rowOff>
    </xdr:from>
    <xdr:to>
      <xdr:col>5</xdr:col>
      <xdr:colOff>1054100</xdr:colOff>
      <xdr:row>41</xdr:row>
      <xdr:rowOff>6350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01593C6-F946-4C68-9B44-CD75EB8ABA51}"/>
            </a:ext>
          </a:extLst>
        </xdr:cNvPr>
        <xdr:cNvCxnSpPr/>
      </xdr:nvCxnSpPr>
      <xdr:spPr>
        <a:xfrm>
          <a:off x="4787900" y="5568950"/>
          <a:ext cx="1054100" cy="1822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17317</xdr:colOff>
      <xdr:row>13</xdr:row>
      <xdr:rowOff>173181</xdr:rowOff>
    </xdr:from>
    <xdr:to>
      <xdr:col>9</xdr:col>
      <xdr:colOff>969818</xdr:colOff>
      <xdr:row>16</xdr:row>
      <xdr:rowOff>155864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F0D0F53-E3A5-45C4-90AE-80C95143544C}"/>
            </a:ext>
          </a:extLst>
        </xdr:cNvPr>
        <xdr:cNvCxnSpPr/>
      </xdr:nvCxnSpPr>
      <xdr:spPr>
        <a:xfrm flipV="1">
          <a:off x="8634267" y="2840181"/>
          <a:ext cx="952501" cy="53513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13854</xdr:colOff>
      <xdr:row>16</xdr:row>
      <xdr:rowOff>169718</xdr:rowOff>
    </xdr:from>
    <xdr:to>
      <xdr:col>9</xdr:col>
      <xdr:colOff>1004454</xdr:colOff>
      <xdr:row>19</xdr:row>
      <xdr:rowOff>69272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7567DC5-1715-4229-811E-E7D08037EDD2}"/>
            </a:ext>
          </a:extLst>
        </xdr:cNvPr>
        <xdr:cNvCxnSpPr/>
      </xdr:nvCxnSpPr>
      <xdr:spPr>
        <a:xfrm>
          <a:off x="8630804" y="3389168"/>
          <a:ext cx="990600" cy="45200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10390</xdr:colOff>
      <xdr:row>21</xdr:row>
      <xdr:rowOff>25683</xdr:rowOff>
    </xdr:from>
    <xdr:to>
      <xdr:col>7</xdr:col>
      <xdr:colOff>795631</xdr:colOff>
      <xdr:row>26</xdr:row>
      <xdr:rowOff>24681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7A1CB08-76B9-47A3-B1A9-8093F906B6D6}"/>
            </a:ext>
          </a:extLst>
        </xdr:cNvPr>
        <xdr:cNvCxnSpPr/>
      </xdr:nvCxnSpPr>
      <xdr:spPr>
        <a:xfrm>
          <a:off x="6639790" y="4165883"/>
          <a:ext cx="785241" cy="91974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24245</xdr:colOff>
      <xdr:row>25</xdr:row>
      <xdr:rowOff>176056</xdr:rowOff>
    </xdr:from>
    <xdr:to>
      <xdr:col>9</xdr:col>
      <xdr:colOff>987136</xdr:colOff>
      <xdr:row>29</xdr:row>
      <xdr:rowOff>51954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AB34F93-4C6C-4682-9506-0BC3C1E3CD29}"/>
            </a:ext>
          </a:extLst>
        </xdr:cNvPr>
        <xdr:cNvCxnSpPr/>
      </xdr:nvCxnSpPr>
      <xdr:spPr>
        <a:xfrm>
          <a:off x="8641195" y="5052856"/>
          <a:ext cx="962891" cy="61249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20782</xdr:colOff>
      <xdr:row>37</xdr:row>
      <xdr:rowOff>14703</xdr:rowOff>
    </xdr:from>
    <xdr:to>
      <xdr:col>9</xdr:col>
      <xdr:colOff>1004454</xdr:colOff>
      <xdr:row>39</xdr:row>
      <xdr:rowOff>34636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960177D-CD07-4D05-8182-E568EBAC6D46}"/>
            </a:ext>
          </a:extLst>
        </xdr:cNvPr>
        <xdr:cNvCxnSpPr/>
      </xdr:nvCxnSpPr>
      <xdr:spPr>
        <a:xfrm>
          <a:off x="8637732" y="7101303"/>
          <a:ext cx="983672" cy="38823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17318</xdr:colOff>
      <xdr:row>45</xdr:row>
      <xdr:rowOff>167103</xdr:rowOff>
    </xdr:from>
    <xdr:to>
      <xdr:col>9</xdr:col>
      <xdr:colOff>969818</xdr:colOff>
      <xdr:row>49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C1E5E38-E861-4F22-BDC4-A376A2CCB61C}"/>
            </a:ext>
          </a:extLst>
        </xdr:cNvPr>
        <xdr:cNvCxnSpPr/>
      </xdr:nvCxnSpPr>
      <xdr:spPr>
        <a:xfrm>
          <a:off x="8634268" y="8726903"/>
          <a:ext cx="952500" cy="56949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31172</xdr:colOff>
      <xdr:row>41</xdr:row>
      <xdr:rowOff>23066</xdr:rowOff>
    </xdr:from>
    <xdr:to>
      <xdr:col>7</xdr:col>
      <xdr:colOff>920750</xdr:colOff>
      <xdr:row>46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E72E012-4746-4DCE-9F23-705A6BB4596D}"/>
            </a:ext>
          </a:extLst>
        </xdr:cNvPr>
        <xdr:cNvCxnSpPr/>
      </xdr:nvCxnSpPr>
      <xdr:spPr>
        <a:xfrm>
          <a:off x="6939972" y="7408116"/>
          <a:ext cx="889578" cy="8976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17318</xdr:colOff>
      <xdr:row>23</xdr:row>
      <xdr:rowOff>162104</xdr:rowOff>
    </xdr:from>
    <xdr:to>
      <xdr:col>9</xdr:col>
      <xdr:colOff>987136</xdr:colOff>
      <xdr:row>25</xdr:row>
      <xdr:rowOff>144787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21BD605-4763-464B-A0D6-A1E2F54B4B30}"/>
            </a:ext>
          </a:extLst>
        </xdr:cNvPr>
        <xdr:cNvCxnSpPr/>
      </xdr:nvCxnSpPr>
      <xdr:spPr>
        <a:xfrm flipV="1">
          <a:off x="8634268" y="4670604"/>
          <a:ext cx="969818" cy="35098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13854</xdr:colOff>
      <xdr:row>34</xdr:row>
      <xdr:rowOff>17318</xdr:rowOff>
    </xdr:from>
    <xdr:to>
      <xdr:col>9</xdr:col>
      <xdr:colOff>969818</xdr:colOff>
      <xdr:row>36</xdr:row>
      <xdr:rowOff>187037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50AC73B-94DD-4437-986D-1DA287B06D0E}"/>
            </a:ext>
          </a:extLst>
        </xdr:cNvPr>
        <xdr:cNvCxnSpPr/>
      </xdr:nvCxnSpPr>
      <xdr:spPr>
        <a:xfrm flipV="1">
          <a:off x="8630804" y="6551468"/>
          <a:ext cx="955964" cy="53801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997527</xdr:colOff>
      <xdr:row>44</xdr:row>
      <xdr:rowOff>0</xdr:rowOff>
    </xdr:from>
    <xdr:to>
      <xdr:col>9</xdr:col>
      <xdr:colOff>1004454</xdr:colOff>
      <xdr:row>45</xdr:row>
      <xdr:rowOff>148936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6F5C42B-322E-4D91-99C6-98BF151B9F41}"/>
            </a:ext>
          </a:extLst>
        </xdr:cNvPr>
        <xdr:cNvCxnSpPr/>
      </xdr:nvCxnSpPr>
      <xdr:spPr>
        <a:xfrm flipV="1">
          <a:off x="8554027" y="8375650"/>
          <a:ext cx="1067377" cy="33308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41563</xdr:colOff>
      <xdr:row>37</xdr:row>
      <xdr:rowOff>17318</xdr:rowOff>
    </xdr:from>
    <xdr:to>
      <xdr:col>7</xdr:col>
      <xdr:colOff>848591</xdr:colOff>
      <xdr:row>40</xdr:row>
      <xdr:rowOff>180109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0844D4F-2E4D-41B2-A506-0BAE7FAEE812}"/>
            </a:ext>
          </a:extLst>
        </xdr:cNvPr>
        <xdr:cNvCxnSpPr/>
      </xdr:nvCxnSpPr>
      <xdr:spPr>
        <a:xfrm flipV="1">
          <a:off x="6670963" y="7103918"/>
          <a:ext cx="807028" cy="71524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20782</xdr:colOff>
      <xdr:row>17</xdr:row>
      <xdr:rowOff>0</xdr:rowOff>
    </xdr:from>
    <xdr:to>
      <xdr:col>7</xdr:col>
      <xdr:colOff>865909</xdr:colOff>
      <xdr:row>21</xdr:row>
      <xdr:rowOff>20782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D9D2ED3-6B45-48B4-8A43-3296E7228998}"/>
            </a:ext>
          </a:extLst>
        </xdr:cNvPr>
        <xdr:cNvCxnSpPr/>
      </xdr:nvCxnSpPr>
      <xdr:spPr>
        <a:xfrm flipV="1">
          <a:off x="6650182" y="3403600"/>
          <a:ext cx="845127" cy="75738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17009</xdr:colOff>
      <xdr:row>20</xdr:row>
      <xdr:rowOff>12700</xdr:rowOff>
    </xdr:from>
    <xdr:to>
      <xdr:col>4</xdr:col>
      <xdr:colOff>787400</xdr:colOff>
      <xdr:row>30</xdr:row>
      <xdr:rowOff>153080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2E45921-9149-43C6-9C01-2E9EC4E546C8}"/>
            </a:ext>
          </a:extLst>
        </xdr:cNvPr>
        <xdr:cNvCxnSpPr/>
      </xdr:nvCxnSpPr>
      <xdr:spPr>
        <a:xfrm flipV="1">
          <a:off x="3528559" y="3530600"/>
          <a:ext cx="770391" cy="19818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16328</xdr:colOff>
      <xdr:row>30</xdr:row>
      <xdr:rowOff>169408</xdr:rowOff>
    </xdr:from>
    <xdr:to>
      <xdr:col>4</xdr:col>
      <xdr:colOff>768350</xdr:colOff>
      <xdr:row>41</xdr:row>
      <xdr:rowOff>165100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8C14FCB-65E7-4A9F-ADC2-978D0924B9CE}"/>
            </a:ext>
          </a:extLst>
        </xdr:cNvPr>
        <xdr:cNvCxnSpPr/>
      </xdr:nvCxnSpPr>
      <xdr:spPr>
        <a:xfrm>
          <a:off x="3527878" y="5528808"/>
          <a:ext cx="752022" cy="202134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825500</xdr:colOff>
      <xdr:row>16</xdr:row>
      <xdr:rowOff>28276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1C6DC92-1457-48F8-8F21-92D7EE48947D}"/>
            </a:ext>
          </a:extLst>
        </xdr:cNvPr>
        <xdr:cNvCxnSpPr/>
      </xdr:nvCxnSpPr>
      <xdr:spPr>
        <a:xfrm flipV="1">
          <a:off x="7296150" y="2413000"/>
          <a:ext cx="825500" cy="39657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16328</xdr:colOff>
      <xdr:row>16</xdr:row>
      <xdr:rowOff>27595</xdr:rowOff>
    </xdr:from>
    <xdr:to>
      <xdr:col>8</xdr:col>
      <xdr:colOff>825500</xdr:colOff>
      <xdr:row>19</xdr:row>
      <xdr:rowOff>25400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4A9033C-5A3D-44C5-8522-04304BEE1E79}"/>
            </a:ext>
          </a:extLst>
        </xdr:cNvPr>
        <xdr:cNvCxnSpPr/>
      </xdr:nvCxnSpPr>
      <xdr:spPr>
        <a:xfrm>
          <a:off x="7312478" y="2808895"/>
          <a:ext cx="809172" cy="55025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</xdr:colOff>
      <xdr:row>23</xdr:row>
      <xdr:rowOff>163739</xdr:rowOff>
    </xdr:from>
    <xdr:to>
      <xdr:col>8</xdr:col>
      <xdr:colOff>824593</xdr:colOff>
      <xdr:row>25</xdr:row>
      <xdr:rowOff>173646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3F54052-1C25-4C21-A236-F3DF7682F8DE}"/>
            </a:ext>
          </a:extLst>
        </xdr:cNvPr>
        <xdr:cNvCxnSpPr/>
      </xdr:nvCxnSpPr>
      <xdr:spPr>
        <a:xfrm flipV="1">
          <a:off x="7318375" y="4234089"/>
          <a:ext cx="802368" cy="37820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14968</xdr:colOff>
      <xdr:row>26</xdr:row>
      <xdr:rowOff>1515</xdr:rowOff>
    </xdr:from>
    <xdr:to>
      <xdr:col>8</xdr:col>
      <xdr:colOff>806450</xdr:colOff>
      <xdr:row>29</xdr:row>
      <xdr:rowOff>19050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9D9068B-D4F8-4614-B762-053532C01958}"/>
            </a:ext>
          </a:extLst>
        </xdr:cNvPr>
        <xdr:cNvCxnSpPr/>
      </xdr:nvCxnSpPr>
      <xdr:spPr>
        <a:xfrm>
          <a:off x="7311118" y="4624315"/>
          <a:ext cx="791482" cy="5699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14288</xdr:colOff>
      <xdr:row>34</xdr:row>
      <xdr:rowOff>17008</xdr:rowOff>
    </xdr:from>
    <xdr:to>
      <xdr:col>8</xdr:col>
      <xdr:colOff>782411</xdr:colOff>
      <xdr:row>37</xdr:row>
      <xdr:rowOff>25554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B943777-86B1-4B4B-8FD9-DA941BB0D9DD}"/>
            </a:ext>
          </a:extLst>
        </xdr:cNvPr>
        <xdr:cNvCxnSpPr/>
      </xdr:nvCxnSpPr>
      <xdr:spPr>
        <a:xfrm flipV="1">
          <a:off x="7310438" y="6417808"/>
          <a:ext cx="768123" cy="56099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37</xdr:row>
      <xdr:rowOff>25400</xdr:rowOff>
    </xdr:from>
    <xdr:to>
      <xdr:col>8</xdr:col>
      <xdr:colOff>831850</xdr:colOff>
      <xdr:row>39</xdr:row>
      <xdr:rowOff>6350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F3471D8-B751-4F01-ACDA-DB3102B5A62E}"/>
            </a:ext>
          </a:extLst>
        </xdr:cNvPr>
        <xdr:cNvCxnSpPr/>
      </xdr:nvCxnSpPr>
      <xdr:spPr>
        <a:xfrm>
          <a:off x="7308850" y="6673850"/>
          <a:ext cx="819150" cy="3492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12927</xdr:colOff>
      <xdr:row>15</xdr:row>
      <xdr:rowOff>152400</xdr:rowOff>
    </xdr:from>
    <xdr:to>
      <xdr:col>6</xdr:col>
      <xdr:colOff>787400</xdr:colOff>
      <xdr:row>20</xdr:row>
      <xdr:rowOff>7184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C7A6A36-C56A-4EBE-B662-2EEBDC882A6F}"/>
            </a:ext>
          </a:extLst>
        </xdr:cNvPr>
        <xdr:cNvCxnSpPr/>
      </xdr:nvCxnSpPr>
      <xdr:spPr>
        <a:xfrm flipV="1">
          <a:off x="5429477" y="2749550"/>
          <a:ext cx="774473" cy="77553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20</xdr:row>
      <xdr:rowOff>12700</xdr:rowOff>
    </xdr:from>
    <xdr:to>
      <xdr:col>6</xdr:col>
      <xdr:colOff>768350</xdr:colOff>
      <xdr:row>26</xdr:row>
      <xdr:rowOff>38100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B4E8062-DFC5-4080-BCB4-D8C9C471E4DF}"/>
            </a:ext>
          </a:extLst>
        </xdr:cNvPr>
        <xdr:cNvCxnSpPr/>
      </xdr:nvCxnSpPr>
      <xdr:spPr>
        <a:xfrm>
          <a:off x="5429250" y="3530600"/>
          <a:ext cx="755650" cy="1130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16102</xdr:colOff>
      <xdr:row>36</xdr:row>
      <xdr:rowOff>146730</xdr:rowOff>
    </xdr:from>
    <xdr:to>
      <xdr:col>6</xdr:col>
      <xdr:colOff>796925</xdr:colOff>
      <xdr:row>41</xdr:row>
      <xdr:rowOff>183625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4D22F1E-54E0-4C8E-A118-0B612270F4B7}"/>
            </a:ext>
          </a:extLst>
        </xdr:cNvPr>
        <xdr:cNvCxnSpPr/>
      </xdr:nvCxnSpPr>
      <xdr:spPr>
        <a:xfrm flipV="1">
          <a:off x="5432652" y="6611030"/>
          <a:ext cx="780823" cy="9576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10886</xdr:colOff>
      <xdr:row>44</xdr:row>
      <xdr:rowOff>17009</xdr:rowOff>
    </xdr:from>
    <xdr:to>
      <xdr:col>8</xdr:col>
      <xdr:colOff>765402</xdr:colOff>
      <xdr:row>46</xdr:row>
      <xdr:rowOff>5145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1C8DF863-668A-4D30-BAB6-AB74F813FF02}"/>
            </a:ext>
          </a:extLst>
        </xdr:cNvPr>
        <xdr:cNvCxnSpPr/>
      </xdr:nvCxnSpPr>
      <xdr:spPr>
        <a:xfrm flipV="1">
          <a:off x="7307036" y="8259309"/>
          <a:ext cx="754516" cy="35643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23132</xdr:colOff>
      <xdr:row>46</xdr:row>
      <xdr:rowOff>17164</xdr:rowOff>
    </xdr:from>
    <xdr:to>
      <xdr:col>9</xdr:col>
      <xdr:colOff>9752</xdr:colOff>
      <xdr:row>49</xdr:row>
      <xdr:rowOff>63727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50C1FA8-467A-4B70-AD77-DA83CF09A911}"/>
            </a:ext>
          </a:extLst>
        </xdr:cNvPr>
        <xdr:cNvCxnSpPr/>
      </xdr:nvCxnSpPr>
      <xdr:spPr>
        <a:xfrm>
          <a:off x="7319282" y="8322964"/>
          <a:ext cx="824820" cy="59901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41</xdr:row>
      <xdr:rowOff>156864</xdr:rowOff>
    </xdr:from>
    <xdr:to>
      <xdr:col>6</xdr:col>
      <xdr:colOff>768350</xdr:colOff>
      <xdr:row>46</xdr:row>
      <xdr:rowOff>25400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B1196B6-1560-4D2B-934A-624BEDC609A6}"/>
            </a:ext>
          </a:extLst>
        </xdr:cNvPr>
        <xdr:cNvCxnSpPr/>
      </xdr:nvCxnSpPr>
      <xdr:spPr>
        <a:xfrm>
          <a:off x="5426075" y="7541914"/>
          <a:ext cx="758825" cy="78928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95250</xdr:rowOff>
    </xdr:from>
    <xdr:to>
      <xdr:col>3</xdr:col>
      <xdr:colOff>825500</xdr:colOff>
      <xdr:row>19</xdr:row>
      <xdr:rowOff>101600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7963CD9-45AB-4E14-B22F-2665B09E302C}"/>
            </a:ext>
          </a:extLst>
        </xdr:cNvPr>
        <xdr:cNvCxnSpPr/>
      </xdr:nvCxnSpPr>
      <xdr:spPr>
        <a:xfrm flipV="1">
          <a:off x="3517900" y="3416300"/>
          <a:ext cx="825500" cy="2032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19</xdr:row>
      <xdr:rowOff>88900</xdr:rowOff>
    </xdr:from>
    <xdr:to>
      <xdr:col>4</xdr:col>
      <xdr:colOff>0</xdr:colOff>
      <xdr:row>27</xdr:row>
      <xdr:rowOff>127000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B9F4C45-6B24-49E3-8AA0-E1D06967A3C6}"/>
            </a:ext>
          </a:extLst>
        </xdr:cNvPr>
        <xdr:cNvCxnSpPr/>
      </xdr:nvCxnSpPr>
      <xdr:spPr>
        <a:xfrm>
          <a:off x="3060700" y="5435600"/>
          <a:ext cx="596900" cy="20637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6</xdr:row>
      <xdr:rowOff>43089</xdr:rowOff>
    </xdr:from>
    <xdr:to>
      <xdr:col>8</xdr:col>
      <xdr:colOff>14060</xdr:colOff>
      <xdr:row>8</xdr:row>
      <xdr:rowOff>85426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8ABC19A-4BDB-4C4D-8313-1AAC362C08C6}"/>
            </a:ext>
          </a:extLst>
        </xdr:cNvPr>
        <xdr:cNvCxnSpPr/>
      </xdr:nvCxnSpPr>
      <xdr:spPr>
        <a:xfrm flipV="1">
          <a:off x="5499100" y="2259239"/>
          <a:ext cx="610960" cy="41063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9978</xdr:colOff>
      <xdr:row>8</xdr:row>
      <xdr:rowOff>110145</xdr:rowOff>
    </xdr:from>
    <xdr:to>
      <xdr:col>7</xdr:col>
      <xdr:colOff>835252</xdr:colOff>
      <xdr:row>10</xdr:row>
      <xdr:rowOff>116568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01D86BB-5E41-4943-9609-167CFAAA7A87}"/>
            </a:ext>
          </a:extLst>
        </xdr:cNvPr>
        <xdr:cNvCxnSpPr/>
      </xdr:nvCxnSpPr>
      <xdr:spPr>
        <a:xfrm>
          <a:off x="6906078" y="2694595"/>
          <a:ext cx="825274" cy="55887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13</xdr:row>
      <xdr:rowOff>107950</xdr:rowOff>
    </xdr:from>
    <xdr:to>
      <xdr:col>7</xdr:col>
      <xdr:colOff>831850</xdr:colOff>
      <xdr:row>15</xdr:row>
      <xdr:rowOff>88900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C2BDA05-39F4-4065-9308-9D459E483385}"/>
            </a:ext>
          </a:extLst>
        </xdr:cNvPr>
        <xdr:cNvCxnSpPr/>
      </xdr:nvCxnSpPr>
      <xdr:spPr>
        <a:xfrm flipV="1">
          <a:off x="6908800" y="4165600"/>
          <a:ext cx="819150" cy="3492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15</xdr:row>
      <xdr:rowOff>101600</xdr:rowOff>
    </xdr:from>
    <xdr:to>
      <xdr:col>8</xdr:col>
      <xdr:colOff>25400</xdr:colOff>
      <xdr:row>17</xdr:row>
      <xdr:rowOff>158750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E146F1F-65A7-4292-8666-444809B672C7}"/>
            </a:ext>
          </a:extLst>
        </xdr:cNvPr>
        <xdr:cNvCxnSpPr/>
      </xdr:nvCxnSpPr>
      <xdr:spPr>
        <a:xfrm>
          <a:off x="5499100" y="4527550"/>
          <a:ext cx="622300" cy="6096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21</xdr:row>
      <xdr:rowOff>101600</xdr:rowOff>
    </xdr:from>
    <xdr:to>
      <xdr:col>8</xdr:col>
      <xdr:colOff>0</xdr:colOff>
      <xdr:row>23</xdr:row>
      <xdr:rowOff>82550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970EE78-9D12-44C3-B33A-CED3BE268701}"/>
            </a:ext>
          </a:extLst>
        </xdr:cNvPr>
        <xdr:cNvCxnSpPr/>
      </xdr:nvCxnSpPr>
      <xdr:spPr>
        <a:xfrm flipV="1">
          <a:off x="6921500" y="6000750"/>
          <a:ext cx="819150" cy="5334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23</xdr:row>
      <xdr:rowOff>101600</xdr:rowOff>
    </xdr:from>
    <xdr:to>
      <xdr:col>8</xdr:col>
      <xdr:colOff>12700</xdr:colOff>
      <xdr:row>25</xdr:row>
      <xdr:rowOff>133350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C266763-5BC8-43DC-91E4-0DEA9F05B161}"/>
            </a:ext>
          </a:extLst>
        </xdr:cNvPr>
        <xdr:cNvCxnSpPr/>
      </xdr:nvCxnSpPr>
      <xdr:spPr>
        <a:xfrm>
          <a:off x="5505450" y="6553200"/>
          <a:ext cx="603250" cy="400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25627</xdr:colOff>
      <xdr:row>8</xdr:row>
      <xdr:rowOff>95250</xdr:rowOff>
    </xdr:from>
    <xdr:to>
      <xdr:col>6</xdr:col>
      <xdr:colOff>9525</xdr:colOff>
      <xdr:row>11</xdr:row>
      <xdr:rowOff>102434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EC99CBA-2603-4983-8826-6F48E2FC3DF5}"/>
            </a:ext>
          </a:extLst>
        </xdr:cNvPr>
        <xdr:cNvCxnSpPr/>
      </xdr:nvCxnSpPr>
      <xdr:spPr>
        <a:xfrm flipV="1">
          <a:off x="4292827" y="2679700"/>
          <a:ext cx="593498" cy="7437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11</xdr:row>
      <xdr:rowOff>69850</xdr:rowOff>
    </xdr:from>
    <xdr:to>
      <xdr:col>5</xdr:col>
      <xdr:colOff>825500</xdr:colOff>
      <xdr:row>15</xdr:row>
      <xdr:rowOff>127000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AA7F6E5-7DA3-4368-B445-9C116C76A294}"/>
            </a:ext>
          </a:extLst>
        </xdr:cNvPr>
        <xdr:cNvCxnSpPr/>
      </xdr:nvCxnSpPr>
      <xdr:spPr>
        <a:xfrm>
          <a:off x="5219700" y="3390900"/>
          <a:ext cx="812800" cy="1162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57150</xdr:rowOff>
    </xdr:from>
    <xdr:to>
      <xdr:col>5</xdr:col>
      <xdr:colOff>831850</xdr:colOff>
      <xdr:row>27</xdr:row>
      <xdr:rowOff>101600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D3A95B1-A6D4-414E-B7B4-BC7E997ECCA9}"/>
            </a:ext>
          </a:extLst>
        </xdr:cNvPr>
        <xdr:cNvCxnSpPr/>
      </xdr:nvCxnSpPr>
      <xdr:spPr>
        <a:xfrm flipV="1">
          <a:off x="5207000" y="6508750"/>
          <a:ext cx="831850" cy="9652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10886</xdr:colOff>
      <xdr:row>29</xdr:row>
      <xdr:rowOff>107950</xdr:rowOff>
    </xdr:from>
    <xdr:to>
      <xdr:col>8</xdr:col>
      <xdr:colOff>6350</xdr:colOff>
      <xdr:row>31</xdr:row>
      <xdr:rowOff>100395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EEB5E8A-09AE-4E2B-A8A2-C4026C77A531}"/>
            </a:ext>
          </a:extLst>
        </xdr:cNvPr>
        <xdr:cNvCxnSpPr/>
      </xdr:nvCxnSpPr>
      <xdr:spPr>
        <a:xfrm flipV="1">
          <a:off x="6906986" y="7848600"/>
          <a:ext cx="840014" cy="3607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31</xdr:row>
      <xdr:rowOff>114300</xdr:rowOff>
    </xdr:from>
    <xdr:to>
      <xdr:col>8</xdr:col>
      <xdr:colOff>12700</xdr:colOff>
      <xdr:row>33</xdr:row>
      <xdr:rowOff>133350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7B6B345-7467-4E2B-A610-F023D4501227}"/>
            </a:ext>
          </a:extLst>
        </xdr:cNvPr>
        <xdr:cNvCxnSpPr/>
      </xdr:nvCxnSpPr>
      <xdr:spPr>
        <a:xfrm>
          <a:off x="6908800" y="8223250"/>
          <a:ext cx="844550" cy="571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27</xdr:row>
      <xdr:rowOff>82550</xdr:rowOff>
    </xdr:from>
    <xdr:to>
      <xdr:col>5</xdr:col>
      <xdr:colOff>831850</xdr:colOff>
      <xdr:row>31</xdr:row>
      <xdr:rowOff>114300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6F915BD-B4F1-421B-94F4-F618842FC20F}"/>
            </a:ext>
          </a:extLst>
        </xdr:cNvPr>
        <xdr:cNvCxnSpPr/>
      </xdr:nvCxnSpPr>
      <xdr:spPr>
        <a:xfrm>
          <a:off x="5226050" y="7454900"/>
          <a:ext cx="812800" cy="7683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30</xdr:row>
      <xdr:rowOff>157043</xdr:rowOff>
    </xdr:from>
    <xdr:to>
      <xdr:col>4</xdr:col>
      <xdr:colOff>1003709</xdr:colOff>
      <xdr:row>60</xdr:row>
      <xdr:rowOff>26286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56CBF856-177A-464A-A8BB-B9CCA9DD4ECE}"/>
            </a:ext>
          </a:extLst>
        </xdr:cNvPr>
        <xdr:cNvCxnSpPr/>
      </xdr:nvCxnSpPr>
      <xdr:spPr>
        <a:xfrm flipV="1">
          <a:off x="4165054" y="6541183"/>
          <a:ext cx="1003709" cy="650601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16556</xdr:colOff>
      <xdr:row>97</xdr:row>
      <xdr:rowOff>177585</xdr:rowOff>
    </xdr:from>
    <xdr:to>
      <xdr:col>12</xdr:col>
      <xdr:colOff>758771</xdr:colOff>
      <xdr:row>103</xdr:row>
      <xdr:rowOff>21897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1899C95-BC3F-4274-B08A-B83A88E4560F}"/>
            </a:ext>
          </a:extLst>
        </xdr:cNvPr>
        <xdr:cNvCxnSpPr/>
      </xdr:nvCxnSpPr>
      <xdr:spPr>
        <a:xfrm flipV="1">
          <a:off x="14922345" y="19862585"/>
          <a:ext cx="1722566" cy="98062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42</xdr:row>
      <xdr:rowOff>177527</xdr:rowOff>
    </xdr:from>
    <xdr:to>
      <xdr:col>13</xdr:col>
      <xdr:colOff>0</xdr:colOff>
      <xdr:row>47</xdr:row>
      <xdr:rowOff>13586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25D1FBD-13B5-4717-A961-C68D43FF02A2}"/>
            </a:ext>
          </a:extLst>
        </xdr:cNvPr>
        <xdr:cNvCxnSpPr/>
      </xdr:nvCxnSpPr>
      <xdr:spPr>
        <a:xfrm flipV="1">
          <a:off x="14685502" y="9326989"/>
          <a:ext cx="1797186" cy="75783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16144</xdr:colOff>
      <xdr:row>60</xdr:row>
      <xdr:rowOff>16144</xdr:rowOff>
    </xdr:from>
    <xdr:to>
      <xdr:col>4</xdr:col>
      <xdr:colOff>996881</xdr:colOff>
      <xdr:row>87</xdr:row>
      <xdr:rowOff>109247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1D51D96-7318-4DF9-BE83-E4809028C4B3}"/>
            </a:ext>
          </a:extLst>
        </xdr:cNvPr>
        <xdr:cNvCxnSpPr/>
      </xdr:nvCxnSpPr>
      <xdr:spPr>
        <a:xfrm>
          <a:off x="4181198" y="13037058"/>
          <a:ext cx="980737" cy="59924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22494</xdr:colOff>
      <xdr:row>11</xdr:row>
      <xdr:rowOff>177584</xdr:rowOff>
    </xdr:from>
    <xdr:to>
      <xdr:col>12</xdr:col>
      <xdr:colOff>758771</xdr:colOff>
      <xdr:row>16</xdr:row>
      <xdr:rowOff>348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D276408-68B1-4233-AAA7-B5381A28CF53}"/>
            </a:ext>
          </a:extLst>
        </xdr:cNvPr>
        <xdr:cNvCxnSpPr/>
      </xdr:nvCxnSpPr>
      <xdr:spPr>
        <a:xfrm flipV="1">
          <a:off x="14240144" y="4228884"/>
          <a:ext cx="1714177" cy="74351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20483</xdr:colOff>
      <xdr:row>47</xdr:row>
      <xdr:rowOff>13655</xdr:rowOff>
    </xdr:from>
    <xdr:to>
      <xdr:col>12</xdr:col>
      <xdr:colOff>826183</xdr:colOff>
      <xdr:row>51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552F8F5-3A21-4625-A103-CEAD41599C5E}"/>
            </a:ext>
          </a:extLst>
        </xdr:cNvPr>
        <xdr:cNvCxnSpPr/>
      </xdr:nvCxnSpPr>
      <xdr:spPr>
        <a:xfrm>
          <a:off x="14686935" y="10084892"/>
          <a:ext cx="1782097" cy="72376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15</xdr:row>
      <xdr:rowOff>10584</xdr:rowOff>
    </xdr:from>
    <xdr:to>
      <xdr:col>8</xdr:col>
      <xdr:colOff>984250</xdr:colOff>
      <xdr:row>31</xdr:row>
      <xdr:rowOff>115186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8B6055C-92F8-47BC-9B3C-B8E8728CE716}"/>
            </a:ext>
          </a:extLst>
        </xdr:cNvPr>
        <xdr:cNvCxnSpPr/>
      </xdr:nvCxnSpPr>
      <xdr:spPr>
        <a:xfrm flipV="1">
          <a:off x="8460317" y="2794001"/>
          <a:ext cx="1953683" cy="375585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13656</xdr:colOff>
      <xdr:row>31</xdr:row>
      <xdr:rowOff>75107</xdr:rowOff>
    </xdr:from>
    <xdr:to>
      <xdr:col>8</xdr:col>
      <xdr:colOff>952500</xdr:colOff>
      <xdr:row>48</xdr:row>
      <xdr:rowOff>42333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EA0FD76A-9880-4078-B2CF-F7087BAD5BEC}"/>
            </a:ext>
          </a:extLst>
        </xdr:cNvPr>
        <xdr:cNvCxnSpPr/>
      </xdr:nvCxnSpPr>
      <xdr:spPr>
        <a:xfrm>
          <a:off x="8425699" y="6643602"/>
          <a:ext cx="1935726" cy="365432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28844</xdr:colOff>
      <xdr:row>88</xdr:row>
      <xdr:rowOff>69660</xdr:rowOff>
    </xdr:from>
    <xdr:to>
      <xdr:col>8</xdr:col>
      <xdr:colOff>873394</xdr:colOff>
      <xdr:row>102</xdr:row>
      <xdr:rowOff>62424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94D061D-4319-4D57-90FA-EE5711DB1532}"/>
            </a:ext>
          </a:extLst>
        </xdr:cNvPr>
        <xdr:cNvCxnSpPr/>
      </xdr:nvCxnSpPr>
      <xdr:spPr>
        <a:xfrm>
          <a:off x="7991744" y="21519960"/>
          <a:ext cx="1841500" cy="305346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70</xdr:row>
      <xdr:rowOff>47795</xdr:rowOff>
    </xdr:from>
    <xdr:to>
      <xdr:col>8</xdr:col>
      <xdr:colOff>976398</xdr:colOff>
      <xdr:row>88</xdr:row>
      <xdr:rowOff>64386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F768AC2-5E89-4043-BD18-D342EF6C9EBB}"/>
            </a:ext>
          </a:extLst>
        </xdr:cNvPr>
        <xdr:cNvCxnSpPr/>
      </xdr:nvCxnSpPr>
      <xdr:spPr>
        <a:xfrm flipV="1">
          <a:off x="8450143" y="15649677"/>
          <a:ext cx="1935180" cy="351933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15068</xdr:colOff>
      <xdr:row>72</xdr:row>
      <xdr:rowOff>55883</xdr:rowOff>
    </xdr:from>
    <xdr:to>
      <xdr:col>13</xdr:col>
      <xdr:colOff>0</xdr:colOff>
      <xdr:row>76</xdr:row>
      <xdr:rowOff>40967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14179B5-F920-4BAC-BF10-3873351B0C60}"/>
            </a:ext>
          </a:extLst>
        </xdr:cNvPr>
        <xdr:cNvCxnSpPr/>
      </xdr:nvCxnSpPr>
      <xdr:spPr>
        <a:xfrm>
          <a:off x="14681520" y="16026474"/>
          <a:ext cx="1801168" cy="72250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25400</xdr:colOff>
      <xdr:row>67</xdr:row>
      <xdr:rowOff>122903</xdr:rowOff>
    </xdr:from>
    <xdr:to>
      <xdr:col>12</xdr:col>
      <xdr:colOff>826183</xdr:colOff>
      <xdr:row>72</xdr:row>
      <xdr:rowOff>51686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85693F31-83D7-453B-957E-E9C3E1DA9A53}"/>
            </a:ext>
          </a:extLst>
        </xdr:cNvPr>
        <xdr:cNvCxnSpPr/>
      </xdr:nvCxnSpPr>
      <xdr:spPr>
        <a:xfrm flipV="1">
          <a:off x="14691852" y="15171720"/>
          <a:ext cx="1777180" cy="85055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26276</xdr:colOff>
      <xdr:row>103</xdr:row>
      <xdr:rowOff>43793</xdr:rowOff>
    </xdr:from>
    <xdr:to>
      <xdr:col>12</xdr:col>
      <xdr:colOff>791059</xdr:colOff>
      <xdr:row>106</xdr:row>
      <xdr:rowOff>80720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787C953-22D0-4997-9C60-85D676D32A89}"/>
            </a:ext>
          </a:extLst>
        </xdr:cNvPr>
        <xdr:cNvCxnSpPr/>
      </xdr:nvCxnSpPr>
      <xdr:spPr>
        <a:xfrm>
          <a:off x="14946586" y="22325724"/>
          <a:ext cx="1741370" cy="5887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15416</xdr:rowOff>
    </xdr:from>
    <xdr:to>
      <xdr:col>12</xdr:col>
      <xdr:colOff>774915</xdr:colOff>
      <xdr:row>19</xdr:row>
      <xdr:rowOff>64577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80DE6FD-9A8B-4F45-A37C-B6AA499808F3}"/>
            </a:ext>
          </a:extLst>
        </xdr:cNvPr>
        <xdr:cNvCxnSpPr/>
      </xdr:nvCxnSpPr>
      <xdr:spPr>
        <a:xfrm>
          <a:off x="14217650" y="4987466"/>
          <a:ext cx="1752815" cy="66511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1465385</xdr:colOff>
      <xdr:row>64</xdr:row>
      <xdr:rowOff>158750</xdr:rowOff>
    </xdr:from>
    <xdr:to>
      <xdr:col>4</xdr:col>
      <xdr:colOff>848788</xdr:colOff>
      <xdr:row>88</xdr:row>
      <xdr:rowOff>125677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0660C78-72AA-4F8A-9DEB-DF6B84D9E5A4}"/>
            </a:ext>
          </a:extLst>
        </xdr:cNvPr>
        <xdr:cNvCxnSpPr/>
      </xdr:nvCxnSpPr>
      <xdr:spPr>
        <a:xfrm>
          <a:off x="3846635" y="12187115"/>
          <a:ext cx="922057" cy="4546254"/>
        </a:xfrm>
        <a:prstGeom prst="straightConnector1">
          <a:avLst/>
        </a:prstGeom>
        <a:ln w="57150">
          <a:solidFill>
            <a:schemeClr val="accent4">
              <a:lumMod val="40000"/>
              <a:lumOff val="60000"/>
            </a:schemeClr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66841</xdr:colOff>
      <xdr:row>89</xdr:row>
      <xdr:rowOff>178244</xdr:rowOff>
    </xdr:from>
    <xdr:to>
      <xdr:col>8</xdr:col>
      <xdr:colOff>885089</xdr:colOff>
      <xdr:row>103</xdr:row>
      <xdr:rowOff>173931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21B96CA2-5924-48AF-B70D-3B16A0FF23A1}"/>
            </a:ext>
          </a:extLst>
        </xdr:cNvPr>
        <xdr:cNvCxnSpPr/>
      </xdr:nvCxnSpPr>
      <xdr:spPr>
        <a:xfrm>
          <a:off x="8734034" y="17969384"/>
          <a:ext cx="1809739" cy="3025863"/>
        </a:xfrm>
        <a:prstGeom prst="straightConnector1">
          <a:avLst/>
        </a:prstGeom>
        <a:ln w="57150">
          <a:solidFill>
            <a:schemeClr val="accent4">
              <a:lumMod val="40000"/>
              <a:lumOff val="60000"/>
            </a:schemeClr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71452</xdr:colOff>
      <xdr:row>96</xdr:row>
      <xdr:rowOff>168089</xdr:rowOff>
    </xdr:from>
    <xdr:to>
      <xdr:col>12</xdr:col>
      <xdr:colOff>653677</xdr:colOff>
      <xdr:row>101</xdr:row>
      <xdr:rowOff>139748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6F7973D-BE78-42C7-9C1E-39AA039CA52E}"/>
            </a:ext>
          </a:extLst>
        </xdr:cNvPr>
        <xdr:cNvCxnSpPr/>
      </xdr:nvCxnSpPr>
      <xdr:spPr>
        <a:xfrm flipV="1">
          <a:off x="16207923" y="18358971"/>
          <a:ext cx="1562739" cy="905483"/>
        </a:xfrm>
        <a:prstGeom prst="straightConnector1">
          <a:avLst/>
        </a:prstGeom>
        <a:ln w="57150">
          <a:solidFill>
            <a:schemeClr val="accent4">
              <a:lumMod val="40000"/>
              <a:lumOff val="60000"/>
            </a:schemeClr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881530</xdr:colOff>
      <xdr:row>46</xdr:row>
      <xdr:rowOff>137458</xdr:rowOff>
    </xdr:from>
    <xdr:to>
      <xdr:col>12</xdr:col>
      <xdr:colOff>171824</xdr:colOff>
      <xdr:row>60</xdr:row>
      <xdr:rowOff>176305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44EFA-C590-B930-654D-03735384C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672354</xdr:colOff>
      <xdr:row>12</xdr:row>
      <xdr:rowOff>159871</xdr:rowOff>
    </xdr:from>
    <xdr:to>
      <xdr:col>16</xdr:col>
      <xdr:colOff>881530</xdr:colOff>
      <xdr:row>27</xdr:row>
      <xdr:rowOff>11954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C7F64E-D2C3-C0FD-13DF-ED606D125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228600</xdr:colOff>
      <xdr:row>8</xdr:row>
      <xdr:rowOff>15241</xdr:rowOff>
    </xdr:from>
    <xdr:ext cx="24765" cy="1668779"/>
    <xdr:cxnSp macro="">
      <xdr:nvCxnSpPr>
        <xdr:cNvPr id="2" name="Straight Arrow Connector 1" descr="dab8c5a8-1018-40dc-8bdc-5207a3eda4c3">
          <a:extLst>
            <a:ext uri="{FF2B5EF4-FFF2-40B4-BE49-F238E27FC236}">
              <a16:creationId xmlns:a16="http://schemas.microsoft.com/office/drawing/2014/main" id="{9131909C-506A-420E-99E7-0D09C8A65CFB}"/>
            </a:ext>
          </a:extLst>
        </xdr:cNvPr>
        <xdr:cNvCxnSpPr/>
      </xdr:nvCxnSpPr>
      <xdr:spPr>
        <a:xfrm flipH="1">
          <a:off x="9220200" y="1590041"/>
          <a:ext cx="24765" cy="1668779"/>
        </a:xfrm>
        <a:prstGeom prst="straightConnector1">
          <a:avLst/>
        </a:prstGeom>
        <a:ln w="76200">
          <a:solidFill>
            <a:schemeClr val="accent5">
              <a:lumMod val="60000"/>
              <a:lumOff val="40000"/>
            </a:schemeClr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99060</xdr:colOff>
      <xdr:row>8</xdr:row>
      <xdr:rowOff>7620</xdr:rowOff>
    </xdr:from>
    <xdr:ext cx="9525" cy="1724025"/>
    <xdr:cxnSp macro="">
      <xdr:nvCxnSpPr>
        <xdr:cNvPr id="3" name="Straight Arrow Connector 2" descr="dab8c5a8-1018-40dc-8bdc-5207a3eda4c3">
          <a:extLst>
            <a:ext uri="{FF2B5EF4-FFF2-40B4-BE49-F238E27FC236}">
              <a16:creationId xmlns:a16="http://schemas.microsoft.com/office/drawing/2014/main" id="{AC4DDA64-C268-4241-B950-11BCF74D91FE}"/>
            </a:ext>
          </a:extLst>
        </xdr:cNvPr>
        <xdr:cNvCxnSpPr/>
      </xdr:nvCxnSpPr>
      <xdr:spPr>
        <a:xfrm flipH="1">
          <a:off x="15072360" y="1582420"/>
          <a:ext cx="9525" cy="1724025"/>
        </a:xfrm>
        <a:prstGeom prst="straightConnector1">
          <a:avLst/>
        </a:prstGeom>
        <a:ln w="76200">
          <a:solidFill>
            <a:schemeClr val="accent5">
              <a:lumMod val="60000"/>
              <a:lumOff val="40000"/>
            </a:schemeClr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18</xdr:col>
      <xdr:colOff>266700</xdr:colOff>
      <xdr:row>8</xdr:row>
      <xdr:rowOff>0</xdr:rowOff>
    </xdr:from>
    <xdr:ext cx="9525" cy="1724025"/>
    <xdr:cxnSp macro="">
      <xdr:nvCxnSpPr>
        <xdr:cNvPr id="4" name="Straight Arrow Connector 3" descr="dab8c5a8-1018-40dc-8bdc-5207a3eda4c3">
          <a:extLst>
            <a:ext uri="{FF2B5EF4-FFF2-40B4-BE49-F238E27FC236}">
              <a16:creationId xmlns:a16="http://schemas.microsoft.com/office/drawing/2014/main" id="{3F0F8497-7A99-433A-B03A-2741F498EFB2}"/>
            </a:ext>
          </a:extLst>
        </xdr:cNvPr>
        <xdr:cNvCxnSpPr/>
      </xdr:nvCxnSpPr>
      <xdr:spPr>
        <a:xfrm flipH="1">
          <a:off x="20497800" y="1574800"/>
          <a:ext cx="9525" cy="1724025"/>
        </a:xfrm>
        <a:prstGeom prst="straightConnector1">
          <a:avLst/>
        </a:prstGeom>
        <a:ln w="76200">
          <a:solidFill>
            <a:schemeClr val="accent5">
              <a:lumMod val="60000"/>
              <a:lumOff val="40000"/>
            </a:schemeClr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19050</xdr:colOff>
      <xdr:row>22</xdr:row>
      <xdr:rowOff>114300</xdr:rowOff>
    </xdr:from>
    <xdr:ext cx="1123950" cy="390527"/>
    <xdr:cxnSp macro="">
      <xdr:nvCxnSpPr>
        <xdr:cNvPr id="5" name="Straight Arrow Connector 4" descr="8d027ed1-c1c8-4994-8237-823fb8d6700f">
          <a:extLst>
            <a:ext uri="{FF2B5EF4-FFF2-40B4-BE49-F238E27FC236}">
              <a16:creationId xmlns:a16="http://schemas.microsoft.com/office/drawing/2014/main" id="{02A060BC-1097-4005-ADB5-D4C781C977E4}"/>
            </a:ext>
          </a:extLst>
        </xdr:cNvPr>
        <xdr:cNvCxnSpPr/>
      </xdr:nvCxnSpPr>
      <xdr:spPr>
        <a:xfrm flipV="1">
          <a:off x="13811250" y="4394200"/>
          <a:ext cx="1123950" cy="390527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9525</xdr:colOff>
      <xdr:row>24</xdr:row>
      <xdr:rowOff>104775</xdr:rowOff>
    </xdr:from>
    <xdr:ext cx="1123950" cy="419100"/>
    <xdr:cxnSp macro="">
      <xdr:nvCxnSpPr>
        <xdr:cNvPr id="6" name="Straight Arrow Connector 5" descr="4a700664-89e0-4eac-b66b-113834a8ecf5">
          <a:extLst>
            <a:ext uri="{FF2B5EF4-FFF2-40B4-BE49-F238E27FC236}">
              <a16:creationId xmlns:a16="http://schemas.microsoft.com/office/drawing/2014/main" id="{D8EF5FD3-AD33-43E2-B4FA-C38BE39DDE04}"/>
            </a:ext>
          </a:extLst>
        </xdr:cNvPr>
        <xdr:cNvCxnSpPr/>
      </xdr:nvCxnSpPr>
      <xdr:spPr>
        <a:xfrm>
          <a:off x="13801725" y="4778375"/>
          <a:ext cx="1123950" cy="41910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0</xdr:colOff>
      <xdr:row>30</xdr:row>
      <xdr:rowOff>104775</xdr:rowOff>
    </xdr:from>
    <xdr:ext cx="1133475" cy="400053"/>
    <xdr:cxnSp macro="">
      <xdr:nvCxnSpPr>
        <xdr:cNvPr id="7" name="Straight Arrow Connector 6" descr="42f40387-b423-4222-9105-88eb10eb4d55">
          <a:extLst>
            <a:ext uri="{FF2B5EF4-FFF2-40B4-BE49-F238E27FC236}">
              <a16:creationId xmlns:a16="http://schemas.microsoft.com/office/drawing/2014/main" id="{81B2E8A3-00FD-495F-8A9F-4DFED165F3E4}"/>
            </a:ext>
          </a:extLst>
        </xdr:cNvPr>
        <xdr:cNvCxnSpPr/>
      </xdr:nvCxnSpPr>
      <xdr:spPr>
        <a:xfrm flipV="1">
          <a:off x="13792200" y="5959475"/>
          <a:ext cx="1133475" cy="400053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0</xdr:colOff>
      <xdr:row>32</xdr:row>
      <xdr:rowOff>104775</xdr:rowOff>
    </xdr:from>
    <xdr:ext cx="1133475" cy="400050"/>
    <xdr:cxnSp macro="">
      <xdr:nvCxnSpPr>
        <xdr:cNvPr id="8" name="Straight Arrow Connector 7" descr="8a43e5f0-5002-497c-a6fe-004c8370e145">
          <a:extLst>
            <a:ext uri="{FF2B5EF4-FFF2-40B4-BE49-F238E27FC236}">
              <a16:creationId xmlns:a16="http://schemas.microsoft.com/office/drawing/2014/main" id="{6D912321-B839-44F5-AD9B-3834528F73C4}"/>
            </a:ext>
          </a:extLst>
        </xdr:cNvPr>
        <xdr:cNvCxnSpPr/>
      </xdr:nvCxnSpPr>
      <xdr:spPr>
        <a:xfrm>
          <a:off x="13792200" y="6353175"/>
          <a:ext cx="1133475" cy="4000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0</xdr:colOff>
      <xdr:row>38</xdr:row>
      <xdr:rowOff>104775</xdr:rowOff>
    </xdr:from>
    <xdr:ext cx="1123950" cy="390526"/>
    <xdr:cxnSp macro="">
      <xdr:nvCxnSpPr>
        <xdr:cNvPr id="9" name="Straight Arrow Connector 8" descr="3db23b91-369c-4392-adb7-6fd466236b05">
          <a:extLst>
            <a:ext uri="{FF2B5EF4-FFF2-40B4-BE49-F238E27FC236}">
              <a16:creationId xmlns:a16="http://schemas.microsoft.com/office/drawing/2014/main" id="{089F4B8B-73BF-4067-9A65-50D11F76D008}"/>
            </a:ext>
          </a:extLst>
        </xdr:cNvPr>
        <xdr:cNvCxnSpPr/>
      </xdr:nvCxnSpPr>
      <xdr:spPr>
        <a:xfrm flipV="1">
          <a:off x="13792200" y="7534275"/>
          <a:ext cx="1123950" cy="390526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0</xdr:colOff>
      <xdr:row>40</xdr:row>
      <xdr:rowOff>95250</xdr:rowOff>
    </xdr:from>
    <xdr:ext cx="1114425" cy="409575"/>
    <xdr:cxnSp macro="">
      <xdr:nvCxnSpPr>
        <xdr:cNvPr id="10" name="Straight Arrow Connector 9" descr="4a4ff9ec-8422-483e-98d4-77f2b174be75">
          <a:extLst>
            <a:ext uri="{FF2B5EF4-FFF2-40B4-BE49-F238E27FC236}">
              <a16:creationId xmlns:a16="http://schemas.microsoft.com/office/drawing/2014/main" id="{DFC7CFD2-0049-4B33-A073-DEE84E5AC5B9}"/>
            </a:ext>
          </a:extLst>
        </xdr:cNvPr>
        <xdr:cNvCxnSpPr/>
      </xdr:nvCxnSpPr>
      <xdr:spPr>
        <a:xfrm>
          <a:off x="13792200" y="7918450"/>
          <a:ext cx="1114425" cy="40957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9525</xdr:colOff>
      <xdr:row>46</xdr:row>
      <xdr:rowOff>104775</xdr:rowOff>
    </xdr:from>
    <xdr:ext cx="1104900" cy="371475"/>
    <xdr:cxnSp macro="">
      <xdr:nvCxnSpPr>
        <xdr:cNvPr id="11" name="Straight Arrow Connector 10" descr="04fca845-a4a0-441d-95c3-9ca4c5eceb85">
          <a:extLst>
            <a:ext uri="{FF2B5EF4-FFF2-40B4-BE49-F238E27FC236}">
              <a16:creationId xmlns:a16="http://schemas.microsoft.com/office/drawing/2014/main" id="{BC567EA3-454B-4385-A9B8-677B68679578}"/>
            </a:ext>
          </a:extLst>
        </xdr:cNvPr>
        <xdr:cNvCxnSpPr/>
      </xdr:nvCxnSpPr>
      <xdr:spPr>
        <a:xfrm flipV="1">
          <a:off x="13801725" y="9109075"/>
          <a:ext cx="1104900" cy="37147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0</xdr:colOff>
      <xdr:row>48</xdr:row>
      <xdr:rowOff>85725</xdr:rowOff>
    </xdr:from>
    <xdr:ext cx="1123950" cy="438150"/>
    <xdr:cxnSp macro="">
      <xdr:nvCxnSpPr>
        <xdr:cNvPr id="12" name="Straight Arrow Connector 11" descr="c52ba3a5-b32a-42f8-b329-3c926bfaabc3">
          <a:extLst>
            <a:ext uri="{FF2B5EF4-FFF2-40B4-BE49-F238E27FC236}">
              <a16:creationId xmlns:a16="http://schemas.microsoft.com/office/drawing/2014/main" id="{F8B3ED0C-9F51-467F-9BF6-64FF5B438B3F}"/>
            </a:ext>
          </a:extLst>
        </xdr:cNvPr>
        <xdr:cNvCxnSpPr/>
      </xdr:nvCxnSpPr>
      <xdr:spPr>
        <a:xfrm>
          <a:off x="13792200" y="9483725"/>
          <a:ext cx="1123950" cy="4381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0</xdr:colOff>
      <xdr:row>24</xdr:row>
      <xdr:rowOff>85726</xdr:rowOff>
    </xdr:from>
    <xdr:ext cx="1114425" cy="828674"/>
    <xdr:cxnSp macro="">
      <xdr:nvCxnSpPr>
        <xdr:cNvPr id="13" name="Straight Arrow Connector 12" descr="784a3b87-4f57-4e33-a4fc-e5e0e626aa5a">
          <a:extLst>
            <a:ext uri="{FF2B5EF4-FFF2-40B4-BE49-F238E27FC236}">
              <a16:creationId xmlns:a16="http://schemas.microsoft.com/office/drawing/2014/main" id="{075B6011-4314-468B-B08F-692BEF2638F8}"/>
            </a:ext>
          </a:extLst>
        </xdr:cNvPr>
        <xdr:cNvCxnSpPr/>
      </xdr:nvCxnSpPr>
      <xdr:spPr>
        <a:xfrm flipV="1">
          <a:off x="11430000" y="4759326"/>
          <a:ext cx="1114425" cy="828674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0</xdr:colOff>
      <xdr:row>28</xdr:row>
      <xdr:rowOff>104775</xdr:rowOff>
    </xdr:from>
    <xdr:ext cx="1123950" cy="809625"/>
    <xdr:cxnSp macro="">
      <xdr:nvCxnSpPr>
        <xdr:cNvPr id="14" name="Straight Arrow Connector 13" descr="ebf02e06-332b-4905-b8d0-819505a6d97b">
          <a:extLst>
            <a:ext uri="{FF2B5EF4-FFF2-40B4-BE49-F238E27FC236}">
              <a16:creationId xmlns:a16="http://schemas.microsoft.com/office/drawing/2014/main" id="{D8CA5627-7A6F-4871-A028-2FA5C9DFF254}"/>
            </a:ext>
          </a:extLst>
        </xdr:cNvPr>
        <xdr:cNvCxnSpPr/>
      </xdr:nvCxnSpPr>
      <xdr:spPr>
        <a:xfrm>
          <a:off x="11430000" y="5565775"/>
          <a:ext cx="1123950" cy="80962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9525</xdr:colOff>
      <xdr:row>40</xdr:row>
      <xdr:rowOff>114300</xdr:rowOff>
    </xdr:from>
    <xdr:ext cx="1104900" cy="809625"/>
    <xdr:cxnSp macro="">
      <xdr:nvCxnSpPr>
        <xdr:cNvPr id="15" name="Straight Arrow Connector 14" descr="46940154-324c-4ed5-b7b8-ed7b2172f847">
          <a:extLst>
            <a:ext uri="{FF2B5EF4-FFF2-40B4-BE49-F238E27FC236}">
              <a16:creationId xmlns:a16="http://schemas.microsoft.com/office/drawing/2014/main" id="{81D1D479-F4DE-4ACA-937D-97363A57B0F4}"/>
            </a:ext>
          </a:extLst>
        </xdr:cNvPr>
        <xdr:cNvCxnSpPr/>
      </xdr:nvCxnSpPr>
      <xdr:spPr>
        <a:xfrm flipV="1">
          <a:off x="11439525" y="7937500"/>
          <a:ext cx="1104900" cy="80962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9525</xdr:colOff>
      <xdr:row>44</xdr:row>
      <xdr:rowOff>114300</xdr:rowOff>
    </xdr:from>
    <xdr:ext cx="1104900" cy="800100"/>
    <xdr:cxnSp macro="">
      <xdr:nvCxnSpPr>
        <xdr:cNvPr id="16" name="Straight Arrow Connector 15" descr="515de1ec-0380-4729-89ef-17fba84a3776">
          <a:extLst>
            <a:ext uri="{FF2B5EF4-FFF2-40B4-BE49-F238E27FC236}">
              <a16:creationId xmlns:a16="http://schemas.microsoft.com/office/drawing/2014/main" id="{5CEBA90F-A8F1-401C-9A7F-B4CBAACF2141}"/>
            </a:ext>
          </a:extLst>
        </xdr:cNvPr>
        <xdr:cNvCxnSpPr/>
      </xdr:nvCxnSpPr>
      <xdr:spPr>
        <a:xfrm>
          <a:off x="11439525" y="8724900"/>
          <a:ext cx="1104900" cy="80010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8</xdr:col>
      <xdr:colOff>9525</xdr:colOff>
      <xdr:row>28</xdr:row>
      <xdr:rowOff>104775</xdr:rowOff>
    </xdr:from>
    <xdr:ext cx="1228725" cy="1600201"/>
    <xdr:cxnSp macro="">
      <xdr:nvCxnSpPr>
        <xdr:cNvPr id="17" name="Straight Arrow Connector 16" descr="10fd5ec5-1f67-42b7-a0fa-33ebdec9516d">
          <a:extLst>
            <a:ext uri="{FF2B5EF4-FFF2-40B4-BE49-F238E27FC236}">
              <a16:creationId xmlns:a16="http://schemas.microsoft.com/office/drawing/2014/main" id="{FBE2B313-7BA8-4DC6-891F-83C5A39FF43C}"/>
            </a:ext>
          </a:extLst>
        </xdr:cNvPr>
        <xdr:cNvCxnSpPr/>
      </xdr:nvCxnSpPr>
      <xdr:spPr>
        <a:xfrm flipV="1">
          <a:off x="9001125" y="5565775"/>
          <a:ext cx="1228725" cy="1600201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8</xdr:col>
      <xdr:colOff>0</xdr:colOff>
      <xdr:row>36</xdr:row>
      <xdr:rowOff>104775</xdr:rowOff>
    </xdr:from>
    <xdr:ext cx="1238250" cy="1619250"/>
    <xdr:cxnSp macro="">
      <xdr:nvCxnSpPr>
        <xdr:cNvPr id="18" name="Straight Arrow Connector 17" descr="dab8c5a8-1018-40dc-8bdc-5207a3eda4c3">
          <a:extLst>
            <a:ext uri="{FF2B5EF4-FFF2-40B4-BE49-F238E27FC236}">
              <a16:creationId xmlns:a16="http://schemas.microsoft.com/office/drawing/2014/main" id="{44BD8B6E-0D7B-4780-AC7D-A196B109AA3A}"/>
            </a:ext>
          </a:extLst>
        </xdr:cNvPr>
        <xdr:cNvCxnSpPr/>
      </xdr:nvCxnSpPr>
      <xdr:spPr>
        <a:xfrm>
          <a:off x="8991600" y="7140575"/>
          <a:ext cx="1238250" cy="16192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9</xdr:col>
      <xdr:colOff>588168</xdr:colOff>
      <xdr:row>45</xdr:row>
      <xdr:rowOff>28575</xdr:rowOff>
    </xdr:from>
    <xdr:ext cx="2382" cy="578644"/>
    <xdr:cxnSp macro="">
      <xdr:nvCxnSpPr>
        <xdr:cNvPr id="19" name="Straight Arrow Connector 18" descr="515de1ec-0380-4729-89ef-17fba84a3776">
          <a:extLst>
            <a:ext uri="{FF2B5EF4-FFF2-40B4-BE49-F238E27FC236}">
              <a16:creationId xmlns:a16="http://schemas.microsoft.com/office/drawing/2014/main" id="{A2E345B0-515A-4F3D-AE8E-A9C09C391774}"/>
            </a:ext>
          </a:extLst>
        </xdr:cNvPr>
        <xdr:cNvCxnSpPr/>
      </xdr:nvCxnSpPr>
      <xdr:spPr>
        <a:xfrm flipV="1">
          <a:off x="10900568" y="8836025"/>
          <a:ext cx="2382" cy="578644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twoCellAnchor>
    <xdr:from>
      <xdr:col>12</xdr:col>
      <xdr:colOff>791985</xdr:colOff>
      <xdr:row>115</xdr:row>
      <xdr:rowOff>101247</xdr:rowOff>
    </xdr:from>
    <xdr:to>
      <xdr:col>16</xdr:col>
      <xdr:colOff>1033638</xdr:colOff>
      <xdr:row>130</xdr:row>
      <xdr:rowOff>66322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FFE3B3B-6258-A273-73F4-4E774E3BC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818444</xdr:colOff>
      <xdr:row>153</xdr:row>
      <xdr:rowOff>162983</xdr:rowOff>
    </xdr:from>
    <xdr:to>
      <xdr:col>11</xdr:col>
      <xdr:colOff>901347</xdr:colOff>
      <xdr:row>168</xdr:row>
      <xdr:rowOff>13406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2755BC0-1671-0C0D-BEB1-0B3704F3D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421570</xdr:colOff>
      <xdr:row>170</xdr:row>
      <xdr:rowOff>118886</xdr:rowOff>
    </xdr:from>
    <xdr:to>
      <xdr:col>11</xdr:col>
      <xdr:colOff>504473</xdr:colOff>
      <xdr:row>185</xdr:row>
      <xdr:rowOff>83961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D0F621F-1C66-C61B-9849-0EC229601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880180</xdr:colOff>
      <xdr:row>87</xdr:row>
      <xdr:rowOff>4234</xdr:rowOff>
    </xdr:from>
    <xdr:to>
      <xdr:col>4</xdr:col>
      <xdr:colOff>821972</xdr:colOff>
      <xdr:row>100</xdr:row>
      <xdr:rowOff>154517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3DCA6918-CB34-6C32-686D-52D0BEC3A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282353</xdr:colOff>
      <xdr:row>52</xdr:row>
      <xdr:rowOff>17335</xdr:rowOff>
    </xdr:from>
    <xdr:to>
      <xdr:col>13</xdr:col>
      <xdr:colOff>389193</xdr:colOff>
      <xdr:row>69</xdr:row>
      <xdr:rowOff>39148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3ED1A6-7801-34CC-EA8A-8378CFED8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521200</xdr:colOff>
      <xdr:row>77</xdr:row>
      <xdr:rowOff>77154</xdr:rowOff>
    </xdr:from>
    <xdr:to>
      <xdr:col>16</xdr:col>
      <xdr:colOff>245807</xdr:colOff>
      <xdr:row>100</xdr:row>
      <xdr:rowOff>81937</xdr:rowOff>
    </xdr:to>
    <xdr:graphicFrame macro="">
      <xdr:nvGraphicFramePr>
        <xdr:cNvPr id="4" name="图表 2">
          <a:extLst>
            <a:ext uri="{FF2B5EF4-FFF2-40B4-BE49-F238E27FC236}">
              <a16:creationId xmlns:a16="http://schemas.microsoft.com/office/drawing/2014/main" id="{FB3200AA-C42E-4045-9F1C-3C6C8639A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163870</xdr:colOff>
      <xdr:row>102</xdr:row>
      <xdr:rowOff>20484</xdr:rowOff>
    </xdr:from>
    <xdr:to>
      <xdr:col>12</xdr:col>
      <xdr:colOff>706693</xdr:colOff>
      <xdr:row>125</xdr:row>
      <xdr:rowOff>92178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F77E993-9133-4206-BC0F-02938947B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3CA0-9F1B-4DF7-80DF-D60ED2BD7B73}">
  <dimension ref="B2:K32"/>
  <sheetViews>
    <sheetView showGridLines="0" tabSelected="1" workbookViewId="0">
      <selection activeCell="H4" sqref="H4"/>
    </sheetView>
  </sheetViews>
  <sheetFormatPr defaultRowHeight="14.5" x14ac:dyDescent="0.35"/>
  <cols>
    <col min="2" max="2" width="10.08984375" bestFit="1" customWidth="1"/>
    <col min="3" max="3" width="13.54296875" bestFit="1" customWidth="1"/>
    <col min="4" max="4" width="8.453125" bestFit="1" customWidth="1"/>
    <col min="6" max="6" width="10.08984375" bestFit="1" customWidth="1"/>
    <col min="7" max="7" width="13.54296875" bestFit="1" customWidth="1"/>
    <col min="10" max="10" width="10.08984375" bestFit="1" customWidth="1"/>
    <col min="11" max="11" width="13.54296875" bestFit="1" customWidth="1"/>
    <col min="12" max="12" width="8.453125" bestFit="1" customWidth="1"/>
    <col min="14" max="14" width="10.08984375" bestFit="1" customWidth="1"/>
    <col min="15" max="15" width="13.54296875" bestFit="1" customWidth="1"/>
    <col min="18" max="18" width="10.08984375" bestFit="1" customWidth="1"/>
    <col min="19" max="19" width="13.54296875" bestFit="1" customWidth="1"/>
    <col min="22" max="22" width="10.08984375" bestFit="1" customWidth="1"/>
    <col min="23" max="23" width="13.54296875" bestFit="1" customWidth="1"/>
    <col min="26" max="26" width="10.08984375" bestFit="1" customWidth="1"/>
    <col min="27" max="27" width="13.54296875" bestFit="1" customWidth="1"/>
    <col min="30" max="30" width="10.08984375" bestFit="1" customWidth="1"/>
    <col min="31" max="31" width="13.54296875" bestFit="1" customWidth="1"/>
    <col min="32" max="32" width="8.453125" bestFit="1" customWidth="1"/>
  </cols>
  <sheetData>
    <row r="2" spans="2:6" ht="21.5" customHeight="1" x14ac:dyDescent="0.35">
      <c r="B2" s="660" t="s">
        <v>267</v>
      </c>
      <c r="C2" s="661"/>
      <c r="D2" s="661"/>
      <c r="E2" s="661"/>
      <c r="F2" s="662"/>
    </row>
    <row r="3" spans="2:6" ht="21.5" customHeight="1" x14ac:dyDescent="0.35">
      <c r="B3" s="663"/>
      <c r="C3" s="664"/>
      <c r="D3" s="664"/>
      <c r="E3" s="664"/>
      <c r="F3" s="665"/>
    </row>
    <row r="4" spans="2:6" ht="21.5" customHeight="1" x14ac:dyDescent="0.35">
      <c r="B4" s="663"/>
      <c r="C4" s="664"/>
      <c r="D4" s="664"/>
      <c r="E4" s="664"/>
      <c r="F4" s="665"/>
    </row>
    <row r="5" spans="2:6" ht="11.5" customHeight="1" x14ac:dyDescent="0.35">
      <c r="B5" s="663"/>
      <c r="C5" s="664"/>
      <c r="D5" s="664"/>
      <c r="E5" s="664"/>
      <c r="F5" s="665"/>
    </row>
    <row r="6" spans="2:6" ht="11" customHeight="1" x14ac:dyDescent="0.35">
      <c r="B6" s="580"/>
      <c r="C6" s="581"/>
      <c r="D6" s="581"/>
      <c r="E6" s="581"/>
      <c r="F6" s="582"/>
    </row>
    <row r="7" spans="2:6" x14ac:dyDescent="0.35">
      <c r="B7" s="657" t="s">
        <v>268</v>
      </c>
      <c r="C7" s="658"/>
      <c r="D7" s="658"/>
      <c r="E7" s="658"/>
      <c r="F7" s="659"/>
    </row>
    <row r="8" spans="2:6" x14ac:dyDescent="0.35">
      <c r="B8" s="657"/>
      <c r="C8" s="658"/>
      <c r="D8" s="658"/>
      <c r="E8" s="658"/>
      <c r="F8" s="659"/>
    </row>
    <row r="9" spans="2:6" x14ac:dyDescent="0.35">
      <c r="B9" s="666" t="s">
        <v>272</v>
      </c>
      <c r="C9" s="667"/>
      <c r="D9" s="667"/>
      <c r="E9" s="667"/>
      <c r="F9" s="668"/>
    </row>
    <row r="10" spans="2:6" x14ac:dyDescent="0.35">
      <c r="B10" s="657"/>
      <c r="C10" s="658"/>
      <c r="D10" s="658"/>
      <c r="E10" s="658"/>
      <c r="F10" s="659"/>
    </row>
    <row r="11" spans="2:6" x14ac:dyDescent="0.35">
      <c r="B11" s="666" t="s">
        <v>302</v>
      </c>
      <c r="C11" s="667"/>
      <c r="D11" s="667"/>
      <c r="E11" s="667"/>
      <c r="F11" s="668"/>
    </row>
    <row r="12" spans="2:6" x14ac:dyDescent="0.35">
      <c r="B12" s="666" t="s">
        <v>269</v>
      </c>
      <c r="C12" s="667"/>
      <c r="D12" s="667"/>
      <c r="E12" s="667"/>
      <c r="F12" s="668"/>
    </row>
    <row r="13" spans="2:6" x14ac:dyDescent="0.35">
      <c r="B13" s="666" t="s">
        <v>270</v>
      </c>
      <c r="C13" s="667"/>
      <c r="D13" s="667"/>
      <c r="E13" s="667"/>
      <c r="F13" s="668"/>
    </row>
    <row r="14" spans="2:6" x14ac:dyDescent="0.35">
      <c r="B14" s="669" t="s">
        <v>271</v>
      </c>
      <c r="C14" s="670"/>
      <c r="D14" s="670"/>
      <c r="E14" s="670"/>
      <c r="F14" s="671"/>
    </row>
    <row r="17" spans="2:11" ht="14.5" customHeight="1" x14ac:dyDescent="0.35">
      <c r="B17" s="640" t="s">
        <v>284</v>
      </c>
      <c r="C17" s="641"/>
      <c r="D17" s="641"/>
      <c r="E17" s="641"/>
      <c r="F17" s="641"/>
      <c r="G17" s="641"/>
      <c r="H17" s="641"/>
      <c r="I17" s="641"/>
      <c r="J17" s="642"/>
      <c r="K17" s="632"/>
    </row>
    <row r="18" spans="2:11" x14ac:dyDescent="0.35">
      <c r="B18" s="643"/>
      <c r="C18" s="644"/>
      <c r="D18" s="644"/>
      <c r="E18" s="644"/>
      <c r="F18" s="644"/>
      <c r="G18" s="644"/>
      <c r="H18" s="644"/>
      <c r="I18" s="644"/>
      <c r="J18" s="645"/>
      <c r="K18" s="632"/>
    </row>
    <row r="19" spans="2:11" x14ac:dyDescent="0.35">
      <c r="B19" s="643"/>
      <c r="C19" s="644"/>
      <c r="D19" s="644"/>
      <c r="E19" s="644"/>
      <c r="F19" s="644"/>
      <c r="G19" s="644"/>
      <c r="H19" s="644"/>
      <c r="I19" s="644"/>
      <c r="J19" s="645"/>
      <c r="K19" s="632"/>
    </row>
    <row r="20" spans="2:11" x14ac:dyDescent="0.35">
      <c r="B20" s="646"/>
      <c r="C20" s="647"/>
      <c r="D20" s="647"/>
      <c r="E20" s="647"/>
      <c r="F20" s="647"/>
      <c r="G20" s="647"/>
      <c r="H20" s="647"/>
      <c r="I20" s="647"/>
      <c r="J20" s="648"/>
      <c r="K20" s="632"/>
    </row>
    <row r="21" spans="2:11" x14ac:dyDescent="0.35">
      <c r="B21" s="632"/>
      <c r="C21" s="632"/>
      <c r="D21" s="632"/>
      <c r="E21" s="632"/>
      <c r="F21" s="632"/>
      <c r="G21" s="632"/>
      <c r="H21" s="632"/>
      <c r="I21" s="632"/>
      <c r="J21" s="632"/>
      <c r="K21" s="632"/>
    </row>
    <row r="22" spans="2:11" x14ac:dyDescent="0.35">
      <c r="B22" s="632"/>
      <c r="C22" s="632"/>
      <c r="D22" s="632"/>
      <c r="E22" s="632"/>
      <c r="F22" s="632"/>
      <c r="G22" s="632"/>
      <c r="H22" s="632"/>
      <c r="I22" s="632"/>
      <c r="J22" s="632"/>
      <c r="K22" s="632"/>
    </row>
    <row r="23" spans="2:11" ht="14.5" customHeight="1" x14ac:dyDescent="0.35">
      <c r="B23" s="640" t="s">
        <v>286</v>
      </c>
      <c r="C23" s="641"/>
      <c r="D23" s="641"/>
      <c r="E23" s="641"/>
      <c r="F23" s="641"/>
      <c r="G23" s="641"/>
      <c r="H23" s="641"/>
      <c r="I23" s="641"/>
      <c r="J23" s="642"/>
    </row>
    <row r="24" spans="2:11" x14ac:dyDescent="0.35">
      <c r="B24" s="643"/>
      <c r="C24" s="644"/>
      <c r="D24" s="644"/>
      <c r="E24" s="644"/>
      <c r="F24" s="644"/>
      <c r="G24" s="644"/>
      <c r="H24" s="644"/>
      <c r="I24" s="644"/>
      <c r="J24" s="645"/>
    </row>
    <row r="25" spans="2:11" x14ac:dyDescent="0.35">
      <c r="B25" s="643"/>
      <c r="C25" s="644"/>
      <c r="D25" s="644"/>
      <c r="E25" s="644"/>
      <c r="F25" s="644"/>
      <c r="G25" s="644"/>
      <c r="H25" s="644"/>
      <c r="I25" s="644"/>
      <c r="J25" s="645"/>
    </row>
    <row r="26" spans="2:11" x14ac:dyDescent="0.35">
      <c r="B26" s="643"/>
      <c r="C26" s="644"/>
      <c r="D26" s="644"/>
      <c r="E26" s="644"/>
      <c r="F26" s="644"/>
      <c r="G26" s="644"/>
      <c r="H26" s="644"/>
      <c r="I26" s="644"/>
      <c r="J26" s="645"/>
    </row>
    <row r="27" spans="2:11" x14ac:dyDescent="0.35">
      <c r="B27" s="646"/>
      <c r="C27" s="647"/>
      <c r="D27" s="647"/>
      <c r="E27" s="647"/>
      <c r="F27" s="647"/>
      <c r="G27" s="647"/>
      <c r="H27" s="647"/>
      <c r="I27" s="647"/>
      <c r="J27" s="648"/>
    </row>
    <row r="28" spans="2:11" x14ac:dyDescent="0.35">
      <c r="B28" s="632"/>
      <c r="C28" s="632"/>
      <c r="D28" s="632"/>
      <c r="E28" s="632"/>
      <c r="F28" s="632"/>
      <c r="G28" s="632"/>
      <c r="H28" s="632"/>
      <c r="I28" s="632"/>
      <c r="J28" s="632"/>
    </row>
    <row r="29" spans="2:11" x14ac:dyDescent="0.35">
      <c r="B29" s="632"/>
      <c r="C29" s="632"/>
      <c r="D29" s="632"/>
      <c r="E29" s="632"/>
      <c r="F29" s="632"/>
      <c r="G29" s="632"/>
      <c r="H29" s="632"/>
      <c r="I29" s="632"/>
      <c r="J29" s="632"/>
    </row>
    <row r="30" spans="2:11" x14ac:dyDescent="0.35">
      <c r="B30" s="640" t="s">
        <v>285</v>
      </c>
      <c r="C30" s="649"/>
      <c r="D30" s="649"/>
      <c r="E30" s="649"/>
      <c r="F30" s="649"/>
      <c r="G30" s="649"/>
      <c r="H30" s="649"/>
      <c r="I30" s="649"/>
      <c r="J30" s="650"/>
    </row>
    <row r="31" spans="2:11" x14ac:dyDescent="0.35">
      <c r="B31" s="651"/>
      <c r="C31" s="652"/>
      <c r="D31" s="652"/>
      <c r="E31" s="652"/>
      <c r="F31" s="652"/>
      <c r="G31" s="652"/>
      <c r="H31" s="652"/>
      <c r="I31" s="652"/>
      <c r="J31" s="653"/>
    </row>
    <row r="32" spans="2:11" x14ac:dyDescent="0.35">
      <c r="B32" s="654"/>
      <c r="C32" s="655"/>
      <c r="D32" s="655"/>
      <c r="E32" s="655"/>
      <c r="F32" s="655"/>
      <c r="G32" s="655"/>
      <c r="H32" s="655"/>
      <c r="I32" s="655"/>
      <c r="J32" s="656"/>
    </row>
  </sheetData>
  <mergeCells count="12">
    <mergeCell ref="B23:J27"/>
    <mergeCell ref="B30:J32"/>
    <mergeCell ref="B10:F10"/>
    <mergeCell ref="B17:J20"/>
    <mergeCell ref="B2:F5"/>
    <mergeCell ref="B7:F7"/>
    <mergeCell ref="B8:F8"/>
    <mergeCell ref="B9:F9"/>
    <mergeCell ref="B14:F14"/>
    <mergeCell ref="B11:F11"/>
    <mergeCell ref="B12:F12"/>
    <mergeCell ref="B13:F1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70D5-7B13-46CA-AABD-E6F11AFE07BA}">
  <dimension ref="B1:E9"/>
  <sheetViews>
    <sheetView showGridLines="0" workbookViewId="0">
      <selection activeCell="B20" sqref="B20"/>
    </sheetView>
  </sheetViews>
  <sheetFormatPr defaultRowHeight="14.5" x14ac:dyDescent="0.35"/>
  <cols>
    <col min="2" max="2" width="55.90625" bestFit="1" customWidth="1"/>
    <col min="4" max="4" width="2.81640625" customWidth="1"/>
    <col min="5" max="5" width="36.7265625" bestFit="1" customWidth="1"/>
  </cols>
  <sheetData>
    <row r="1" spans="2:5" x14ac:dyDescent="0.35">
      <c r="B1" s="1"/>
    </row>
    <row r="2" spans="2:5" ht="18.5" x14ac:dyDescent="0.45">
      <c r="B2" s="583" t="s">
        <v>8</v>
      </c>
      <c r="C2" s="584" t="s">
        <v>9</v>
      </c>
      <c r="D2" s="584"/>
      <c r="E2" s="585" t="s">
        <v>10</v>
      </c>
    </row>
    <row r="3" spans="2:5" x14ac:dyDescent="0.35">
      <c r="B3" s="633" t="s">
        <v>287</v>
      </c>
      <c r="C3" s="634"/>
      <c r="D3" s="634"/>
      <c r="E3" s="635"/>
    </row>
    <row r="4" spans="2:5" x14ac:dyDescent="0.35">
      <c r="B4" s="586" t="s">
        <v>11</v>
      </c>
      <c r="C4">
        <v>1000000</v>
      </c>
      <c r="E4" s="255"/>
    </row>
    <row r="5" spans="2:5" x14ac:dyDescent="0.35">
      <c r="B5" s="586" t="s">
        <v>12</v>
      </c>
      <c r="E5" s="255" t="s">
        <v>6</v>
      </c>
    </row>
    <row r="6" spans="2:5" x14ac:dyDescent="0.35">
      <c r="B6" s="586" t="s">
        <v>13</v>
      </c>
      <c r="C6">
        <f>C4*(1+0.05)</f>
        <v>1050000</v>
      </c>
      <c r="E6" s="255" t="s">
        <v>7</v>
      </c>
    </row>
    <row r="7" spans="2:5" x14ac:dyDescent="0.35">
      <c r="B7" s="586" t="s">
        <v>14</v>
      </c>
      <c r="E7" s="255"/>
    </row>
    <row r="8" spans="2:5" x14ac:dyDescent="0.35">
      <c r="B8" s="586" t="s">
        <v>15</v>
      </c>
      <c r="E8" s="255"/>
    </row>
    <row r="9" spans="2:5" x14ac:dyDescent="0.35">
      <c r="B9" s="587" t="s">
        <v>16</v>
      </c>
      <c r="C9" s="588"/>
      <c r="D9" s="588"/>
      <c r="E9" s="58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1027-AAD8-4118-BD77-8105D8C329AA}">
  <dimension ref="B1:H12"/>
  <sheetViews>
    <sheetView showGridLines="0" workbookViewId="0">
      <selection activeCell="C15" sqref="C15"/>
    </sheetView>
  </sheetViews>
  <sheetFormatPr defaultRowHeight="14.5" x14ac:dyDescent="0.35"/>
  <cols>
    <col min="1" max="1" width="3.6328125" customWidth="1"/>
    <col min="2" max="2" width="30.6328125" bestFit="1" customWidth="1"/>
    <col min="3" max="3" width="11.7265625" customWidth="1"/>
    <col min="4" max="4" width="20.36328125" customWidth="1"/>
    <col min="5" max="5" width="19.36328125" customWidth="1"/>
    <col min="6" max="6" width="11" customWidth="1"/>
    <col min="7" max="7" width="12.1796875" customWidth="1"/>
    <col min="8" max="8" width="19.453125" customWidth="1"/>
  </cols>
  <sheetData>
    <row r="1" spans="2:8" ht="15" thickBot="1" x14ac:dyDescent="0.4"/>
    <row r="2" spans="2:8" ht="22" thickTop="1" thickBot="1" x14ac:dyDescent="0.55000000000000004">
      <c r="B2" s="672" t="s">
        <v>266</v>
      </c>
      <c r="C2" s="672"/>
      <c r="D2" s="672"/>
      <c r="E2" s="672"/>
      <c r="F2" s="672"/>
      <c r="G2" s="672"/>
      <c r="H2" s="672"/>
    </row>
    <row r="3" spans="2:8" ht="15" thickTop="1" x14ac:dyDescent="0.35"/>
    <row r="4" spans="2:8" ht="29" x14ac:dyDescent="0.35">
      <c r="B4" s="259" t="s">
        <v>181</v>
      </c>
      <c r="C4" s="260" t="s">
        <v>182</v>
      </c>
      <c r="D4" s="260" t="s">
        <v>183</v>
      </c>
      <c r="E4" s="261" t="s">
        <v>275</v>
      </c>
      <c r="F4" s="261" t="s">
        <v>278</v>
      </c>
      <c r="G4" s="260" t="s">
        <v>276</v>
      </c>
      <c r="H4" s="262" t="s">
        <v>277</v>
      </c>
    </row>
    <row r="5" spans="2:8" x14ac:dyDescent="0.35">
      <c r="B5" s="278" t="s">
        <v>52</v>
      </c>
      <c r="C5" s="273" t="s">
        <v>5</v>
      </c>
      <c r="D5" s="274" t="s">
        <v>185</v>
      </c>
      <c r="E5" s="590">
        <v>15658.797</v>
      </c>
      <c r="F5" s="275">
        <v>23.67</v>
      </c>
      <c r="G5" s="276"/>
      <c r="H5" s="277">
        <v>26.42</v>
      </c>
    </row>
    <row r="6" spans="2:8" x14ac:dyDescent="0.35">
      <c r="B6" s="279" t="s">
        <v>51</v>
      </c>
      <c r="C6" s="263" t="s">
        <v>0</v>
      </c>
      <c r="D6" s="264" t="s">
        <v>273</v>
      </c>
      <c r="E6" s="591">
        <v>15364.216</v>
      </c>
      <c r="F6" s="265">
        <v>6.79</v>
      </c>
      <c r="G6" s="266">
        <v>4.5900000000000003E-2</v>
      </c>
      <c r="H6" s="267">
        <v>48.26</v>
      </c>
    </row>
    <row r="7" spans="2:8" x14ac:dyDescent="0.35">
      <c r="B7" s="278" t="s">
        <v>50</v>
      </c>
      <c r="C7" s="273" t="s">
        <v>2</v>
      </c>
      <c r="D7" s="274" t="s">
        <v>184</v>
      </c>
      <c r="E7" s="590">
        <v>374978.31599999999</v>
      </c>
      <c r="F7" s="275">
        <v>12.02</v>
      </c>
      <c r="G7" s="276">
        <v>0.1021</v>
      </c>
      <c r="H7" s="277">
        <v>47.95</v>
      </c>
    </row>
    <row r="8" spans="2:8" x14ac:dyDescent="0.35">
      <c r="B8" s="279" t="s">
        <v>49</v>
      </c>
      <c r="C8" s="263" t="s">
        <v>31</v>
      </c>
      <c r="D8" s="264" t="s">
        <v>274</v>
      </c>
      <c r="E8" s="591">
        <v>11617.056</v>
      </c>
      <c r="F8" s="265">
        <v>41.88</v>
      </c>
      <c r="G8" s="266">
        <v>4.9099999999999998E-2</v>
      </c>
      <c r="H8" s="267">
        <v>220.22</v>
      </c>
    </row>
    <row r="9" spans="2:8" ht="29" x14ac:dyDescent="0.35">
      <c r="B9" s="278" t="s">
        <v>48</v>
      </c>
      <c r="C9" s="273" t="s">
        <v>4</v>
      </c>
      <c r="D9" s="274" t="s">
        <v>279</v>
      </c>
      <c r="E9" s="590">
        <v>44823.387999999999</v>
      </c>
      <c r="F9" s="275">
        <v>24.43</v>
      </c>
      <c r="G9" s="276">
        <v>1.1900000000000001E-2</v>
      </c>
      <c r="H9" s="277">
        <v>295.56</v>
      </c>
    </row>
    <row r="10" spans="2:8" x14ac:dyDescent="0.35">
      <c r="B10" s="279" t="s">
        <v>47</v>
      </c>
      <c r="C10" s="263" t="s">
        <v>3</v>
      </c>
      <c r="D10" s="264" t="s">
        <v>280</v>
      </c>
      <c r="E10" s="591">
        <v>121259.186</v>
      </c>
      <c r="F10" s="265">
        <v>11.87</v>
      </c>
      <c r="G10" s="266">
        <v>4.3099999999999999E-2</v>
      </c>
      <c r="H10" s="267">
        <v>399.74</v>
      </c>
    </row>
    <row r="11" spans="2:8" x14ac:dyDescent="0.35">
      <c r="B11" s="278" t="s">
        <v>186</v>
      </c>
      <c r="C11" s="273" t="s">
        <v>180</v>
      </c>
      <c r="D11" s="274" t="s">
        <v>281</v>
      </c>
      <c r="E11" s="590">
        <v>9115.7330000000002</v>
      </c>
      <c r="F11" s="275">
        <v>11.88</v>
      </c>
      <c r="G11" s="276">
        <v>3.9100000000000003E-2</v>
      </c>
      <c r="H11" s="277">
        <v>78.28</v>
      </c>
    </row>
    <row r="12" spans="2:8" x14ac:dyDescent="0.35">
      <c r="B12" s="280" t="s">
        <v>46</v>
      </c>
      <c r="C12" s="268" t="s">
        <v>1</v>
      </c>
      <c r="D12" s="269" t="s">
        <v>187</v>
      </c>
      <c r="E12" s="592">
        <v>28071.42</v>
      </c>
      <c r="F12" s="270">
        <v>14.43</v>
      </c>
      <c r="G12" s="271">
        <v>7.6E-3</v>
      </c>
      <c r="H12" s="272">
        <v>53.29</v>
      </c>
    </row>
  </sheetData>
  <mergeCells count="1"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53A9-7F47-4DC2-8720-F2919A8B2183}">
  <dimension ref="A1:BN416"/>
  <sheetViews>
    <sheetView showGridLines="0" topLeftCell="E1" workbookViewId="0">
      <selection activeCell="I4" sqref="I4"/>
    </sheetView>
  </sheetViews>
  <sheetFormatPr defaultColWidth="14.453125" defaultRowHeight="14.5" x14ac:dyDescent="0.35"/>
  <cols>
    <col min="1" max="1" width="8.1796875" customWidth="1"/>
    <col min="2" max="2" width="10.453125" customWidth="1"/>
    <col min="3" max="3" width="4.90625" bestFit="1" customWidth="1"/>
    <col min="4" max="4" width="11.36328125" bestFit="1" customWidth="1"/>
    <col min="5" max="5" width="8.36328125" bestFit="1" customWidth="1"/>
    <col min="6" max="6" width="9.90625" bestFit="1" customWidth="1"/>
    <col min="7" max="7" width="21.08984375" bestFit="1" customWidth="1"/>
    <col min="8" max="8" width="12.54296875" bestFit="1" customWidth="1"/>
    <col min="9" max="9" width="12.453125" bestFit="1" customWidth="1"/>
    <col min="10" max="10" width="10.453125" bestFit="1" customWidth="1"/>
    <col min="11" max="11" width="4.90625" bestFit="1" customWidth="1"/>
    <col min="12" max="12" width="11.36328125" bestFit="1" customWidth="1"/>
    <col min="13" max="13" width="8.36328125" bestFit="1" customWidth="1"/>
    <col min="14" max="14" width="9.90625" bestFit="1" customWidth="1"/>
    <col min="15" max="15" width="21.08984375" bestFit="1" customWidth="1"/>
    <col min="16" max="16" width="12.54296875" bestFit="1" customWidth="1"/>
    <col min="17" max="17" width="12.453125" bestFit="1" customWidth="1"/>
    <col min="18" max="18" width="10.453125" bestFit="1" customWidth="1"/>
    <col min="19" max="19" width="4.90625" bestFit="1" customWidth="1"/>
    <col min="20" max="20" width="11.36328125" bestFit="1" customWidth="1"/>
    <col min="21" max="21" width="8.36328125" bestFit="1" customWidth="1"/>
    <col min="22" max="22" width="9.90625" bestFit="1" customWidth="1"/>
    <col min="23" max="23" width="21.08984375" bestFit="1" customWidth="1"/>
    <col min="24" max="24" width="12.54296875" bestFit="1" customWidth="1"/>
    <col min="25" max="25" width="12.453125" bestFit="1" customWidth="1"/>
    <col min="26" max="26" width="10.453125" bestFit="1" customWidth="1"/>
    <col min="27" max="27" width="5.81640625" bestFit="1" customWidth="1"/>
    <col min="28" max="28" width="11.36328125" bestFit="1" customWidth="1"/>
    <col min="29" max="29" width="8.36328125" bestFit="1" customWidth="1"/>
    <col min="30" max="30" width="9.90625" bestFit="1" customWidth="1"/>
    <col min="31" max="31" width="21.08984375" bestFit="1" customWidth="1"/>
    <col min="32" max="32" width="12.54296875" bestFit="1" customWidth="1"/>
    <col min="33" max="33" width="12.453125" bestFit="1" customWidth="1"/>
    <col min="34" max="34" width="10.453125" bestFit="1" customWidth="1"/>
    <col min="35" max="35" width="5.81640625" bestFit="1" customWidth="1"/>
    <col min="36" max="36" width="11.36328125" bestFit="1" customWidth="1"/>
    <col min="37" max="37" width="8.36328125" bestFit="1" customWidth="1"/>
    <col min="38" max="38" width="9.90625" bestFit="1" customWidth="1"/>
    <col min="39" max="39" width="21.08984375" bestFit="1" customWidth="1"/>
    <col min="40" max="40" width="12.54296875" bestFit="1" customWidth="1"/>
    <col min="41" max="41" width="12.453125" bestFit="1" customWidth="1"/>
    <col min="42" max="42" width="10.453125" bestFit="1" customWidth="1"/>
    <col min="43" max="43" width="6.36328125" bestFit="1" customWidth="1"/>
    <col min="44" max="44" width="11.36328125" bestFit="1" customWidth="1"/>
    <col min="45" max="45" width="8.36328125" bestFit="1" customWidth="1"/>
    <col min="46" max="46" width="9.90625" bestFit="1" customWidth="1"/>
    <col min="47" max="47" width="21.08984375" bestFit="1" customWidth="1"/>
    <col min="48" max="48" width="12.54296875" bestFit="1" customWidth="1"/>
    <col min="49" max="49" width="12.453125" bestFit="1" customWidth="1"/>
    <col min="50" max="50" width="10.453125" bestFit="1" customWidth="1"/>
    <col min="51" max="51" width="5.81640625" bestFit="1" customWidth="1"/>
    <col min="52" max="52" width="11.36328125" bestFit="1" customWidth="1"/>
    <col min="53" max="53" width="8.36328125" bestFit="1" customWidth="1"/>
    <col min="54" max="54" width="9.90625" bestFit="1" customWidth="1"/>
    <col min="55" max="55" width="21.08984375" bestFit="1" customWidth="1"/>
    <col min="56" max="56" width="12.54296875" bestFit="1" customWidth="1"/>
    <col min="57" max="57" width="12.453125" bestFit="1" customWidth="1"/>
    <col min="58" max="58" width="10.453125" bestFit="1" customWidth="1"/>
    <col min="59" max="59" width="5.81640625" bestFit="1" customWidth="1"/>
    <col min="60" max="60" width="11.36328125" bestFit="1" customWidth="1"/>
    <col min="61" max="61" width="8.36328125" bestFit="1" customWidth="1"/>
    <col min="62" max="62" width="9.90625" bestFit="1" customWidth="1"/>
    <col min="63" max="63" width="21.08984375" bestFit="1" customWidth="1"/>
    <col min="64" max="64" width="12.54296875" bestFit="1" customWidth="1"/>
    <col min="65" max="65" width="12.453125" bestFit="1" customWidth="1"/>
    <col min="66" max="66" width="10.26953125" customWidth="1"/>
  </cols>
  <sheetData>
    <row r="1" spans="1:66" s="22" customFormat="1" ht="21" x14ac:dyDescent="0.5">
      <c r="A1" s="18"/>
      <c r="B1" s="18"/>
      <c r="C1" s="673" t="s">
        <v>24</v>
      </c>
      <c r="D1" s="674"/>
      <c r="E1" s="674"/>
      <c r="F1" s="674"/>
      <c r="G1" s="674"/>
      <c r="H1" s="674"/>
      <c r="I1" s="674"/>
      <c r="J1" s="19"/>
      <c r="K1" s="673" t="s">
        <v>25</v>
      </c>
      <c r="L1" s="674"/>
      <c r="M1" s="674"/>
      <c r="N1" s="674"/>
      <c r="O1" s="674"/>
      <c r="P1" s="674"/>
      <c r="Q1" s="674"/>
      <c r="R1" s="19"/>
      <c r="S1" s="673" t="s">
        <v>26</v>
      </c>
      <c r="T1" s="674"/>
      <c r="U1" s="674"/>
      <c r="V1" s="674"/>
      <c r="W1" s="674"/>
      <c r="X1" s="674"/>
      <c r="Y1" s="674"/>
      <c r="Z1" s="20"/>
      <c r="AA1" s="673" t="s">
        <v>27</v>
      </c>
      <c r="AB1" s="674"/>
      <c r="AC1" s="674"/>
      <c r="AD1" s="674"/>
      <c r="AE1" s="674"/>
      <c r="AF1" s="674"/>
      <c r="AG1" s="674"/>
      <c r="AH1" s="20"/>
      <c r="AI1" s="673" t="s">
        <v>28</v>
      </c>
      <c r="AJ1" s="674"/>
      <c r="AK1" s="674"/>
      <c r="AL1" s="674"/>
      <c r="AM1" s="674"/>
      <c r="AN1" s="674"/>
      <c r="AO1" s="674"/>
      <c r="AP1" s="20"/>
      <c r="AQ1" s="673" t="s">
        <v>29</v>
      </c>
      <c r="AR1" s="674"/>
      <c r="AS1" s="674"/>
      <c r="AT1" s="674"/>
      <c r="AU1" s="674"/>
      <c r="AV1" s="674"/>
      <c r="AW1" s="674"/>
      <c r="AX1" s="20"/>
      <c r="AY1" s="673" t="s">
        <v>179</v>
      </c>
      <c r="AZ1" s="674"/>
      <c r="BA1" s="674"/>
      <c r="BB1" s="674"/>
      <c r="BC1" s="674"/>
      <c r="BD1" s="674"/>
      <c r="BE1" s="674"/>
      <c r="BF1" s="20"/>
      <c r="BG1" s="673" t="s">
        <v>30</v>
      </c>
      <c r="BH1" s="674"/>
      <c r="BI1" s="674"/>
      <c r="BJ1" s="674"/>
      <c r="BK1" s="674"/>
      <c r="BL1" s="674"/>
      <c r="BM1" s="674"/>
      <c r="BN1" s="21"/>
    </row>
    <row r="2" spans="1:66" ht="34.5" customHeight="1" x14ac:dyDescent="0.35">
      <c r="A2" s="8"/>
      <c r="B2" s="8" t="s">
        <v>17</v>
      </c>
      <c r="C2" s="9" t="s">
        <v>18</v>
      </c>
      <c r="D2" s="9" t="s">
        <v>19</v>
      </c>
      <c r="E2" s="9" t="s">
        <v>20</v>
      </c>
      <c r="F2" s="9" t="s">
        <v>21</v>
      </c>
      <c r="G2" s="9" t="s">
        <v>35</v>
      </c>
      <c r="H2" s="9" t="s">
        <v>22</v>
      </c>
      <c r="I2" s="9" t="s">
        <v>23</v>
      </c>
      <c r="J2" s="8" t="s">
        <v>17</v>
      </c>
      <c r="K2" s="9" t="str">
        <f t="shared" ref="K2:Q2" si="0">C2</f>
        <v>Price</v>
      </c>
      <c r="L2" s="9" t="str">
        <f t="shared" si="0"/>
        <v>Stock Dividend (%)</v>
      </c>
      <c r="M2" s="9" t="str">
        <f t="shared" si="0"/>
        <v>Right Ratio (%)</v>
      </c>
      <c r="N2" s="9" t="str">
        <f t="shared" si="0"/>
        <v>Right Offer Price (TK.)</v>
      </c>
      <c r="O2" s="9" t="str">
        <f t="shared" si="0"/>
        <v>Stock Dividend and Righ Share Adjusted Price</v>
      </c>
      <c r="P2" s="9" t="str">
        <f t="shared" si="0"/>
        <v>Cash Dividend (TK.)</v>
      </c>
      <c r="Q2" s="9" t="str">
        <f t="shared" si="0"/>
        <v>Total Return (%)</v>
      </c>
      <c r="R2" s="8" t="s">
        <v>17</v>
      </c>
      <c r="S2" s="9" t="str">
        <f t="shared" ref="S2:Y2" si="1">C2</f>
        <v>Price</v>
      </c>
      <c r="T2" s="9" t="str">
        <f t="shared" si="1"/>
        <v>Stock Dividend (%)</v>
      </c>
      <c r="U2" s="9" t="str">
        <f t="shared" si="1"/>
        <v>Right Ratio (%)</v>
      </c>
      <c r="V2" s="9" t="str">
        <f t="shared" si="1"/>
        <v>Right Offer Price (TK.)</v>
      </c>
      <c r="W2" s="9" t="str">
        <f t="shared" si="1"/>
        <v>Stock Dividend and Righ Share Adjusted Price</v>
      </c>
      <c r="X2" s="9" t="str">
        <f t="shared" si="1"/>
        <v>Cash Dividend (TK.)</v>
      </c>
      <c r="Y2" s="9" t="str">
        <f t="shared" si="1"/>
        <v>Total Return (%)</v>
      </c>
      <c r="Z2" s="8" t="s">
        <v>17</v>
      </c>
      <c r="AA2" s="9" t="str">
        <f t="shared" ref="AA2:AG2" si="2">C2</f>
        <v>Price</v>
      </c>
      <c r="AB2" s="9" t="str">
        <f t="shared" si="2"/>
        <v>Stock Dividend (%)</v>
      </c>
      <c r="AC2" s="9" t="str">
        <f t="shared" si="2"/>
        <v>Right Ratio (%)</v>
      </c>
      <c r="AD2" s="9" t="str">
        <f t="shared" si="2"/>
        <v>Right Offer Price (TK.)</v>
      </c>
      <c r="AE2" s="9" t="str">
        <f t="shared" si="2"/>
        <v>Stock Dividend and Righ Share Adjusted Price</v>
      </c>
      <c r="AF2" s="9" t="str">
        <f t="shared" si="2"/>
        <v>Cash Dividend (TK.)</v>
      </c>
      <c r="AG2" s="9" t="str">
        <f t="shared" si="2"/>
        <v>Total Return (%)</v>
      </c>
      <c r="AH2" s="9" t="s">
        <v>17</v>
      </c>
      <c r="AI2" s="9" t="str">
        <f t="shared" ref="AI2:AO2" si="3">AA2</f>
        <v>Price</v>
      </c>
      <c r="AJ2" s="9" t="str">
        <f t="shared" si="3"/>
        <v>Stock Dividend (%)</v>
      </c>
      <c r="AK2" s="9" t="str">
        <f t="shared" si="3"/>
        <v>Right Ratio (%)</v>
      </c>
      <c r="AL2" s="9" t="str">
        <f t="shared" si="3"/>
        <v>Right Offer Price (TK.)</v>
      </c>
      <c r="AM2" s="9" t="str">
        <f t="shared" si="3"/>
        <v>Stock Dividend and Righ Share Adjusted Price</v>
      </c>
      <c r="AN2" s="9" t="str">
        <f t="shared" si="3"/>
        <v>Cash Dividend (TK.)</v>
      </c>
      <c r="AO2" s="9" t="str">
        <f t="shared" si="3"/>
        <v>Total Return (%)</v>
      </c>
      <c r="AP2" s="9" t="s">
        <v>17</v>
      </c>
      <c r="AQ2" s="9" t="str">
        <f t="shared" ref="AQ2:AW2" si="4">C2</f>
        <v>Price</v>
      </c>
      <c r="AR2" s="9" t="str">
        <f t="shared" si="4"/>
        <v>Stock Dividend (%)</v>
      </c>
      <c r="AS2" s="9" t="str">
        <f t="shared" si="4"/>
        <v>Right Ratio (%)</v>
      </c>
      <c r="AT2" s="9" t="str">
        <f t="shared" si="4"/>
        <v>Right Offer Price (TK.)</v>
      </c>
      <c r="AU2" s="10" t="str">
        <f t="shared" si="4"/>
        <v>Stock Dividend and Righ Share Adjusted Price</v>
      </c>
      <c r="AV2" s="9" t="str">
        <f t="shared" si="4"/>
        <v>Cash Dividend (TK.)</v>
      </c>
      <c r="AW2" s="9" t="str">
        <f t="shared" si="4"/>
        <v>Total Return (%)</v>
      </c>
      <c r="AX2" s="9" t="s">
        <v>17</v>
      </c>
      <c r="AY2" s="9" t="str">
        <f t="shared" ref="AY2:BE2" si="5">C2</f>
        <v>Price</v>
      </c>
      <c r="AZ2" s="9" t="str">
        <f t="shared" si="5"/>
        <v>Stock Dividend (%)</v>
      </c>
      <c r="BA2" s="9" t="str">
        <f t="shared" si="5"/>
        <v>Right Ratio (%)</v>
      </c>
      <c r="BB2" s="9" t="str">
        <f t="shared" si="5"/>
        <v>Right Offer Price (TK.)</v>
      </c>
      <c r="BC2" s="9" t="str">
        <f t="shared" si="5"/>
        <v>Stock Dividend and Righ Share Adjusted Price</v>
      </c>
      <c r="BD2" s="9" t="str">
        <f t="shared" si="5"/>
        <v>Cash Dividend (TK.)</v>
      </c>
      <c r="BE2" s="9" t="str">
        <f t="shared" si="5"/>
        <v>Total Return (%)</v>
      </c>
      <c r="BF2" s="9" t="s">
        <v>17</v>
      </c>
      <c r="BG2" s="9" t="str">
        <f t="shared" ref="BG2:BM2" si="6">C2</f>
        <v>Price</v>
      </c>
      <c r="BH2" s="9" t="str">
        <f t="shared" si="6"/>
        <v>Stock Dividend (%)</v>
      </c>
      <c r="BI2" s="9" t="str">
        <f t="shared" si="6"/>
        <v>Right Ratio (%)</v>
      </c>
      <c r="BJ2" s="9" t="str">
        <f t="shared" si="6"/>
        <v>Right Offer Price (TK.)</v>
      </c>
      <c r="BK2" s="9" t="str">
        <f t="shared" si="6"/>
        <v>Stock Dividend and Righ Share Adjusted Price</v>
      </c>
      <c r="BL2" s="9" t="str">
        <f t="shared" si="6"/>
        <v>Cash Dividend (TK.)</v>
      </c>
      <c r="BM2" s="9" t="str">
        <f t="shared" si="6"/>
        <v>Total Return (%)</v>
      </c>
    </row>
    <row r="3" spans="1:66" ht="15" customHeight="1" x14ac:dyDescent="0.35">
      <c r="A3" s="675" t="s">
        <v>65</v>
      </c>
      <c r="B3" s="12">
        <v>45292</v>
      </c>
      <c r="C3" s="3">
        <v>12.4</v>
      </c>
      <c r="D3" s="2"/>
      <c r="E3" s="2"/>
      <c r="F3" s="2"/>
      <c r="G3" s="11">
        <f>C3+C3*D3+C3*E3-F3*E3</f>
        <v>12.4</v>
      </c>
      <c r="H3" s="2"/>
      <c r="I3" s="2"/>
      <c r="J3" s="12">
        <v>45292</v>
      </c>
      <c r="K3" s="2">
        <v>46.5</v>
      </c>
      <c r="L3" s="2"/>
      <c r="M3" s="2"/>
      <c r="N3" s="2"/>
      <c r="O3" s="11">
        <f t="shared" ref="O3:O257" si="7">K3+K3*L3+K3*M3-N3*M3</f>
        <v>46.5</v>
      </c>
      <c r="P3" s="2"/>
      <c r="Q3" s="5"/>
      <c r="R3" s="12">
        <v>45292</v>
      </c>
      <c r="S3" s="4">
        <v>286.60000000000002</v>
      </c>
      <c r="T3" s="2"/>
      <c r="U3" s="2"/>
      <c r="V3" s="2"/>
      <c r="W3" s="11">
        <f t="shared" ref="W3:W257" si="8">S3+S3*T3+S3*U3-V3*U3</f>
        <v>286.60000000000002</v>
      </c>
      <c r="X3" s="2"/>
      <c r="Y3" s="5"/>
      <c r="Z3" s="12">
        <v>45292</v>
      </c>
      <c r="AA3" s="2">
        <v>966.6</v>
      </c>
      <c r="AB3" s="2"/>
      <c r="AC3" s="2"/>
      <c r="AD3" s="2"/>
      <c r="AE3" s="2">
        <f t="shared" ref="AE3:AE257" si="9">AA3+AA3*AB3+AA3*AC3-AD3*AC3</f>
        <v>966.6</v>
      </c>
      <c r="AF3" s="2"/>
      <c r="AG3" s="5"/>
      <c r="AH3" s="12">
        <v>45292</v>
      </c>
      <c r="AI3" s="2">
        <v>1217.9000000000001</v>
      </c>
      <c r="AJ3" s="2"/>
      <c r="AK3" s="2"/>
      <c r="AL3" s="2"/>
      <c r="AM3" s="2">
        <f t="shared" ref="AM3:AM257" si="10">AI3+AI3*AJ3+AI3*AK3-AL3*AK3</f>
        <v>1217.9000000000001</v>
      </c>
      <c r="AN3" s="2"/>
      <c r="AO3" s="5"/>
      <c r="AP3" s="12">
        <v>45292</v>
      </c>
      <c r="AQ3" s="11">
        <v>1047.7</v>
      </c>
      <c r="AR3" s="2"/>
      <c r="AS3" s="2"/>
      <c r="AT3" s="2"/>
      <c r="AU3" s="11">
        <f t="shared" ref="AU3:AU257" si="11">AQ3+AQ3*AR3+AQ3*AS3-AT3*AS3</f>
        <v>1047.7</v>
      </c>
      <c r="AV3" s="2"/>
      <c r="AW3" s="5"/>
      <c r="AX3" s="12">
        <v>45292</v>
      </c>
      <c r="AY3" s="2">
        <v>42.9</v>
      </c>
      <c r="AZ3" s="2"/>
      <c r="BA3" s="2"/>
      <c r="BB3" s="2"/>
      <c r="BC3" s="2">
        <f t="shared" ref="BC3:BC257" si="12">AY3+AY3*AZ3+AY3*BA3-BB3*BA3</f>
        <v>42.9</v>
      </c>
      <c r="BD3" s="2"/>
      <c r="BE3" s="5"/>
      <c r="BF3" s="12">
        <v>45292</v>
      </c>
      <c r="BG3" s="2">
        <v>151.19999999999999</v>
      </c>
      <c r="BH3" s="2"/>
      <c r="BI3" s="2"/>
      <c r="BJ3" s="2"/>
      <c r="BK3" s="2">
        <f t="shared" ref="BK3:BK257" si="13">BG3+BG3*BH3+BG3*BI3-BJ3*BI3</f>
        <v>151.19999999999999</v>
      </c>
      <c r="BL3" s="2"/>
      <c r="BM3" s="5"/>
    </row>
    <row r="4" spans="1:66" x14ac:dyDescent="0.35">
      <c r="A4" s="675"/>
      <c r="B4" s="13">
        <v>45293</v>
      </c>
      <c r="C4" s="2">
        <v>12.4</v>
      </c>
      <c r="D4" s="2"/>
      <c r="E4" s="2"/>
      <c r="F4" s="2"/>
      <c r="G4" s="11">
        <f t="shared" ref="G4:G258" si="14">C4+C4*D4+C4*E4-F4*E4</f>
        <v>12.4</v>
      </c>
      <c r="H4" s="2"/>
      <c r="I4" s="5">
        <f>LN((G4+H4)/G3)</f>
        <v>0</v>
      </c>
      <c r="J4" s="13">
        <v>45293</v>
      </c>
      <c r="K4" s="2">
        <v>46.5</v>
      </c>
      <c r="L4" s="2"/>
      <c r="M4" s="2"/>
      <c r="N4" s="2"/>
      <c r="O4" s="11">
        <f t="shared" si="7"/>
        <v>46.5</v>
      </c>
      <c r="P4" s="2"/>
      <c r="Q4" s="5">
        <f t="shared" ref="Q4:Q258" si="15">LN((O4+P4)/O3)</f>
        <v>0</v>
      </c>
      <c r="R4" s="13">
        <v>45293</v>
      </c>
      <c r="S4" s="2">
        <v>286.60000000000002</v>
      </c>
      <c r="T4" s="2"/>
      <c r="U4" s="2"/>
      <c r="V4" s="2"/>
      <c r="W4" s="11">
        <f t="shared" si="8"/>
        <v>286.60000000000002</v>
      </c>
      <c r="X4" s="2"/>
      <c r="Y4" s="5">
        <f t="shared" ref="Y4:Y258" si="16">LN((W4+X4)/W3)</f>
        <v>0</v>
      </c>
      <c r="Z4" s="13">
        <v>45293</v>
      </c>
      <c r="AA4" s="2">
        <v>961.3</v>
      </c>
      <c r="AB4" s="2"/>
      <c r="AC4" s="2"/>
      <c r="AD4" s="2"/>
      <c r="AE4" s="2">
        <f t="shared" si="9"/>
        <v>961.3</v>
      </c>
      <c r="AF4" s="2"/>
      <c r="AG4" s="5">
        <f t="shared" ref="AG4:AG258" si="17">LN((AE4+AF4)/AE3)</f>
        <v>-5.4982243392132576E-3</v>
      </c>
      <c r="AH4" s="13">
        <v>45293</v>
      </c>
      <c r="AI4" s="2">
        <v>1217.9000000000001</v>
      </c>
      <c r="AJ4" s="2"/>
      <c r="AK4" s="2"/>
      <c r="AL4" s="2"/>
      <c r="AM4" s="2">
        <f t="shared" si="10"/>
        <v>1217.9000000000001</v>
      </c>
      <c r="AN4" s="2"/>
      <c r="AO4" s="5">
        <f t="shared" ref="AO4:AO258" si="18">LN((AM4+AN4)/AM3)</f>
        <v>0</v>
      </c>
      <c r="AP4" s="13">
        <v>45293</v>
      </c>
      <c r="AQ4" s="11">
        <v>1047.7</v>
      </c>
      <c r="AR4" s="2"/>
      <c r="AS4" s="2"/>
      <c r="AT4" s="2"/>
      <c r="AU4" s="11">
        <f t="shared" si="11"/>
        <v>1047.7</v>
      </c>
      <c r="AV4" s="2"/>
      <c r="AW4" s="5">
        <f t="shared" ref="AW4:AW258" si="19">LN((AU4+AV4)/AU3)</f>
        <v>0</v>
      </c>
      <c r="AX4" s="13">
        <v>45293</v>
      </c>
      <c r="AY4" s="2">
        <v>42.9</v>
      </c>
      <c r="AZ4" s="2"/>
      <c r="BA4" s="2"/>
      <c r="BB4" s="2"/>
      <c r="BC4" s="2">
        <f t="shared" si="12"/>
        <v>42.9</v>
      </c>
      <c r="BD4" s="2"/>
      <c r="BE4" s="5">
        <f t="shared" ref="BE4:BE258" si="20">LN((BC4+BD4)/BC3)</f>
        <v>0</v>
      </c>
      <c r="BF4" s="13">
        <v>45293</v>
      </c>
      <c r="BG4" s="2">
        <v>152</v>
      </c>
      <c r="BH4" s="6"/>
      <c r="BI4" s="2"/>
      <c r="BJ4" s="2"/>
      <c r="BK4" s="2">
        <f t="shared" si="13"/>
        <v>152</v>
      </c>
      <c r="BL4" s="2"/>
      <c r="BM4" s="5">
        <f>LN((BK4+BL4)/BK3)</f>
        <v>5.2770571008438193E-3</v>
      </c>
    </row>
    <row r="5" spans="1:66" x14ac:dyDescent="0.35">
      <c r="A5" s="675"/>
      <c r="B5" s="13">
        <v>45294</v>
      </c>
      <c r="C5" s="2">
        <v>12.4</v>
      </c>
      <c r="D5" s="2"/>
      <c r="E5" s="2"/>
      <c r="F5" s="2"/>
      <c r="G5" s="11">
        <f t="shared" si="14"/>
        <v>12.4</v>
      </c>
      <c r="H5" s="2"/>
      <c r="I5" s="5">
        <f t="shared" ref="I5:I259" si="21">LN((G5+H5)/G4)</f>
        <v>0</v>
      </c>
      <c r="J5" s="13">
        <v>45294</v>
      </c>
      <c r="K5" s="2">
        <v>46.5</v>
      </c>
      <c r="L5" s="2"/>
      <c r="M5" s="2"/>
      <c r="N5" s="2"/>
      <c r="O5" s="11">
        <f t="shared" si="7"/>
        <v>46.5</v>
      </c>
      <c r="P5" s="2"/>
      <c r="Q5" s="5">
        <f t="shared" si="15"/>
        <v>0</v>
      </c>
      <c r="R5" s="13">
        <v>45294</v>
      </c>
      <c r="S5" s="2">
        <v>286.60000000000002</v>
      </c>
      <c r="T5" s="2"/>
      <c r="U5" s="2"/>
      <c r="V5" s="2"/>
      <c r="W5" s="11">
        <f t="shared" si="8"/>
        <v>286.60000000000002</v>
      </c>
      <c r="X5" s="2"/>
      <c r="Y5" s="5">
        <f t="shared" si="16"/>
        <v>0</v>
      </c>
      <c r="Z5" s="13">
        <v>45294</v>
      </c>
      <c r="AA5" s="2">
        <v>961.2</v>
      </c>
      <c r="AB5" s="2"/>
      <c r="AC5" s="2"/>
      <c r="AD5" s="2"/>
      <c r="AE5" s="2">
        <f t="shared" si="9"/>
        <v>961.2</v>
      </c>
      <c r="AF5" s="2"/>
      <c r="AG5" s="5">
        <f t="shared" si="17"/>
        <v>-1.0403120945648462E-4</v>
      </c>
      <c r="AH5" s="13">
        <v>45294</v>
      </c>
      <c r="AI5" s="2">
        <v>1217.9000000000001</v>
      </c>
      <c r="AJ5" s="2"/>
      <c r="AK5" s="2"/>
      <c r="AL5" s="2"/>
      <c r="AM5" s="2">
        <f t="shared" si="10"/>
        <v>1217.9000000000001</v>
      </c>
      <c r="AN5" s="2"/>
      <c r="AO5" s="5">
        <f t="shared" si="18"/>
        <v>0</v>
      </c>
      <c r="AP5" s="13">
        <v>45294</v>
      </c>
      <c r="AQ5" s="11">
        <v>1047.7</v>
      </c>
      <c r="AR5" s="2"/>
      <c r="AS5" s="2"/>
      <c r="AT5" s="2"/>
      <c r="AU5" s="11">
        <f t="shared" si="11"/>
        <v>1047.7</v>
      </c>
      <c r="AV5" s="2"/>
      <c r="AW5" s="5">
        <f t="shared" si="19"/>
        <v>0</v>
      </c>
      <c r="AX5" s="13">
        <v>45294</v>
      </c>
      <c r="AY5" s="2">
        <v>42.9</v>
      </c>
      <c r="AZ5" s="2"/>
      <c r="BA5" s="2"/>
      <c r="BB5" s="2"/>
      <c r="BC5" s="2">
        <f t="shared" si="12"/>
        <v>42.9</v>
      </c>
      <c r="BD5" s="2"/>
      <c r="BE5" s="5">
        <f t="shared" si="20"/>
        <v>0</v>
      </c>
      <c r="BF5" s="13">
        <v>45294</v>
      </c>
      <c r="BG5" s="2">
        <v>154.30000000000001</v>
      </c>
      <c r="BH5" s="2"/>
      <c r="BI5" s="2"/>
      <c r="BJ5" s="2"/>
      <c r="BK5" s="2">
        <f t="shared" si="13"/>
        <v>154.30000000000001</v>
      </c>
      <c r="BL5" s="2"/>
      <c r="BM5" s="5">
        <f t="shared" ref="BM5:BM258" si="22">LN((BK5+BL5)/BK4)</f>
        <v>1.5018238522838841E-2</v>
      </c>
    </row>
    <row r="6" spans="1:66" x14ac:dyDescent="0.35">
      <c r="A6" s="675"/>
      <c r="B6" s="13">
        <v>45295</v>
      </c>
      <c r="C6" s="2">
        <v>12.4</v>
      </c>
      <c r="D6" s="2"/>
      <c r="E6" s="2"/>
      <c r="F6" s="2"/>
      <c r="G6" s="11">
        <f t="shared" si="14"/>
        <v>12.4</v>
      </c>
      <c r="H6" s="2"/>
      <c r="I6" s="5">
        <f t="shared" si="21"/>
        <v>0</v>
      </c>
      <c r="J6" s="13">
        <v>45295</v>
      </c>
      <c r="K6" s="2">
        <v>46.5</v>
      </c>
      <c r="L6" s="2"/>
      <c r="M6" s="2"/>
      <c r="N6" s="2"/>
      <c r="O6" s="11">
        <f t="shared" si="7"/>
        <v>46.5</v>
      </c>
      <c r="P6" s="2"/>
      <c r="Q6" s="5">
        <f t="shared" si="15"/>
        <v>0</v>
      </c>
      <c r="R6" s="13">
        <v>45295</v>
      </c>
      <c r="S6" s="2">
        <v>286.60000000000002</v>
      </c>
      <c r="T6" s="2"/>
      <c r="U6" s="2"/>
      <c r="V6" s="2"/>
      <c r="W6" s="11">
        <f t="shared" si="8"/>
        <v>286.60000000000002</v>
      </c>
      <c r="X6" s="2"/>
      <c r="Y6" s="5">
        <f t="shared" si="16"/>
        <v>0</v>
      </c>
      <c r="Z6" s="13">
        <v>45295</v>
      </c>
      <c r="AA6" s="2">
        <v>968.6</v>
      </c>
      <c r="AB6" s="2"/>
      <c r="AC6" s="2"/>
      <c r="AD6" s="2"/>
      <c r="AE6" s="2">
        <f t="shared" si="9"/>
        <v>968.6</v>
      </c>
      <c r="AF6" s="2"/>
      <c r="AG6" s="5">
        <f t="shared" si="17"/>
        <v>7.6692261068148941E-3</v>
      </c>
      <c r="AH6" s="13">
        <v>45295</v>
      </c>
      <c r="AI6" s="2">
        <v>1217.9000000000001</v>
      </c>
      <c r="AJ6" s="2"/>
      <c r="AK6" s="2"/>
      <c r="AL6" s="2"/>
      <c r="AM6" s="2">
        <f t="shared" si="10"/>
        <v>1217.9000000000001</v>
      </c>
      <c r="AN6" s="2"/>
      <c r="AO6" s="5">
        <f t="shared" si="18"/>
        <v>0</v>
      </c>
      <c r="AP6" s="13">
        <v>45295</v>
      </c>
      <c r="AQ6" s="11">
        <v>1047.7</v>
      </c>
      <c r="AR6" s="2"/>
      <c r="AS6" s="2"/>
      <c r="AT6" s="2"/>
      <c r="AU6" s="11">
        <f t="shared" si="11"/>
        <v>1047.7</v>
      </c>
      <c r="AV6" s="2"/>
      <c r="AW6" s="5">
        <f t="shared" si="19"/>
        <v>0</v>
      </c>
      <c r="AX6" s="13">
        <v>45295</v>
      </c>
      <c r="AY6" s="2">
        <v>42.9</v>
      </c>
      <c r="AZ6" s="2"/>
      <c r="BA6" s="2"/>
      <c r="BB6" s="2"/>
      <c r="BC6" s="2">
        <f t="shared" si="12"/>
        <v>42.9</v>
      </c>
      <c r="BD6" s="2"/>
      <c r="BE6" s="5">
        <f t="shared" si="20"/>
        <v>0</v>
      </c>
      <c r="BF6" s="13">
        <v>45295</v>
      </c>
      <c r="BG6" s="2">
        <v>156.30000000000001</v>
      </c>
      <c r="BH6" s="2"/>
      <c r="BI6" s="2"/>
      <c r="BJ6" s="2"/>
      <c r="BK6" s="2">
        <f>BG6+BG6*BH6+BG6*BI6-BJ6*BI6</f>
        <v>156.30000000000001</v>
      </c>
      <c r="BL6" s="2"/>
      <c r="BM6" s="5">
        <f t="shared" si="22"/>
        <v>1.2878478058315712E-2</v>
      </c>
    </row>
    <row r="7" spans="1:66" x14ac:dyDescent="0.35">
      <c r="A7" s="675"/>
      <c r="B7" s="13">
        <v>45299</v>
      </c>
      <c r="C7" s="2">
        <v>12.4</v>
      </c>
      <c r="D7" s="2"/>
      <c r="E7" s="2"/>
      <c r="F7" s="2"/>
      <c r="G7" s="11">
        <f t="shared" si="14"/>
        <v>12.4</v>
      </c>
      <c r="H7" s="2"/>
      <c r="I7" s="5">
        <f t="shared" si="21"/>
        <v>0</v>
      </c>
      <c r="J7" s="13">
        <v>45299</v>
      </c>
      <c r="K7" s="2">
        <v>46.5</v>
      </c>
      <c r="L7" s="2"/>
      <c r="M7" s="2"/>
      <c r="N7" s="2"/>
      <c r="O7" s="11">
        <f t="shared" si="7"/>
        <v>46.5</v>
      </c>
      <c r="P7" s="2"/>
      <c r="Q7" s="5">
        <f t="shared" si="15"/>
        <v>0</v>
      </c>
      <c r="R7" s="13">
        <v>45299</v>
      </c>
      <c r="S7" s="2">
        <v>286.60000000000002</v>
      </c>
      <c r="T7" s="2"/>
      <c r="U7" s="2"/>
      <c r="V7" s="2"/>
      <c r="W7" s="11">
        <f t="shared" si="8"/>
        <v>286.60000000000002</v>
      </c>
      <c r="X7" s="2"/>
      <c r="Y7" s="5">
        <f t="shared" si="16"/>
        <v>0</v>
      </c>
      <c r="Z7" s="13">
        <v>45299</v>
      </c>
      <c r="AA7" s="2">
        <v>969.4</v>
      </c>
      <c r="AB7" s="2"/>
      <c r="AC7" s="2"/>
      <c r="AD7" s="2"/>
      <c r="AE7" s="2">
        <f t="shared" si="9"/>
        <v>969.4</v>
      </c>
      <c r="AF7" s="2"/>
      <c r="AG7" s="5">
        <f t="shared" si="17"/>
        <v>8.2559344214672289E-4</v>
      </c>
      <c r="AH7" s="13">
        <v>45299</v>
      </c>
      <c r="AI7" s="2">
        <v>1217.9000000000001</v>
      </c>
      <c r="AJ7" s="2"/>
      <c r="AK7" s="2"/>
      <c r="AL7" s="2"/>
      <c r="AM7" s="2">
        <f t="shared" si="10"/>
        <v>1217.9000000000001</v>
      </c>
      <c r="AN7" s="2"/>
      <c r="AO7" s="5">
        <f t="shared" si="18"/>
        <v>0</v>
      </c>
      <c r="AP7" s="13">
        <v>45299</v>
      </c>
      <c r="AQ7" s="11">
        <v>1047.7</v>
      </c>
      <c r="AR7" s="2"/>
      <c r="AS7" s="2"/>
      <c r="AT7" s="2"/>
      <c r="AU7" s="11">
        <f t="shared" si="11"/>
        <v>1047.7</v>
      </c>
      <c r="AV7" s="2"/>
      <c r="AW7" s="5">
        <f t="shared" si="19"/>
        <v>0</v>
      </c>
      <c r="AX7" s="13">
        <v>45299</v>
      </c>
      <c r="AY7" s="2">
        <v>42.9</v>
      </c>
      <c r="AZ7" s="2"/>
      <c r="BA7" s="2"/>
      <c r="BB7" s="2"/>
      <c r="BC7" s="2">
        <f t="shared" si="12"/>
        <v>42.9</v>
      </c>
      <c r="BD7" s="2"/>
      <c r="BE7" s="5">
        <f t="shared" si="20"/>
        <v>0</v>
      </c>
      <c r="BF7" s="13">
        <v>45299</v>
      </c>
      <c r="BG7" s="2">
        <v>155.5</v>
      </c>
      <c r="BH7" s="2"/>
      <c r="BI7" s="2"/>
      <c r="BJ7" s="2"/>
      <c r="BK7" s="2">
        <f t="shared" si="13"/>
        <v>155.5</v>
      </c>
      <c r="BL7" s="2"/>
      <c r="BM7" s="5">
        <f t="shared" si="22"/>
        <v>-5.131505808142132E-3</v>
      </c>
    </row>
    <row r="8" spans="1:66" x14ac:dyDescent="0.35">
      <c r="A8" s="675"/>
      <c r="B8" s="13">
        <v>45300</v>
      </c>
      <c r="C8" s="2">
        <v>12.4</v>
      </c>
      <c r="D8" s="2"/>
      <c r="E8" s="2"/>
      <c r="F8" s="2"/>
      <c r="G8" s="11">
        <f t="shared" si="14"/>
        <v>12.4</v>
      </c>
      <c r="H8" s="2"/>
      <c r="I8" s="5">
        <f t="shared" si="21"/>
        <v>0</v>
      </c>
      <c r="J8" s="13">
        <v>45300</v>
      </c>
      <c r="K8" s="2">
        <v>46.5</v>
      </c>
      <c r="L8" s="2"/>
      <c r="M8" s="2"/>
      <c r="N8" s="2"/>
      <c r="O8" s="11">
        <f t="shared" si="7"/>
        <v>46.5</v>
      </c>
      <c r="P8" s="2"/>
      <c r="Q8" s="5">
        <f t="shared" si="15"/>
        <v>0</v>
      </c>
      <c r="R8" s="13">
        <v>45300</v>
      </c>
      <c r="S8" s="2">
        <v>286.60000000000002</v>
      </c>
      <c r="T8" s="2"/>
      <c r="U8" s="2"/>
      <c r="V8" s="2"/>
      <c r="W8" s="11">
        <f t="shared" si="8"/>
        <v>286.60000000000002</v>
      </c>
      <c r="X8" s="2"/>
      <c r="Y8" s="5">
        <f t="shared" si="16"/>
        <v>0</v>
      </c>
      <c r="Z8" s="13">
        <v>45300</v>
      </c>
      <c r="AA8" s="2">
        <v>963</v>
      </c>
      <c r="AB8" s="2"/>
      <c r="AC8" s="2"/>
      <c r="AD8" s="2"/>
      <c r="AE8" s="2">
        <f t="shared" si="9"/>
        <v>963</v>
      </c>
      <c r="AF8" s="2"/>
      <c r="AG8" s="5">
        <f t="shared" si="17"/>
        <v>-6.623911613150066E-3</v>
      </c>
      <c r="AH8" s="13">
        <v>45300</v>
      </c>
      <c r="AI8" s="2">
        <v>1217.9000000000001</v>
      </c>
      <c r="AJ8" s="2"/>
      <c r="AK8" s="2"/>
      <c r="AL8" s="2"/>
      <c r="AM8" s="2">
        <f t="shared" si="10"/>
        <v>1217.9000000000001</v>
      </c>
      <c r="AN8" s="2"/>
      <c r="AO8" s="5">
        <f t="shared" si="18"/>
        <v>0</v>
      </c>
      <c r="AP8" s="13">
        <v>45300</v>
      </c>
      <c r="AQ8" s="11">
        <v>1047.7</v>
      </c>
      <c r="AR8" s="2"/>
      <c r="AS8" s="2"/>
      <c r="AT8" s="2"/>
      <c r="AU8" s="11">
        <f t="shared" si="11"/>
        <v>1047.7</v>
      </c>
      <c r="AV8" s="2"/>
      <c r="AW8" s="5">
        <f t="shared" si="19"/>
        <v>0</v>
      </c>
      <c r="AX8" s="13">
        <v>45300</v>
      </c>
      <c r="AY8" s="2">
        <v>42.9</v>
      </c>
      <c r="AZ8" s="2"/>
      <c r="BA8" s="2"/>
      <c r="BB8" s="2"/>
      <c r="BC8" s="2">
        <f t="shared" si="12"/>
        <v>42.9</v>
      </c>
      <c r="BD8" s="2"/>
      <c r="BE8" s="5">
        <f t="shared" si="20"/>
        <v>0</v>
      </c>
      <c r="BF8" s="13">
        <v>45300</v>
      </c>
      <c r="BG8" s="2">
        <v>155.19999999999999</v>
      </c>
      <c r="BH8" s="2"/>
      <c r="BI8" s="2"/>
      <c r="BJ8" s="2"/>
      <c r="BK8" s="2">
        <f t="shared" si="13"/>
        <v>155.19999999999999</v>
      </c>
      <c r="BL8" s="2"/>
      <c r="BM8" s="5">
        <f t="shared" si="22"/>
        <v>-1.9311238701705186E-3</v>
      </c>
    </row>
    <row r="9" spans="1:66" x14ac:dyDescent="0.35">
      <c r="A9" s="675"/>
      <c r="B9" s="13">
        <v>45301</v>
      </c>
      <c r="C9" s="2">
        <v>12.4</v>
      </c>
      <c r="D9" s="2"/>
      <c r="E9" s="2"/>
      <c r="F9" s="2"/>
      <c r="G9" s="11">
        <f t="shared" si="14"/>
        <v>12.4</v>
      </c>
      <c r="H9" s="2"/>
      <c r="I9" s="5">
        <f t="shared" si="21"/>
        <v>0</v>
      </c>
      <c r="J9" s="13">
        <v>45301</v>
      </c>
      <c r="K9" s="2">
        <v>46.5</v>
      </c>
      <c r="L9" s="2"/>
      <c r="M9" s="2"/>
      <c r="N9" s="2"/>
      <c r="O9" s="11">
        <f t="shared" si="7"/>
        <v>46.5</v>
      </c>
      <c r="P9" s="2"/>
      <c r="Q9" s="5">
        <f t="shared" si="15"/>
        <v>0</v>
      </c>
      <c r="R9" s="13">
        <v>45301</v>
      </c>
      <c r="S9" s="2">
        <v>286.60000000000002</v>
      </c>
      <c r="T9" s="2"/>
      <c r="U9" s="2"/>
      <c r="V9" s="2"/>
      <c r="W9" s="11">
        <f t="shared" si="8"/>
        <v>286.60000000000002</v>
      </c>
      <c r="X9" s="2"/>
      <c r="Y9" s="5">
        <f t="shared" si="16"/>
        <v>0</v>
      </c>
      <c r="Z9" s="13">
        <v>45301</v>
      </c>
      <c r="AA9" s="2">
        <v>975</v>
      </c>
      <c r="AB9" s="2"/>
      <c r="AC9" s="2"/>
      <c r="AD9" s="2"/>
      <c r="AE9" s="2">
        <f t="shared" si="9"/>
        <v>975</v>
      </c>
      <c r="AF9" s="2"/>
      <c r="AG9" s="5">
        <f t="shared" si="17"/>
        <v>1.2384059199721622E-2</v>
      </c>
      <c r="AH9" s="13">
        <v>45301</v>
      </c>
      <c r="AI9" s="2">
        <v>1217.9000000000001</v>
      </c>
      <c r="AJ9" s="2"/>
      <c r="AK9" s="2"/>
      <c r="AL9" s="2"/>
      <c r="AM9" s="2">
        <f t="shared" si="10"/>
        <v>1217.9000000000001</v>
      </c>
      <c r="AN9" s="2"/>
      <c r="AO9" s="5">
        <f t="shared" si="18"/>
        <v>0</v>
      </c>
      <c r="AP9" s="13">
        <v>45301</v>
      </c>
      <c r="AQ9" s="11">
        <v>1047.7</v>
      </c>
      <c r="AR9" s="2"/>
      <c r="AS9" s="2"/>
      <c r="AT9" s="2"/>
      <c r="AU9" s="11">
        <f t="shared" si="11"/>
        <v>1047.7</v>
      </c>
      <c r="AV9" s="2"/>
      <c r="AW9" s="5">
        <f t="shared" si="19"/>
        <v>0</v>
      </c>
      <c r="AX9" s="13">
        <v>45301</v>
      </c>
      <c r="AY9" s="2">
        <v>42.9</v>
      </c>
      <c r="AZ9" s="2"/>
      <c r="BA9" s="2"/>
      <c r="BB9" s="2"/>
      <c r="BC9" s="2">
        <f t="shared" si="12"/>
        <v>42.9</v>
      </c>
      <c r="BD9" s="2"/>
      <c r="BE9" s="5">
        <f t="shared" si="20"/>
        <v>0</v>
      </c>
      <c r="BF9" s="13">
        <v>45301</v>
      </c>
      <c r="BG9" s="2">
        <v>155.4</v>
      </c>
      <c r="BH9" s="2"/>
      <c r="BI9" s="2"/>
      <c r="BJ9" s="2"/>
      <c r="BK9" s="2">
        <f t="shared" si="13"/>
        <v>155.4</v>
      </c>
      <c r="BL9" s="2"/>
      <c r="BM9" s="5">
        <f t="shared" si="22"/>
        <v>1.2878301844289077E-3</v>
      </c>
    </row>
    <row r="10" spans="1:66" x14ac:dyDescent="0.35">
      <c r="A10" s="675"/>
      <c r="B10" s="13">
        <v>45302</v>
      </c>
      <c r="C10" s="2">
        <v>12.4</v>
      </c>
      <c r="D10" s="2"/>
      <c r="E10" s="2"/>
      <c r="F10" s="2"/>
      <c r="G10" s="11">
        <f t="shared" si="14"/>
        <v>12.4</v>
      </c>
      <c r="H10" s="2"/>
      <c r="I10" s="5">
        <f t="shared" si="21"/>
        <v>0</v>
      </c>
      <c r="J10" s="13">
        <v>45302</v>
      </c>
      <c r="K10" s="2">
        <v>46.5</v>
      </c>
      <c r="L10" s="2"/>
      <c r="M10" s="2"/>
      <c r="N10" s="2"/>
      <c r="O10" s="11">
        <f t="shared" si="7"/>
        <v>46.5</v>
      </c>
      <c r="P10" s="2"/>
      <c r="Q10" s="5">
        <f t="shared" si="15"/>
        <v>0</v>
      </c>
      <c r="R10" s="13">
        <v>45302</v>
      </c>
      <c r="S10" s="2">
        <v>286.60000000000002</v>
      </c>
      <c r="T10" s="2"/>
      <c r="U10" s="2"/>
      <c r="V10" s="2"/>
      <c r="W10" s="11">
        <f t="shared" si="8"/>
        <v>286.60000000000002</v>
      </c>
      <c r="X10" s="2"/>
      <c r="Y10" s="5">
        <f t="shared" si="16"/>
        <v>0</v>
      </c>
      <c r="Z10" s="13">
        <v>45302</v>
      </c>
      <c r="AA10" s="2">
        <v>969.1</v>
      </c>
      <c r="AB10" s="2"/>
      <c r="AC10" s="2"/>
      <c r="AD10" s="2"/>
      <c r="AE10" s="2">
        <f t="shared" si="9"/>
        <v>969.1</v>
      </c>
      <c r="AF10" s="2"/>
      <c r="AG10" s="5">
        <f t="shared" si="17"/>
        <v>-6.0696652573427818E-3</v>
      </c>
      <c r="AH10" s="13">
        <v>45302</v>
      </c>
      <c r="AI10" s="2">
        <v>1217.9000000000001</v>
      </c>
      <c r="AJ10" s="2"/>
      <c r="AK10" s="2"/>
      <c r="AL10" s="2"/>
      <c r="AM10" s="2">
        <f t="shared" si="10"/>
        <v>1217.9000000000001</v>
      </c>
      <c r="AN10" s="2"/>
      <c r="AO10" s="5">
        <f t="shared" si="18"/>
        <v>0</v>
      </c>
      <c r="AP10" s="13">
        <v>45302</v>
      </c>
      <c r="AQ10" s="11">
        <v>1047.7</v>
      </c>
      <c r="AR10" s="2"/>
      <c r="AS10" s="2"/>
      <c r="AT10" s="2"/>
      <c r="AU10" s="11">
        <f t="shared" si="11"/>
        <v>1047.7</v>
      </c>
      <c r="AV10" s="2"/>
      <c r="AW10" s="5">
        <f t="shared" si="19"/>
        <v>0</v>
      </c>
      <c r="AX10" s="13">
        <v>45302</v>
      </c>
      <c r="AY10" s="2">
        <v>42.9</v>
      </c>
      <c r="AZ10" s="2"/>
      <c r="BA10" s="2"/>
      <c r="BB10" s="2"/>
      <c r="BC10" s="2">
        <f t="shared" si="12"/>
        <v>42.9</v>
      </c>
      <c r="BD10" s="2"/>
      <c r="BE10" s="5">
        <f t="shared" si="20"/>
        <v>0</v>
      </c>
      <c r="BF10" s="13">
        <v>45302</v>
      </c>
      <c r="BG10" s="2">
        <v>154.80000000000001</v>
      </c>
      <c r="BH10" s="2"/>
      <c r="BI10" s="2"/>
      <c r="BJ10" s="2"/>
      <c r="BK10" s="2">
        <f t="shared" si="13"/>
        <v>154.80000000000001</v>
      </c>
      <c r="BL10" s="2"/>
      <c r="BM10" s="5">
        <f t="shared" si="22"/>
        <v>-3.8684767779203176E-3</v>
      </c>
    </row>
    <row r="11" spans="1:66" x14ac:dyDescent="0.35">
      <c r="A11" s="675"/>
      <c r="B11" s="13">
        <v>45305</v>
      </c>
      <c r="C11" s="2">
        <v>12.4</v>
      </c>
      <c r="D11" s="2"/>
      <c r="E11" s="2"/>
      <c r="F11" s="2"/>
      <c r="G11" s="11">
        <f t="shared" si="14"/>
        <v>12.4</v>
      </c>
      <c r="H11" s="2"/>
      <c r="I11" s="5">
        <f t="shared" si="21"/>
        <v>0</v>
      </c>
      <c r="J11" s="13">
        <v>45305</v>
      </c>
      <c r="K11" s="2">
        <v>46.5</v>
      </c>
      <c r="L11" s="2"/>
      <c r="M11" s="2"/>
      <c r="N11" s="2"/>
      <c r="O11" s="11">
        <f t="shared" si="7"/>
        <v>46.5</v>
      </c>
      <c r="P11" s="2"/>
      <c r="Q11" s="5">
        <f t="shared" si="15"/>
        <v>0</v>
      </c>
      <c r="R11" s="13">
        <v>45305</v>
      </c>
      <c r="S11" s="2">
        <v>286.60000000000002</v>
      </c>
      <c r="T11" s="2"/>
      <c r="U11" s="2"/>
      <c r="V11" s="2"/>
      <c r="W11" s="11">
        <f t="shared" si="8"/>
        <v>286.60000000000002</v>
      </c>
      <c r="X11" s="2"/>
      <c r="Y11" s="5">
        <f t="shared" si="16"/>
        <v>0</v>
      </c>
      <c r="Z11" s="13">
        <v>45305</v>
      </c>
      <c r="AA11" s="2">
        <v>978.8</v>
      </c>
      <c r="AB11" s="2"/>
      <c r="AC11" s="2"/>
      <c r="AD11" s="2"/>
      <c r="AE11" s="2">
        <f t="shared" si="9"/>
        <v>978.8</v>
      </c>
      <c r="AF11" s="2"/>
      <c r="AG11" s="5">
        <f t="shared" si="17"/>
        <v>9.9595258280121904E-3</v>
      </c>
      <c r="AH11" s="13">
        <v>45305</v>
      </c>
      <c r="AI11" s="2">
        <v>1217.9000000000001</v>
      </c>
      <c r="AJ11" s="2"/>
      <c r="AK11" s="2"/>
      <c r="AL11" s="2"/>
      <c r="AM11" s="2">
        <f t="shared" si="10"/>
        <v>1217.9000000000001</v>
      </c>
      <c r="AN11" s="2"/>
      <c r="AO11" s="5">
        <f t="shared" si="18"/>
        <v>0</v>
      </c>
      <c r="AP11" s="13">
        <v>45305</v>
      </c>
      <c r="AQ11" s="11">
        <v>1047.7</v>
      </c>
      <c r="AR11" s="2"/>
      <c r="AS11" s="2"/>
      <c r="AT11" s="2"/>
      <c r="AU11" s="11">
        <f t="shared" si="11"/>
        <v>1047.7</v>
      </c>
      <c r="AV11" s="2"/>
      <c r="AW11" s="5">
        <f t="shared" si="19"/>
        <v>0</v>
      </c>
      <c r="AX11" s="13">
        <v>45305</v>
      </c>
      <c r="AY11" s="2">
        <v>42.9</v>
      </c>
      <c r="AZ11" s="2"/>
      <c r="BA11" s="2"/>
      <c r="BB11" s="2"/>
      <c r="BC11" s="2">
        <f t="shared" si="12"/>
        <v>42.9</v>
      </c>
      <c r="BD11" s="2"/>
      <c r="BE11" s="5">
        <f t="shared" si="20"/>
        <v>0</v>
      </c>
      <c r="BF11" s="13">
        <v>45305</v>
      </c>
      <c r="BG11" s="2">
        <v>155.19999999999999</v>
      </c>
      <c r="BH11" s="2"/>
      <c r="BI11" s="2"/>
      <c r="BJ11" s="2"/>
      <c r="BK11" s="2">
        <f t="shared" si="13"/>
        <v>155.19999999999999</v>
      </c>
      <c r="BL11" s="2"/>
      <c r="BM11" s="5">
        <f t="shared" si="22"/>
        <v>2.5806465934914914E-3</v>
      </c>
    </row>
    <row r="12" spans="1:66" x14ac:dyDescent="0.35">
      <c r="A12" s="675"/>
      <c r="B12" s="13">
        <v>45306</v>
      </c>
      <c r="C12" s="2">
        <v>12.4</v>
      </c>
      <c r="D12" s="2"/>
      <c r="E12" s="2"/>
      <c r="F12" s="2"/>
      <c r="G12" s="11">
        <f t="shared" si="14"/>
        <v>12.4</v>
      </c>
      <c r="H12" s="2"/>
      <c r="I12" s="5">
        <f t="shared" si="21"/>
        <v>0</v>
      </c>
      <c r="J12" s="13">
        <v>45306</v>
      </c>
      <c r="K12" s="2">
        <v>46.5</v>
      </c>
      <c r="L12" s="2"/>
      <c r="M12" s="2"/>
      <c r="N12" s="2"/>
      <c r="O12" s="11">
        <f t="shared" si="7"/>
        <v>46.5</v>
      </c>
      <c r="P12" s="2"/>
      <c r="Q12" s="5">
        <f t="shared" si="15"/>
        <v>0</v>
      </c>
      <c r="R12" s="13">
        <v>45306</v>
      </c>
      <c r="S12" s="2">
        <v>286.60000000000002</v>
      </c>
      <c r="T12" s="2"/>
      <c r="U12" s="2"/>
      <c r="V12" s="2"/>
      <c r="W12" s="11">
        <f t="shared" si="8"/>
        <v>286.60000000000002</v>
      </c>
      <c r="X12" s="2"/>
      <c r="Y12" s="5">
        <f t="shared" si="16"/>
        <v>0</v>
      </c>
      <c r="Z12" s="13">
        <v>45306</v>
      </c>
      <c r="AA12" s="2">
        <v>983.5</v>
      </c>
      <c r="AB12" s="2"/>
      <c r="AC12" s="2"/>
      <c r="AD12" s="2"/>
      <c r="AE12" s="2">
        <f t="shared" si="9"/>
        <v>983.5</v>
      </c>
      <c r="AF12" s="2"/>
      <c r="AG12" s="5">
        <f t="shared" si="17"/>
        <v>4.790306260597183E-3</v>
      </c>
      <c r="AH12" s="13">
        <v>45306</v>
      </c>
      <c r="AI12" s="2">
        <v>1217.9000000000001</v>
      </c>
      <c r="AJ12" s="2"/>
      <c r="AK12" s="2"/>
      <c r="AL12" s="2"/>
      <c r="AM12" s="2">
        <f t="shared" si="10"/>
        <v>1217.9000000000001</v>
      </c>
      <c r="AN12" s="2"/>
      <c r="AO12" s="5">
        <f t="shared" si="18"/>
        <v>0</v>
      </c>
      <c r="AP12" s="13">
        <v>45306</v>
      </c>
      <c r="AQ12" s="11">
        <v>1047.7</v>
      </c>
      <c r="AR12" s="2"/>
      <c r="AS12" s="2"/>
      <c r="AT12" s="2"/>
      <c r="AU12" s="11">
        <f t="shared" si="11"/>
        <v>1047.7</v>
      </c>
      <c r="AV12" s="2"/>
      <c r="AW12" s="5">
        <f t="shared" si="19"/>
        <v>0</v>
      </c>
      <c r="AX12" s="13">
        <v>45306</v>
      </c>
      <c r="AY12" s="2">
        <v>42.9</v>
      </c>
      <c r="AZ12" s="2"/>
      <c r="BA12" s="2"/>
      <c r="BB12" s="2"/>
      <c r="BC12" s="2">
        <f t="shared" si="12"/>
        <v>42.9</v>
      </c>
      <c r="BD12" s="2"/>
      <c r="BE12" s="5">
        <f t="shared" si="20"/>
        <v>0</v>
      </c>
      <c r="BF12" s="13">
        <v>45306</v>
      </c>
      <c r="BG12" s="2">
        <v>156.80000000000001</v>
      </c>
      <c r="BH12" s="2"/>
      <c r="BI12" s="2"/>
      <c r="BJ12" s="2"/>
      <c r="BK12" s="2">
        <f t="shared" si="13"/>
        <v>156.80000000000001</v>
      </c>
      <c r="BL12" s="2"/>
      <c r="BM12" s="5">
        <f t="shared" si="22"/>
        <v>1.0256500167189282E-2</v>
      </c>
    </row>
    <row r="13" spans="1:66" x14ac:dyDescent="0.35">
      <c r="A13" s="675"/>
      <c r="B13" s="13">
        <v>45307</v>
      </c>
      <c r="C13" s="2">
        <v>12.4</v>
      </c>
      <c r="D13" s="2"/>
      <c r="E13" s="2"/>
      <c r="F13" s="2"/>
      <c r="G13" s="11">
        <f t="shared" si="14"/>
        <v>12.4</v>
      </c>
      <c r="H13" s="2"/>
      <c r="I13" s="5">
        <f t="shared" si="21"/>
        <v>0</v>
      </c>
      <c r="J13" s="13">
        <v>45307</v>
      </c>
      <c r="K13" s="2">
        <v>46.5</v>
      </c>
      <c r="L13" s="2"/>
      <c r="M13" s="2"/>
      <c r="N13" s="2"/>
      <c r="O13" s="11">
        <f t="shared" si="7"/>
        <v>46.5</v>
      </c>
      <c r="P13" s="2"/>
      <c r="Q13" s="5">
        <f t="shared" si="15"/>
        <v>0</v>
      </c>
      <c r="R13" s="13">
        <v>45307</v>
      </c>
      <c r="S13" s="2">
        <v>286.60000000000002</v>
      </c>
      <c r="T13" s="2"/>
      <c r="U13" s="2"/>
      <c r="V13" s="2"/>
      <c r="W13" s="11">
        <f t="shared" si="8"/>
        <v>286.60000000000002</v>
      </c>
      <c r="X13" s="2"/>
      <c r="Y13" s="5">
        <f t="shared" si="16"/>
        <v>0</v>
      </c>
      <c r="Z13" s="13">
        <v>45307</v>
      </c>
      <c r="AA13" s="2">
        <v>983</v>
      </c>
      <c r="AB13" s="2"/>
      <c r="AC13" s="2"/>
      <c r="AD13" s="2"/>
      <c r="AE13" s="2">
        <f t="shared" si="9"/>
        <v>983</v>
      </c>
      <c r="AF13" s="2"/>
      <c r="AG13" s="5">
        <f t="shared" si="17"/>
        <v>-5.0851768194715955E-4</v>
      </c>
      <c r="AH13" s="13">
        <v>45307</v>
      </c>
      <c r="AI13" s="2">
        <v>1217.9000000000001</v>
      </c>
      <c r="AJ13" s="2"/>
      <c r="AK13" s="2"/>
      <c r="AL13" s="2"/>
      <c r="AM13" s="2">
        <f t="shared" si="10"/>
        <v>1217.9000000000001</v>
      </c>
      <c r="AN13" s="2"/>
      <c r="AO13" s="5">
        <f t="shared" si="18"/>
        <v>0</v>
      </c>
      <c r="AP13" s="13">
        <v>45307</v>
      </c>
      <c r="AQ13" s="11">
        <v>1047.7</v>
      </c>
      <c r="AR13" s="2"/>
      <c r="AS13" s="2"/>
      <c r="AT13" s="2"/>
      <c r="AU13" s="11">
        <f t="shared" si="11"/>
        <v>1047.7</v>
      </c>
      <c r="AV13" s="2"/>
      <c r="AW13" s="5">
        <f t="shared" si="19"/>
        <v>0</v>
      </c>
      <c r="AX13" s="13">
        <v>45307</v>
      </c>
      <c r="AY13" s="2">
        <v>42.9</v>
      </c>
      <c r="AZ13" s="2"/>
      <c r="BA13" s="2"/>
      <c r="BB13" s="2"/>
      <c r="BC13" s="2">
        <f t="shared" si="12"/>
        <v>42.9</v>
      </c>
      <c r="BD13" s="2"/>
      <c r="BE13" s="5">
        <f t="shared" si="20"/>
        <v>0</v>
      </c>
      <c r="BF13" s="13">
        <v>45307</v>
      </c>
      <c r="BG13" s="2">
        <v>156.30000000000001</v>
      </c>
      <c r="BH13" s="2"/>
      <c r="BI13" s="2"/>
      <c r="BJ13" s="2"/>
      <c r="BK13" s="2">
        <f t="shared" si="13"/>
        <v>156.30000000000001</v>
      </c>
      <c r="BL13" s="2"/>
      <c r="BM13" s="5">
        <f t="shared" si="22"/>
        <v>-3.1938704888765999E-3</v>
      </c>
    </row>
    <row r="14" spans="1:66" x14ac:dyDescent="0.35">
      <c r="A14" s="675"/>
      <c r="B14" s="13">
        <v>45308</v>
      </c>
      <c r="C14" s="2">
        <v>12.4</v>
      </c>
      <c r="D14" s="2"/>
      <c r="E14" s="2"/>
      <c r="F14" s="2"/>
      <c r="G14" s="11">
        <f t="shared" si="14"/>
        <v>12.4</v>
      </c>
      <c r="H14" s="2"/>
      <c r="I14" s="5">
        <f t="shared" si="21"/>
        <v>0</v>
      </c>
      <c r="J14" s="13">
        <v>45308</v>
      </c>
      <c r="K14" s="2">
        <v>46.5</v>
      </c>
      <c r="L14" s="2"/>
      <c r="M14" s="2"/>
      <c r="N14" s="2"/>
      <c r="O14" s="11">
        <f t="shared" si="7"/>
        <v>46.5</v>
      </c>
      <c r="P14" s="2"/>
      <c r="Q14" s="5">
        <f t="shared" si="15"/>
        <v>0</v>
      </c>
      <c r="R14" s="13">
        <v>45308</v>
      </c>
      <c r="S14" s="2">
        <v>286.60000000000002</v>
      </c>
      <c r="T14" s="2"/>
      <c r="U14" s="2"/>
      <c r="V14" s="2"/>
      <c r="W14" s="11">
        <f t="shared" si="8"/>
        <v>286.60000000000002</v>
      </c>
      <c r="X14" s="2"/>
      <c r="Y14" s="5">
        <f t="shared" si="16"/>
        <v>0</v>
      </c>
      <c r="Z14" s="13">
        <v>45308</v>
      </c>
      <c r="AA14" s="2">
        <v>994.8</v>
      </c>
      <c r="AB14" s="2"/>
      <c r="AC14" s="2"/>
      <c r="AD14" s="2"/>
      <c r="AE14" s="2">
        <f t="shared" si="9"/>
        <v>994.8</v>
      </c>
      <c r="AF14" s="2"/>
      <c r="AG14" s="5">
        <f t="shared" si="17"/>
        <v>1.1932591782082915E-2</v>
      </c>
      <c r="AH14" s="13">
        <v>45308</v>
      </c>
      <c r="AI14" s="2">
        <v>1217.9000000000001</v>
      </c>
      <c r="AJ14" s="2"/>
      <c r="AK14" s="2"/>
      <c r="AL14" s="2"/>
      <c r="AM14" s="2">
        <f t="shared" si="10"/>
        <v>1217.9000000000001</v>
      </c>
      <c r="AN14" s="2"/>
      <c r="AO14" s="5">
        <f t="shared" si="18"/>
        <v>0</v>
      </c>
      <c r="AP14" s="13">
        <v>45308</v>
      </c>
      <c r="AQ14" s="11">
        <v>1047.7</v>
      </c>
      <c r="AR14" s="6"/>
      <c r="AS14" s="2"/>
      <c r="AT14" s="2"/>
      <c r="AU14" s="11">
        <f t="shared" si="11"/>
        <v>1047.7</v>
      </c>
      <c r="AV14" s="2"/>
      <c r="AW14" s="5">
        <f t="shared" si="19"/>
        <v>0</v>
      </c>
      <c r="AX14" s="13">
        <v>45308</v>
      </c>
      <c r="AY14" s="2">
        <v>42.9</v>
      </c>
      <c r="AZ14" s="2"/>
      <c r="BA14" s="2"/>
      <c r="BB14" s="2"/>
      <c r="BC14" s="2">
        <f t="shared" si="12"/>
        <v>42.9</v>
      </c>
      <c r="BD14" s="2"/>
      <c r="BE14" s="5">
        <f t="shared" si="20"/>
        <v>0</v>
      </c>
      <c r="BF14" s="13">
        <v>45308</v>
      </c>
      <c r="BG14" s="2">
        <v>155.19999999999999</v>
      </c>
      <c r="BH14" s="2"/>
      <c r="BI14" s="2"/>
      <c r="BJ14" s="2"/>
      <c r="BK14" s="2">
        <f t="shared" si="13"/>
        <v>155.19999999999999</v>
      </c>
      <c r="BL14" s="2"/>
      <c r="BM14" s="5">
        <f t="shared" si="22"/>
        <v>-7.0626296783127462E-3</v>
      </c>
    </row>
    <row r="15" spans="1:66" x14ac:dyDescent="0.35">
      <c r="A15" s="675"/>
      <c r="B15" s="13">
        <v>45309</v>
      </c>
      <c r="C15" s="2">
        <v>12.4</v>
      </c>
      <c r="D15" s="2"/>
      <c r="E15" s="2"/>
      <c r="F15" s="2"/>
      <c r="G15" s="11">
        <f t="shared" si="14"/>
        <v>12.4</v>
      </c>
      <c r="H15" s="2"/>
      <c r="I15" s="5">
        <f t="shared" si="21"/>
        <v>0</v>
      </c>
      <c r="J15" s="13">
        <v>45309</v>
      </c>
      <c r="K15" s="2">
        <v>46.5</v>
      </c>
      <c r="L15" s="2"/>
      <c r="M15" s="2"/>
      <c r="N15" s="2"/>
      <c r="O15" s="11">
        <f t="shared" si="7"/>
        <v>46.5</v>
      </c>
      <c r="P15" s="2"/>
      <c r="Q15" s="5">
        <f t="shared" si="15"/>
        <v>0</v>
      </c>
      <c r="R15" s="13">
        <v>45309</v>
      </c>
      <c r="S15" s="2">
        <v>286.60000000000002</v>
      </c>
      <c r="T15" s="2"/>
      <c r="U15" s="2"/>
      <c r="V15" s="2"/>
      <c r="W15" s="11">
        <f t="shared" si="8"/>
        <v>286.60000000000002</v>
      </c>
      <c r="X15" s="2"/>
      <c r="Y15" s="5">
        <f t="shared" si="16"/>
        <v>0</v>
      </c>
      <c r="Z15" s="13">
        <v>45309</v>
      </c>
      <c r="AA15" s="2">
        <v>987.6</v>
      </c>
      <c r="AB15" s="2"/>
      <c r="AC15" s="2"/>
      <c r="AD15" s="2"/>
      <c r="AE15" s="2">
        <f t="shared" si="9"/>
        <v>987.6</v>
      </c>
      <c r="AF15" s="2"/>
      <c r="AG15" s="5">
        <f t="shared" si="17"/>
        <v>-7.2639544582250573E-3</v>
      </c>
      <c r="AH15" s="13">
        <v>45309</v>
      </c>
      <c r="AI15" s="2">
        <v>1217.9000000000001</v>
      </c>
      <c r="AJ15" s="2"/>
      <c r="AK15" s="2"/>
      <c r="AL15" s="2"/>
      <c r="AM15" s="2">
        <f t="shared" si="10"/>
        <v>1217.9000000000001</v>
      </c>
      <c r="AN15" s="2"/>
      <c r="AO15" s="5">
        <f t="shared" si="18"/>
        <v>0</v>
      </c>
      <c r="AP15" s="13">
        <v>45309</v>
      </c>
      <c r="AQ15" s="11">
        <v>1047.7</v>
      </c>
      <c r="AR15" s="2"/>
      <c r="AS15" s="2"/>
      <c r="AT15" s="2"/>
      <c r="AU15" s="11">
        <f t="shared" si="11"/>
        <v>1047.7</v>
      </c>
      <c r="AV15" s="2"/>
      <c r="AW15" s="5">
        <f t="shared" si="19"/>
        <v>0</v>
      </c>
      <c r="AX15" s="13">
        <v>45309</v>
      </c>
      <c r="AY15" s="2">
        <v>42.9</v>
      </c>
      <c r="AZ15" s="6"/>
      <c r="BA15" s="2"/>
      <c r="BB15" s="2"/>
      <c r="BC15" s="2">
        <f t="shared" si="12"/>
        <v>42.9</v>
      </c>
      <c r="BD15" s="2"/>
      <c r="BE15" s="5">
        <f t="shared" si="20"/>
        <v>0</v>
      </c>
      <c r="BF15" s="13">
        <v>45309</v>
      </c>
      <c r="BG15" s="2">
        <v>154.19999999999999</v>
      </c>
      <c r="BH15" s="2"/>
      <c r="BI15" s="2"/>
      <c r="BJ15" s="2"/>
      <c r="BK15" s="2">
        <f t="shared" si="13"/>
        <v>154.19999999999999</v>
      </c>
      <c r="BL15" s="2"/>
      <c r="BM15" s="5">
        <f t="shared" si="22"/>
        <v>-6.4641466198892376E-3</v>
      </c>
    </row>
    <row r="16" spans="1:66" x14ac:dyDescent="0.35">
      <c r="A16" s="675"/>
      <c r="B16" s="13">
        <v>45312</v>
      </c>
      <c r="C16" s="2">
        <v>11.3</v>
      </c>
      <c r="D16" s="2"/>
      <c r="E16" s="2"/>
      <c r="F16" s="2"/>
      <c r="G16" s="11">
        <f t="shared" si="14"/>
        <v>11.3</v>
      </c>
      <c r="H16" s="2"/>
      <c r="I16" s="5">
        <f t="shared" si="21"/>
        <v>-9.2893746892696208E-2</v>
      </c>
      <c r="J16" s="13">
        <v>45312</v>
      </c>
      <c r="K16" s="2">
        <v>46.5</v>
      </c>
      <c r="L16" s="2"/>
      <c r="M16" s="2"/>
      <c r="N16" s="2"/>
      <c r="O16" s="11">
        <f t="shared" si="7"/>
        <v>46.5</v>
      </c>
      <c r="P16" s="2"/>
      <c r="Q16" s="5">
        <f t="shared" si="15"/>
        <v>0</v>
      </c>
      <c r="R16" s="13">
        <v>45312</v>
      </c>
      <c r="S16" s="2">
        <v>286.60000000000002</v>
      </c>
      <c r="T16" s="2"/>
      <c r="U16" s="2"/>
      <c r="V16" s="2"/>
      <c r="W16" s="11">
        <f t="shared" si="8"/>
        <v>286.60000000000002</v>
      </c>
      <c r="X16" s="2"/>
      <c r="Y16" s="5">
        <f t="shared" si="16"/>
        <v>0</v>
      </c>
      <c r="Z16" s="13">
        <v>45312</v>
      </c>
      <c r="AA16" s="2">
        <v>991</v>
      </c>
      <c r="AB16" s="2"/>
      <c r="AC16" s="2"/>
      <c r="AD16" s="2"/>
      <c r="AE16" s="2">
        <f t="shared" si="9"/>
        <v>991</v>
      </c>
      <c r="AF16" s="2"/>
      <c r="AG16" s="5">
        <f t="shared" si="17"/>
        <v>3.4367768589634467E-3</v>
      </c>
      <c r="AH16" s="13">
        <v>45312</v>
      </c>
      <c r="AI16" s="2">
        <v>1217.9000000000001</v>
      </c>
      <c r="AJ16" s="2"/>
      <c r="AK16" s="2"/>
      <c r="AL16" s="2"/>
      <c r="AM16" s="2">
        <f t="shared" si="10"/>
        <v>1217.9000000000001</v>
      </c>
      <c r="AN16" s="2"/>
      <c r="AO16" s="5">
        <f t="shared" si="18"/>
        <v>0</v>
      </c>
      <c r="AP16" s="13">
        <v>45312</v>
      </c>
      <c r="AQ16" s="11">
        <v>982.3</v>
      </c>
      <c r="AR16" s="2"/>
      <c r="AS16" s="2"/>
      <c r="AT16" s="2"/>
      <c r="AU16" s="11">
        <f t="shared" si="11"/>
        <v>982.3</v>
      </c>
      <c r="AV16" s="2"/>
      <c r="AW16" s="5">
        <f t="shared" si="19"/>
        <v>-6.4455803678095475E-2</v>
      </c>
      <c r="AX16" s="13">
        <v>45312</v>
      </c>
      <c r="AY16" s="2">
        <v>38.700000000000003</v>
      </c>
      <c r="AZ16" s="2"/>
      <c r="BA16" s="2"/>
      <c r="BB16" s="2"/>
      <c r="BC16" s="2">
        <f t="shared" si="12"/>
        <v>38.700000000000003</v>
      </c>
      <c r="BD16" s="2"/>
      <c r="BE16" s="5">
        <f t="shared" si="20"/>
        <v>-0.10303222589823506</v>
      </c>
      <c r="BF16" s="13">
        <v>45312</v>
      </c>
      <c r="BG16" s="2">
        <v>154.6</v>
      </c>
      <c r="BH16" s="2"/>
      <c r="BI16" s="2"/>
      <c r="BJ16" s="2"/>
      <c r="BK16" s="2">
        <f t="shared" si="13"/>
        <v>154.6</v>
      </c>
      <c r="BL16" s="2"/>
      <c r="BM16" s="5">
        <f t="shared" si="22"/>
        <v>2.5906750240924626E-3</v>
      </c>
    </row>
    <row r="17" spans="1:65" x14ac:dyDescent="0.35">
      <c r="A17" s="675"/>
      <c r="B17" s="13">
        <v>45313</v>
      </c>
      <c r="C17" s="2">
        <v>11.6</v>
      </c>
      <c r="D17" s="2"/>
      <c r="E17" s="2"/>
      <c r="F17" s="2"/>
      <c r="G17" s="11">
        <f t="shared" si="14"/>
        <v>11.6</v>
      </c>
      <c r="H17" s="2"/>
      <c r="I17" s="5">
        <f t="shared" si="21"/>
        <v>2.6202372394023902E-2</v>
      </c>
      <c r="J17" s="13">
        <v>45313</v>
      </c>
      <c r="K17" s="2">
        <v>46.5</v>
      </c>
      <c r="L17" s="2"/>
      <c r="M17" s="2"/>
      <c r="N17" s="2"/>
      <c r="O17" s="11">
        <f t="shared" si="7"/>
        <v>46.5</v>
      </c>
      <c r="P17" s="2"/>
      <c r="Q17" s="5">
        <f t="shared" si="15"/>
        <v>0</v>
      </c>
      <c r="R17" s="13">
        <v>45313</v>
      </c>
      <c r="S17" s="2">
        <v>286.60000000000002</v>
      </c>
      <c r="T17" s="2"/>
      <c r="U17" s="2"/>
      <c r="V17" s="2"/>
      <c r="W17" s="11">
        <f t="shared" si="8"/>
        <v>286.60000000000002</v>
      </c>
      <c r="X17" s="2"/>
      <c r="Y17" s="5">
        <f t="shared" si="16"/>
        <v>0</v>
      </c>
      <c r="Z17" s="13">
        <v>45313</v>
      </c>
      <c r="AA17" s="2">
        <v>999.2</v>
      </c>
      <c r="AB17" s="2"/>
      <c r="AC17" s="2"/>
      <c r="AD17" s="2"/>
      <c r="AE17" s="2">
        <f t="shared" si="9"/>
        <v>999.2</v>
      </c>
      <c r="AF17" s="2"/>
      <c r="AG17" s="5">
        <f t="shared" si="17"/>
        <v>8.2404244813800674E-3</v>
      </c>
      <c r="AH17" s="13">
        <v>45313</v>
      </c>
      <c r="AI17" s="2">
        <v>1217.9000000000001</v>
      </c>
      <c r="AJ17" s="2"/>
      <c r="AK17" s="2"/>
      <c r="AL17" s="2"/>
      <c r="AM17" s="2">
        <f t="shared" si="10"/>
        <v>1217.9000000000001</v>
      </c>
      <c r="AN17" s="2"/>
      <c r="AO17" s="5">
        <f t="shared" si="18"/>
        <v>0</v>
      </c>
      <c r="AP17" s="13">
        <v>45313</v>
      </c>
      <c r="AQ17" s="11">
        <v>908.7</v>
      </c>
      <c r="AR17" s="2"/>
      <c r="AS17" s="2"/>
      <c r="AT17" s="2"/>
      <c r="AU17" s="11">
        <f t="shared" si="11"/>
        <v>908.7</v>
      </c>
      <c r="AV17" s="2"/>
      <c r="AW17" s="5">
        <f t="shared" si="19"/>
        <v>-7.7881753979522558E-2</v>
      </c>
      <c r="AX17" s="13">
        <v>45313</v>
      </c>
      <c r="AY17" s="2">
        <v>36.6</v>
      </c>
      <c r="AZ17" s="2"/>
      <c r="BA17" s="2"/>
      <c r="BB17" s="2"/>
      <c r="BC17" s="2">
        <f t="shared" si="12"/>
        <v>36.6</v>
      </c>
      <c r="BD17" s="2"/>
      <c r="BE17" s="5">
        <f t="shared" si="20"/>
        <v>-5.5791359628415541E-2</v>
      </c>
      <c r="BF17" s="13">
        <v>45313</v>
      </c>
      <c r="BG17" s="2">
        <v>156.80000000000001</v>
      </c>
      <c r="BH17" s="2"/>
      <c r="BI17" s="2"/>
      <c r="BJ17" s="2"/>
      <c r="BK17" s="2">
        <f t="shared" si="13"/>
        <v>156.80000000000001</v>
      </c>
      <c r="BL17" s="2">
        <v>6</v>
      </c>
      <c r="BM17" s="5">
        <f t="shared" si="22"/>
        <v>5.1681317415118375E-2</v>
      </c>
    </row>
    <row r="18" spans="1:65" x14ac:dyDescent="0.35">
      <c r="A18" s="675"/>
      <c r="B18" s="13">
        <v>45314</v>
      </c>
      <c r="C18" s="2">
        <v>12.4</v>
      </c>
      <c r="D18" s="2"/>
      <c r="E18" s="2"/>
      <c r="F18" s="2"/>
      <c r="G18" s="11">
        <f t="shared" si="14"/>
        <v>12.4</v>
      </c>
      <c r="H18" s="2"/>
      <c r="I18" s="5">
        <f t="shared" si="21"/>
        <v>6.6691374498672351E-2</v>
      </c>
      <c r="J18" s="13">
        <v>45314</v>
      </c>
      <c r="K18" s="2">
        <v>43.9</v>
      </c>
      <c r="L18" s="2"/>
      <c r="M18" s="2"/>
      <c r="N18" s="2"/>
      <c r="O18" s="11">
        <f t="shared" si="7"/>
        <v>43.9</v>
      </c>
      <c r="P18" s="2"/>
      <c r="Q18" s="5">
        <f t="shared" si="15"/>
        <v>-5.7537992512184957E-2</v>
      </c>
      <c r="R18" s="13">
        <v>45314</v>
      </c>
      <c r="S18" s="2">
        <v>286.60000000000002</v>
      </c>
      <c r="T18" s="2"/>
      <c r="U18" s="2"/>
      <c r="V18" s="2"/>
      <c r="W18" s="11">
        <f t="shared" si="8"/>
        <v>286.60000000000002</v>
      </c>
      <c r="X18" s="2"/>
      <c r="Y18" s="5">
        <f t="shared" si="16"/>
        <v>0</v>
      </c>
      <c r="Z18" s="13">
        <v>45314</v>
      </c>
      <c r="AA18" s="2">
        <v>1009.6</v>
      </c>
      <c r="AB18" s="2"/>
      <c r="AC18" s="2"/>
      <c r="AD18" s="2"/>
      <c r="AE18" s="2">
        <f t="shared" si="9"/>
        <v>1009.6</v>
      </c>
      <c r="AF18" s="2"/>
      <c r="AG18" s="5">
        <f t="shared" si="17"/>
        <v>1.0354532975580798E-2</v>
      </c>
      <c r="AH18" s="13">
        <v>45314</v>
      </c>
      <c r="AI18" s="2">
        <v>1217.9000000000001</v>
      </c>
      <c r="AJ18" s="2"/>
      <c r="AK18" s="2"/>
      <c r="AL18" s="2"/>
      <c r="AM18" s="2">
        <f t="shared" si="10"/>
        <v>1217.9000000000001</v>
      </c>
      <c r="AN18" s="2"/>
      <c r="AO18" s="5">
        <f t="shared" si="18"/>
        <v>0</v>
      </c>
      <c r="AP18" s="13">
        <v>45314</v>
      </c>
      <c r="AQ18" s="11">
        <v>840.6</v>
      </c>
      <c r="AR18" s="2"/>
      <c r="AS18" s="2"/>
      <c r="AT18" s="2"/>
      <c r="AU18" s="11">
        <f t="shared" si="11"/>
        <v>840.6</v>
      </c>
      <c r="AV18" s="2"/>
      <c r="AW18" s="5">
        <f t="shared" si="19"/>
        <v>-7.789908413028504E-2</v>
      </c>
      <c r="AX18" s="13">
        <v>45314</v>
      </c>
      <c r="AY18" s="2">
        <v>36.6</v>
      </c>
      <c r="AZ18" s="2"/>
      <c r="BA18" s="2"/>
      <c r="BB18" s="2"/>
      <c r="BC18" s="2">
        <f t="shared" si="12"/>
        <v>36.6</v>
      </c>
      <c r="BD18" s="2"/>
      <c r="BE18" s="5">
        <f t="shared" si="20"/>
        <v>0</v>
      </c>
      <c r="BF18" s="13">
        <v>45314</v>
      </c>
      <c r="BG18" s="2">
        <v>155.30000000000001</v>
      </c>
      <c r="BH18" s="2"/>
      <c r="BI18" s="2"/>
      <c r="BJ18" s="2"/>
      <c r="BK18" s="2">
        <f t="shared" si="13"/>
        <v>155.30000000000001</v>
      </c>
      <c r="BL18" s="2"/>
      <c r="BM18" s="5">
        <f t="shared" si="22"/>
        <v>-9.612377761666133E-3</v>
      </c>
    </row>
    <row r="19" spans="1:65" x14ac:dyDescent="0.35">
      <c r="A19" s="675"/>
      <c r="B19" s="13">
        <v>45315</v>
      </c>
      <c r="C19" s="2">
        <v>12.2</v>
      </c>
      <c r="D19" s="2"/>
      <c r="E19" s="2"/>
      <c r="F19" s="2"/>
      <c r="G19" s="11">
        <f t="shared" si="14"/>
        <v>12.2</v>
      </c>
      <c r="H19" s="2"/>
      <c r="I19" s="5">
        <f t="shared" si="21"/>
        <v>-1.6260520871780405E-2</v>
      </c>
      <c r="J19" s="13">
        <v>45315</v>
      </c>
      <c r="K19" s="2">
        <v>42.4</v>
      </c>
      <c r="L19" s="2"/>
      <c r="M19" s="2"/>
      <c r="N19" s="2"/>
      <c r="O19" s="11">
        <f t="shared" si="7"/>
        <v>42.4</v>
      </c>
      <c r="P19" s="2"/>
      <c r="Q19" s="5">
        <f t="shared" si="15"/>
        <v>-3.4765957843213555E-2</v>
      </c>
      <c r="R19" s="13">
        <v>45315</v>
      </c>
      <c r="S19" s="2">
        <v>286.60000000000002</v>
      </c>
      <c r="T19" s="2"/>
      <c r="U19" s="2"/>
      <c r="V19" s="2"/>
      <c r="W19" s="11">
        <f t="shared" si="8"/>
        <v>286.60000000000002</v>
      </c>
      <c r="X19" s="2"/>
      <c r="Y19" s="5">
        <f t="shared" si="16"/>
        <v>0</v>
      </c>
      <c r="Z19" s="13">
        <v>45315</v>
      </c>
      <c r="AA19" s="2">
        <v>1009.4</v>
      </c>
      <c r="AB19" s="2"/>
      <c r="AC19" s="2"/>
      <c r="AD19" s="2"/>
      <c r="AE19" s="2">
        <f t="shared" si="9"/>
        <v>1009.4</v>
      </c>
      <c r="AF19" s="2"/>
      <c r="AG19" s="5">
        <f t="shared" si="17"/>
        <v>-1.9811788078669891E-4</v>
      </c>
      <c r="AH19" s="13">
        <v>45315</v>
      </c>
      <c r="AI19" s="2">
        <v>1217.9000000000001</v>
      </c>
      <c r="AJ19" s="2"/>
      <c r="AK19" s="2"/>
      <c r="AL19" s="2"/>
      <c r="AM19" s="2">
        <f t="shared" si="10"/>
        <v>1217.9000000000001</v>
      </c>
      <c r="AN19" s="2"/>
      <c r="AO19" s="5">
        <f t="shared" si="18"/>
        <v>0</v>
      </c>
      <c r="AP19" s="13">
        <v>45315</v>
      </c>
      <c r="AQ19" s="11">
        <v>781.6</v>
      </c>
      <c r="AR19" s="2"/>
      <c r="AS19" s="2"/>
      <c r="AT19" s="2"/>
      <c r="AU19" s="11">
        <f t="shared" si="11"/>
        <v>781.6</v>
      </c>
      <c r="AV19" s="2"/>
      <c r="AW19" s="5">
        <f t="shared" si="19"/>
        <v>-7.2772821842443283E-2</v>
      </c>
      <c r="AX19" s="13">
        <v>45315</v>
      </c>
      <c r="AY19" s="2">
        <v>35.1</v>
      </c>
      <c r="AZ19" s="2"/>
      <c r="BA19" s="2"/>
      <c r="BB19" s="2"/>
      <c r="BC19" s="2">
        <f t="shared" si="12"/>
        <v>35.1</v>
      </c>
      <c r="BD19" s="2"/>
      <c r="BE19" s="5">
        <f t="shared" si="20"/>
        <v>-4.184710993550049E-2</v>
      </c>
      <c r="BF19" s="13">
        <v>45315</v>
      </c>
      <c r="BG19" s="2">
        <v>155</v>
      </c>
      <c r="BH19" s="2"/>
      <c r="BI19" s="2"/>
      <c r="BJ19" s="2"/>
      <c r="BK19" s="2">
        <f t="shared" si="13"/>
        <v>155</v>
      </c>
      <c r="BL19" s="2"/>
      <c r="BM19" s="5">
        <f t="shared" si="22"/>
        <v>-1.9336132353947985E-3</v>
      </c>
    </row>
    <row r="20" spans="1:65" ht="15.75" customHeight="1" x14ac:dyDescent="0.35">
      <c r="A20" s="675"/>
      <c r="B20" s="13">
        <v>45316</v>
      </c>
      <c r="C20" s="2">
        <v>11.9</v>
      </c>
      <c r="D20" s="2"/>
      <c r="E20" s="2"/>
      <c r="F20" s="2"/>
      <c r="G20" s="11">
        <f t="shared" si="14"/>
        <v>11.9</v>
      </c>
      <c r="H20" s="2"/>
      <c r="I20" s="5">
        <f t="shared" si="21"/>
        <v>-2.4897551621727087E-2</v>
      </c>
      <c r="J20" s="13">
        <v>45316</v>
      </c>
      <c r="K20" s="2">
        <v>40.6</v>
      </c>
      <c r="L20" s="2"/>
      <c r="M20" s="2"/>
      <c r="N20" s="2"/>
      <c r="O20" s="11">
        <f t="shared" si="7"/>
        <v>40.6</v>
      </c>
      <c r="P20" s="2"/>
      <c r="Q20" s="5">
        <f t="shared" si="15"/>
        <v>-4.3380295630225052E-2</v>
      </c>
      <c r="R20" s="13">
        <v>45316</v>
      </c>
      <c r="S20" s="2">
        <v>286.60000000000002</v>
      </c>
      <c r="T20" s="6"/>
      <c r="U20" s="2"/>
      <c r="V20" s="2"/>
      <c r="W20" s="11">
        <f t="shared" si="8"/>
        <v>286.60000000000002</v>
      </c>
      <c r="X20" s="2"/>
      <c r="Y20" s="5">
        <f t="shared" si="16"/>
        <v>0</v>
      </c>
      <c r="Z20" s="13">
        <v>45316</v>
      </c>
      <c r="AA20" s="2">
        <v>1007.7</v>
      </c>
      <c r="AB20" s="2"/>
      <c r="AC20" s="2"/>
      <c r="AD20" s="2"/>
      <c r="AE20" s="2">
        <f t="shared" si="9"/>
        <v>1007.7</v>
      </c>
      <c r="AF20" s="2"/>
      <c r="AG20" s="5">
        <f t="shared" si="17"/>
        <v>-1.6855886198051736E-3</v>
      </c>
      <c r="AH20" s="13">
        <v>45316</v>
      </c>
      <c r="AI20" s="2">
        <v>1217.9000000000001</v>
      </c>
      <c r="AJ20" s="2"/>
      <c r="AK20" s="2"/>
      <c r="AL20" s="2"/>
      <c r="AM20" s="2">
        <f t="shared" si="10"/>
        <v>1217.9000000000001</v>
      </c>
      <c r="AN20" s="2"/>
      <c r="AO20" s="5">
        <f t="shared" si="18"/>
        <v>0</v>
      </c>
      <c r="AP20" s="13">
        <v>45316</v>
      </c>
      <c r="AQ20" s="11">
        <v>764.9</v>
      </c>
      <c r="AR20" s="2"/>
      <c r="AS20" s="2"/>
      <c r="AT20" s="2"/>
      <c r="AU20" s="11">
        <f t="shared" si="11"/>
        <v>764.9</v>
      </c>
      <c r="AV20" s="2"/>
      <c r="AW20" s="5">
        <f t="shared" si="19"/>
        <v>-2.1597994400752711E-2</v>
      </c>
      <c r="AX20" s="13">
        <v>45316</v>
      </c>
      <c r="AY20" s="2">
        <v>35.1</v>
      </c>
      <c r="AZ20" s="2"/>
      <c r="BA20" s="2"/>
      <c r="BB20" s="2"/>
      <c r="BC20" s="2">
        <f t="shared" si="12"/>
        <v>35.1</v>
      </c>
      <c r="BD20" s="2"/>
      <c r="BE20" s="5">
        <f t="shared" si="20"/>
        <v>0</v>
      </c>
      <c r="BF20" s="13">
        <v>45316</v>
      </c>
      <c r="BG20" s="2">
        <v>154.69999999999999</v>
      </c>
      <c r="BH20" s="2"/>
      <c r="BI20" s="2"/>
      <c r="BJ20" s="2"/>
      <c r="BK20" s="2">
        <f t="shared" si="13"/>
        <v>154.69999999999999</v>
      </c>
      <c r="BL20" s="2"/>
      <c r="BM20" s="5">
        <f t="shared" si="22"/>
        <v>-1.9373593402263105E-3</v>
      </c>
    </row>
    <row r="21" spans="1:65" ht="15.75" customHeight="1" x14ac:dyDescent="0.35">
      <c r="A21" s="675"/>
      <c r="B21" s="13">
        <v>45319</v>
      </c>
      <c r="C21" s="2">
        <v>11.9</v>
      </c>
      <c r="D21" s="2"/>
      <c r="E21" s="2"/>
      <c r="F21" s="2"/>
      <c r="G21" s="11">
        <f t="shared" si="14"/>
        <v>11.9</v>
      </c>
      <c r="H21" s="2"/>
      <c r="I21" s="5">
        <f t="shared" si="21"/>
        <v>0</v>
      </c>
      <c r="J21" s="13">
        <v>45319</v>
      </c>
      <c r="K21" s="2">
        <v>38.4</v>
      </c>
      <c r="L21" s="2"/>
      <c r="M21" s="2"/>
      <c r="N21" s="2"/>
      <c r="O21" s="11">
        <f t="shared" si="7"/>
        <v>38.4</v>
      </c>
      <c r="P21" s="2"/>
      <c r="Q21" s="5">
        <f t="shared" si="15"/>
        <v>-5.5710607014005833E-2</v>
      </c>
      <c r="R21" s="13">
        <v>45319</v>
      </c>
      <c r="S21" s="2">
        <v>286.60000000000002</v>
      </c>
      <c r="T21" s="2"/>
      <c r="U21" s="2"/>
      <c r="V21" s="2"/>
      <c r="W21" s="11">
        <f t="shared" si="8"/>
        <v>286.60000000000002</v>
      </c>
      <c r="X21" s="2"/>
      <c r="Y21" s="5">
        <f t="shared" si="16"/>
        <v>0</v>
      </c>
      <c r="Z21" s="13">
        <v>45319</v>
      </c>
      <c r="AA21" s="2">
        <v>1000.4</v>
      </c>
      <c r="AB21" s="2"/>
      <c r="AC21" s="2"/>
      <c r="AD21" s="2"/>
      <c r="AE21" s="2">
        <f t="shared" si="9"/>
        <v>1000.4</v>
      </c>
      <c r="AF21" s="2"/>
      <c r="AG21" s="5">
        <f t="shared" si="17"/>
        <v>-7.2705862828928609E-3</v>
      </c>
      <c r="AH21" s="13">
        <v>45319</v>
      </c>
      <c r="AI21" s="2">
        <v>1217.9000000000001</v>
      </c>
      <c r="AJ21" s="2"/>
      <c r="AK21" s="2"/>
      <c r="AL21" s="2"/>
      <c r="AM21" s="2">
        <f t="shared" si="10"/>
        <v>1217.9000000000001</v>
      </c>
      <c r="AN21" s="2"/>
      <c r="AO21" s="5">
        <f t="shared" si="18"/>
        <v>0</v>
      </c>
      <c r="AP21" s="13">
        <v>45319</v>
      </c>
      <c r="AQ21" s="11">
        <v>713.3</v>
      </c>
      <c r="AR21" s="2"/>
      <c r="AS21" s="2"/>
      <c r="AT21" s="2"/>
      <c r="AU21" s="11">
        <f t="shared" si="11"/>
        <v>713.3</v>
      </c>
      <c r="AV21" s="2"/>
      <c r="AW21" s="5">
        <f t="shared" si="19"/>
        <v>-6.9843017043828004E-2</v>
      </c>
      <c r="AX21" s="13">
        <v>45319</v>
      </c>
      <c r="AY21" s="2">
        <v>32.6</v>
      </c>
      <c r="AZ21" s="6"/>
      <c r="BA21" s="2"/>
      <c r="BB21" s="2"/>
      <c r="BC21" s="2">
        <f t="shared" si="12"/>
        <v>32.6</v>
      </c>
      <c r="BD21" s="2"/>
      <c r="BE21" s="5">
        <f t="shared" si="20"/>
        <v>-7.388884209915822E-2</v>
      </c>
      <c r="BF21" s="13">
        <v>45319</v>
      </c>
      <c r="BG21" s="2">
        <v>155.1</v>
      </c>
      <c r="BH21" s="2"/>
      <c r="BI21" s="2"/>
      <c r="BJ21" s="2"/>
      <c r="BK21" s="2">
        <f t="shared" si="13"/>
        <v>155.1</v>
      </c>
      <c r="BL21" s="2"/>
      <c r="BM21" s="5">
        <f t="shared" si="22"/>
        <v>2.5823126034726918E-3</v>
      </c>
    </row>
    <row r="22" spans="1:65" ht="15.75" customHeight="1" x14ac:dyDescent="0.35">
      <c r="A22" s="675"/>
      <c r="B22" s="13">
        <v>45320</v>
      </c>
      <c r="C22" s="2">
        <v>12.1</v>
      </c>
      <c r="D22" s="2"/>
      <c r="E22" s="2"/>
      <c r="F22" s="2"/>
      <c r="G22" s="11">
        <f t="shared" si="14"/>
        <v>12.1</v>
      </c>
      <c r="H22" s="2"/>
      <c r="I22" s="5">
        <f t="shared" si="21"/>
        <v>1.6667052485211643E-2</v>
      </c>
      <c r="J22" s="13">
        <v>45320</v>
      </c>
      <c r="K22" s="2">
        <v>38</v>
      </c>
      <c r="L22" s="2"/>
      <c r="M22" s="2"/>
      <c r="N22" s="2"/>
      <c r="O22" s="11">
        <f t="shared" si="7"/>
        <v>38</v>
      </c>
      <c r="P22" s="2"/>
      <c r="Q22" s="5">
        <f t="shared" si="15"/>
        <v>-1.0471299867295366E-2</v>
      </c>
      <c r="R22" s="13">
        <v>45320</v>
      </c>
      <c r="S22" s="2">
        <v>286.60000000000002</v>
      </c>
      <c r="T22" s="2"/>
      <c r="U22" s="2"/>
      <c r="V22" s="2"/>
      <c r="W22" s="11">
        <f t="shared" si="8"/>
        <v>286.60000000000002</v>
      </c>
      <c r="X22" s="2"/>
      <c r="Y22" s="5">
        <f t="shared" si="16"/>
        <v>0</v>
      </c>
      <c r="Z22" s="13">
        <v>45320</v>
      </c>
      <c r="AA22" s="2">
        <v>1000.4</v>
      </c>
      <c r="AB22" s="2"/>
      <c r="AC22" s="2"/>
      <c r="AD22" s="2"/>
      <c r="AE22" s="2">
        <f t="shared" si="9"/>
        <v>1000.4</v>
      </c>
      <c r="AF22" s="2"/>
      <c r="AG22" s="5">
        <f t="shared" si="17"/>
        <v>0</v>
      </c>
      <c r="AH22" s="13">
        <v>45320</v>
      </c>
      <c r="AI22" s="2">
        <v>1217.9000000000001</v>
      </c>
      <c r="AJ22" s="2"/>
      <c r="AK22" s="2"/>
      <c r="AL22" s="2"/>
      <c r="AM22" s="2">
        <f t="shared" si="10"/>
        <v>1217.9000000000001</v>
      </c>
      <c r="AN22" s="2"/>
      <c r="AO22" s="5">
        <f t="shared" si="18"/>
        <v>0</v>
      </c>
      <c r="AP22" s="13">
        <v>45320</v>
      </c>
      <c r="AQ22" s="11">
        <v>702.2</v>
      </c>
      <c r="AR22" s="2"/>
      <c r="AS22" s="2"/>
      <c r="AT22" s="2"/>
      <c r="AU22" s="11">
        <f t="shared" si="11"/>
        <v>702.2</v>
      </c>
      <c r="AV22" s="2"/>
      <c r="AW22" s="5">
        <f t="shared" si="19"/>
        <v>-1.5683825549660482E-2</v>
      </c>
      <c r="AX22" s="13">
        <v>45320</v>
      </c>
      <c r="AY22" s="2">
        <v>33</v>
      </c>
      <c r="AZ22" s="2"/>
      <c r="BA22" s="2"/>
      <c r="BB22" s="2"/>
      <c r="BC22" s="2">
        <f t="shared" si="12"/>
        <v>33</v>
      </c>
      <c r="BD22" s="2"/>
      <c r="BE22" s="5">
        <f t="shared" si="20"/>
        <v>1.2195273093818206E-2</v>
      </c>
      <c r="BF22" s="13">
        <v>45320</v>
      </c>
      <c r="BG22" s="2">
        <v>153.80000000000001</v>
      </c>
      <c r="BH22" s="2"/>
      <c r="BI22" s="2"/>
      <c r="BJ22" s="2"/>
      <c r="BK22" s="2">
        <f t="shared" si="13"/>
        <v>153.80000000000001</v>
      </c>
      <c r="BL22" s="2"/>
      <c r="BM22" s="5">
        <f t="shared" si="22"/>
        <v>-8.4170131109494277E-3</v>
      </c>
    </row>
    <row r="23" spans="1:65" ht="15.75" customHeight="1" x14ac:dyDescent="0.35">
      <c r="A23" s="675"/>
      <c r="B23" s="13">
        <v>45321</v>
      </c>
      <c r="C23" s="2">
        <v>12</v>
      </c>
      <c r="D23" s="2"/>
      <c r="E23" s="2"/>
      <c r="F23" s="2"/>
      <c r="G23" s="11">
        <f t="shared" si="14"/>
        <v>12</v>
      </c>
      <c r="H23" s="2"/>
      <c r="I23" s="5">
        <f t="shared" si="21"/>
        <v>-8.2988028146950658E-3</v>
      </c>
      <c r="J23" s="13">
        <v>45321</v>
      </c>
      <c r="K23" s="2">
        <v>38.9</v>
      </c>
      <c r="L23" s="2"/>
      <c r="M23" s="2"/>
      <c r="N23" s="2"/>
      <c r="O23" s="11">
        <f t="shared" si="7"/>
        <v>38.9</v>
      </c>
      <c r="P23" s="2"/>
      <c r="Q23" s="5">
        <f t="shared" si="15"/>
        <v>2.3408090898014804E-2</v>
      </c>
      <c r="R23" s="13">
        <v>45321</v>
      </c>
      <c r="S23" s="2">
        <v>286.60000000000002</v>
      </c>
      <c r="T23" s="2"/>
      <c r="U23" s="2"/>
      <c r="V23" s="2"/>
      <c r="W23" s="11">
        <f t="shared" si="8"/>
        <v>286.60000000000002</v>
      </c>
      <c r="X23" s="2"/>
      <c r="Y23" s="5">
        <f t="shared" si="16"/>
        <v>0</v>
      </c>
      <c r="Z23" s="13">
        <v>45321</v>
      </c>
      <c r="AA23" s="2">
        <v>992</v>
      </c>
      <c r="AB23" s="2"/>
      <c r="AC23" s="2"/>
      <c r="AD23" s="2"/>
      <c r="AE23" s="2">
        <f t="shared" si="9"/>
        <v>992</v>
      </c>
      <c r="AF23" s="2"/>
      <c r="AG23" s="5">
        <f t="shared" si="17"/>
        <v>-8.43209171859121E-3</v>
      </c>
      <c r="AH23" s="13">
        <v>45321</v>
      </c>
      <c r="AI23" s="2">
        <v>1217.9000000000001</v>
      </c>
      <c r="AJ23" s="2"/>
      <c r="AK23" s="2"/>
      <c r="AL23" s="2"/>
      <c r="AM23" s="2">
        <f t="shared" si="10"/>
        <v>1217.9000000000001</v>
      </c>
      <c r="AN23" s="2"/>
      <c r="AO23" s="5">
        <f t="shared" si="18"/>
        <v>0</v>
      </c>
      <c r="AP23" s="13">
        <v>45321</v>
      </c>
      <c r="AQ23" s="11">
        <v>754.8</v>
      </c>
      <c r="AR23" s="2"/>
      <c r="AS23" s="2"/>
      <c r="AT23" s="2"/>
      <c r="AU23" s="11">
        <f t="shared" si="11"/>
        <v>754.8</v>
      </c>
      <c r="AV23" s="2"/>
      <c r="AW23" s="5">
        <f t="shared" si="19"/>
        <v>7.2234549760063202E-2</v>
      </c>
      <c r="AX23" s="13">
        <v>45321</v>
      </c>
      <c r="AY23" s="2">
        <v>34.1</v>
      </c>
      <c r="AZ23" s="2"/>
      <c r="BA23" s="2"/>
      <c r="BB23" s="2"/>
      <c r="BC23" s="2">
        <f t="shared" si="12"/>
        <v>34.1</v>
      </c>
      <c r="BD23" s="2"/>
      <c r="BE23" s="5">
        <f t="shared" si="20"/>
        <v>3.278982282299097E-2</v>
      </c>
      <c r="BF23" s="13">
        <v>45321</v>
      </c>
      <c r="BG23" s="2">
        <v>154</v>
      </c>
      <c r="BH23" s="2"/>
      <c r="BI23" s="2"/>
      <c r="BJ23" s="2"/>
      <c r="BK23" s="2">
        <f t="shared" si="13"/>
        <v>154</v>
      </c>
      <c r="BL23" s="2"/>
      <c r="BM23" s="5">
        <f t="shared" si="22"/>
        <v>1.2995453420854258E-3</v>
      </c>
    </row>
    <row r="24" spans="1:65" ht="15.75" customHeight="1" x14ac:dyDescent="0.35">
      <c r="A24" s="675"/>
      <c r="B24" s="13">
        <v>45322</v>
      </c>
      <c r="C24" s="2">
        <v>11.9</v>
      </c>
      <c r="D24" s="2"/>
      <c r="E24" s="2"/>
      <c r="F24" s="2"/>
      <c r="G24" s="11">
        <f t="shared" si="14"/>
        <v>11.9</v>
      </c>
      <c r="H24" s="2"/>
      <c r="I24" s="5">
        <f t="shared" si="21"/>
        <v>-8.3682496705165792E-3</v>
      </c>
      <c r="J24" s="13">
        <v>45322</v>
      </c>
      <c r="K24" s="2">
        <v>38.700000000000003</v>
      </c>
      <c r="L24" s="2"/>
      <c r="M24" s="2"/>
      <c r="N24" s="2"/>
      <c r="O24" s="11">
        <f t="shared" si="7"/>
        <v>38.700000000000003</v>
      </c>
      <c r="P24" s="2"/>
      <c r="Q24" s="5">
        <f t="shared" si="15"/>
        <v>-5.1546505886644264E-3</v>
      </c>
      <c r="R24" s="13">
        <v>45322</v>
      </c>
      <c r="S24" s="2">
        <v>286.60000000000002</v>
      </c>
      <c r="T24" s="2"/>
      <c r="U24" s="2"/>
      <c r="V24" s="2"/>
      <c r="W24" s="11">
        <f t="shared" si="8"/>
        <v>286.60000000000002</v>
      </c>
      <c r="X24" s="2"/>
      <c r="Y24" s="5">
        <f t="shared" si="16"/>
        <v>0</v>
      </c>
      <c r="Z24" s="13">
        <v>45322</v>
      </c>
      <c r="AA24" s="2">
        <v>986.2</v>
      </c>
      <c r="AB24" s="2"/>
      <c r="AC24" s="2"/>
      <c r="AD24" s="2"/>
      <c r="AE24" s="2">
        <f t="shared" si="9"/>
        <v>986.2</v>
      </c>
      <c r="AF24" s="2"/>
      <c r="AG24" s="5">
        <f t="shared" si="17"/>
        <v>-5.8639334948469568E-3</v>
      </c>
      <c r="AH24" s="13">
        <v>45322</v>
      </c>
      <c r="AI24" s="2">
        <v>1217.9000000000001</v>
      </c>
      <c r="AJ24" s="2"/>
      <c r="AK24" s="2"/>
      <c r="AL24" s="2"/>
      <c r="AM24" s="2">
        <f t="shared" si="10"/>
        <v>1217.9000000000001</v>
      </c>
      <c r="AN24" s="2"/>
      <c r="AO24" s="5">
        <f t="shared" si="18"/>
        <v>0</v>
      </c>
      <c r="AP24" s="13">
        <v>45322</v>
      </c>
      <c r="AQ24" s="11">
        <v>752.8</v>
      </c>
      <c r="AR24" s="2"/>
      <c r="AS24" s="2"/>
      <c r="AT24" s="2"/>
      <c r="AU24" s="11">
        <f t="shared" si="11"/>
        <v>752.8</v>
      </c>
      <c r="AV24" s="2"/>
      <c r="AW24" s="5">
        <f t="shared" si="19"/>
        <v>-2.6532252232252772E-3</v>
      </c>
      <c r="AX24" s="13">
        <v>45322</v>
      </c>
      <c r="AY24" s="2">
        <v>33.5</v>
      </c>
      <c r="AZ24" s="2"/>
      <c r="BA24" s="2"/>
      <c r="BB24" s="2"/>
      <c r="BC24" s="2">
        <f t="shared" si="12"/>
        <v>33.5</v>
      </c>
      <c r="BD24" s="2"/>
      <c r="BE24" s="5">
        <f t="shared" si="20"/>
        <v>-1.7751945458450453E-2</v>
      </c>
      <c r="BF24" s="13">
        <v>45322</v>
      </c>
      <c r="BG24" s="2">
        <v>152.69999999999999</v>
      </c>
      <c r="BH24" s="2"/>
      <c r="BI24" s="2"/>
      <c r="BJ24" s="2"/>
      <c r="BK24" s="2">
        <f t="shared" si="13"/>
        <v>152.69999999999999</v>
      </c>
      <c r="BL24" s="2"/>
      <c r="BM24" s="5">
        <f t="shared" si="22"/>
        <v>-8.4773901890424393E-3</v>
      </c>
    </row>
    <row r="25" spans="1:65" ht="15.75" customHeight="1" x14ac:dyDescent="0.35">
      <c r="A25" s="675"/>
      <c r="B25" s="13">
        <v>45323</v>
      </c>
      <c r="C25" s="2">
        <v>12</v>
      </c>
      <c r="D25" s="2"/>
      <c r="E25" s="2"/>
      <c r="F25" s="2"/>
      <c r="G25" s="11">
        <f t="shared" si="14"/>
        <v>12</v>
      </c>
      <c r="H25" s="2"/>
      <c r="I25" s="5">
        <f t="shared" si="21"/>
        <v>8.3682496705165792E-3</v>
      </c>
      <c r="J25" s="13">
        <v>45323</v>
      </c>
      <c r="K25" s="2">
        <v>41.4</v>
      </c>
      <c r="L25" s="2"/>
      <c r="M25" s="2"/>
      <c r="N25" s="2"/>
      <c r="O25" s="11">
        <f t="shared" si="7"/>
        <v>41.4</v>
      </c>
      <c r="P25" s="2"/>
      <c r="Q25" s="5">
        <f t="shared" si="15"/>
        <v>6.7441280795532479E-2</v>
      </c>
      <c r="R25" s="13">
        <v>45323</v>
      </c>
      <c r="S25" s="2">
        <v>286.60000000000002</v>
      </c>
      <c r="T25" s="2"/>
      <c r="U25" s="2"/>
      <c r="V25" s="2"/>
      <c r="W25" s="11">
        <f t="shared" si="8"/>
        <v>286.60000000000002</v>
      </c>
      <c r="X25" s="2"/>
      <c r="Y25" s="5">
        <f t="shared" si="16"/>
        <v>0</v>
      </c>
      <c r="Z25" s="13">
        <v>45323</v>
      </c>
      <c r="AA25" s="2">
        <v>991.9</v>
      </c>
      <c r="AB25" s="2"/>
      <c r="AC25" s="2"/>
      <c r="AD25" s="2"/>
      <c r="AE25" s="2">
        <f t="shared" si="9"/>
        <v>991.9</v>
      </c>
      <c r="AF25" s="2"/>
      <c r="AG25" s="5">
        <f t="shared" si="17"/>
        <v>5.763121961922156E-3</v>
      </c>
      <c r="AH25" s="13">
        <v>45323</v>
      </c>
      <c r="AI25" s="2">
        <v>1217.9000000000001</v>
      </c>
      <c r="AJ25" s="2"/>
      <c r="AK25" s="2"/>
      <c r="AL25" s="2"/>
      <c r="AM25" s="2">
        <f t="shared" si="10"/>
        <v>1217.9000000000001</v>
      </c>
      <c r="AN25" s="2"/>
      <c r="AO25" s="5">
        <f t="shared" si="18"/>
        <v>0</v>
      </c>
      <c r="AP25" s="13">
        <v>45323</v>
      </c>
      <c r="AQ25" s="11">
        <v>757.3</v>
      </c>
      <c r="AR25" s="2"/>
      <c r="AS25" s="2"/>
      <c r="AT25" s="2"/>
      <c r="AU25" s="11">
        <f t="shared" si="11"/>
        <v>757.3</v>
      </c>
      <c r="AV25" s="2"/>
      <c r="AW25" s="5">
        <f t="shared" si="19"/>
        <v>5.9598878486071981E-3</v>
      </c>
      <c r="AX25" s="13">
        <v>45323</v>
      </c>
      <c r="AY25" s="2">
        <v>34.9</v>
      </c>
      <c r="AZ25" s="2"/>
      <c r="BA25" s="2"/>
      <c r="BB25" s="2"/>
      <c r="BC25" s="2">
        <f t="shared" si="12"/>
        <v>34.9</v>
      </c>
      <c r="BD25" s="2"/>
      <c r="BE25" s="5">
        <f t="shared" si="20"/>
        <v>4.094139037736072E-2</v>
      </c>
      <c r="BF25" s="13">
        <v>45323</v>
      </c>
      <c r="BG25" s="2">
        <v>152</v>
      </c>
      <c r="BH25" s="2"/>
      <c r="BI25" s="2"/>
      <c r="BJ25" s="2"/>
      <c r="BK25" s="2">
        <f t="shared" si="13"/>
        <v>152</v>
      </c>
      <c r="BL25" s="2"/>
      <c r="BM25" s="5">
        <f t="shared" si="22"/>
        <v>-4.5946913783103055E-3</v>
      </c>
    </row>
    <row r="26" spans="1:65" ht="15.75" customHeight="1" x14ac:dyDescent="0.35">
      <c r="A26" s="675"/>
      <c r="B26" s="13">
        <v>45326</v>
      </c>
      <c r="C26" s="2">
        <v>12.1</v>
      </c>
      <c r="D26" s="2"/>
      <c r="E26" s="2"/>
      <c r="F26" s="2"/>
      <c r="G26" s="11">
        <f t="shared" si="14"/>
        <v>12.1</v>
      </c>
      <c r="H26" s="2"/>
      <c r="I26" s="5">
        <f t="shared" si="21"/>
        <v>8.2988028146950641E-3</v>
      </c>
      <c r="J26" s="13">
        <v>45326</v>
      </c>
      <c r="K26" s="2">
        <v>42.3</v>
      </c>
      <c r="L26" s="2"/>
      <c r="M26" s="2"/>
      <c r="N26" s="2"/>
      <c r="O26" s="11">
        <f t="shared" si="7"/>
        <v>42.3</v>
      </c>
      <c r="P26" s="2"/>
      <c r="Q26" s="5">
        <f t="shared" si="15"/>
        <v>2.1506205220963463E-2</v>
      </c>
      <c r="R26" s="13">
        <v>45326</v>
      </c>
      <c r="S26" s="2">
        <v>286.60000000000002</v>
      </c>
      <c r="T26" s="2"/>
      <c r="U26" s="2"/>
      <c r="V26" s="2"/>
      <c r="W26" s="11">
        <f t="shared" si="8"/>
        <v>286.60000000000002</v>
      </c>
      <c r="X26" s="2"/>
      <c r="Y26" s="5">
        <f t="shared" si="16"/>
        <v>0</v>
      </c>
      <c r="Z26" s="13">
        <v>45326</v>
      </c>
      <c r="AA26" s="2">
        <v>999.5</v>
      </c>
      <c r="AB26" s="2"/>
      <c r="AC26" s="2"/>
      <c r="AD26" s="2"/>
      <c r="AE26" s="2">
        <f t="shared" si="9"/>
        <v>999.5</v>
      </c>
      <c r="AF26" s="2"/>
      <c r="AG26" s="5">
        <f t="shared" si="17"/>
        <v>7.6328581885066653E-3</v>
      </c>
      <c r="AH26" s="13">
        <v>45326</v>
      </c>
      <c r="AI26" s="2">
        <v>1217.9000000000001</v>
      </c>
      <c r="AJ26" s="2"/>
      <c r="AK26" s="2"/>
      <c r="AL26" s="2"/>
      <c r="AM26" s="2">
        <f t="shared" si="10"/>
        <v>1217.9000000000001</v>
      </c>
      <c r="AN26" s="2"/>
      <c r="AO26" s="5">
        <f t="shared" si="18"/>
        <v>0</v>
      </c>
      <c r="AP26" s="13">
        <v>45326</v>
      </c>
      <c r="AQ26" s="11">
        <v>801.4</v>
      </c>
      <c r="AR26" s="2"/>
      <c r="AS26" s="2"/>
      <c r="AT26" s="2"/>
      <c r="AU26" s="11">
        <f t="shared" si="11"/>
        <v>801.4</v>
      </c>
      <c r="AV26" s="2"/>
      <c r="AW26" s="5">
        <f t="shared" si="19"/>
        <v>5.6600722082267317E-2</v>
      </c>
      <c r="AX26" s="13">
        <v>45326</v>
      </c>
      <c r="AY26" s="2">
        <v>36.799999999999997</v>
      </c>
      <c r="AZ26" s="2"/>
      <c r="BA26" s="2"/>
      <c r="BB26" s="2"/>
      <c r="BC26" s="2">
        <f t="shared" si="12"/>
        <v>36.799999999999997</v>
      </c>
      <c r="BD26" s="2"/>
      <c r="BE26" s="5">
        <f t="shared" si="20"/>
        <v>5.3011015966503663E-2</v>
      </c>
      <c r="BF26" s="13">
        <v>45326</v>
      </c>
      <c r="BG26" s="2">
        <v>152.80000000000001</v>
      </c>
      <c r="BH26" s="2"/>
      <c r="BI26" s="2"/>
      <c r="BJ26" s="2"/>
      <c r="BK26" s="2">
        <f t="shared" si="13"/>
        <v>152.80000000000001</v>
      </c>
      <c r="BL26" s="2"/>
      <c r="BM26" s="5">
        <f t="shared" si="22"/>
        <v>5.249355886143745E-3</v>
      </c>
    </row>
    <row r="27" spans="1:65" ht="15.75" customHeight="1" x14ac:dyDescent="0.35">
      <c r="A27" s="675"/>
      <c r="B27" s="13">
        <v>45327</v>
      </c>
      <c r="C27" s="2">
        <v>12.4</v>
      </c>
      <c r="D27" s="2"/>
      <c r="E27" s="2"/>
      <c r="F27" s="2"/>
      <c r="G27" s="11">
        <f t="shared" si="14"/>
        <v>12.4</v>
      </c>
      <c r="H27" s="2"/>
      <c r="I27" s="5">
        <f t="shared" si="21"/>
        <v>2.4491020008295911E-2</v>
      </c>
      <c r="J27" s="13">
        <v>45327</v>
      </c>
      <c r="K27" s="2">
        <v>43.5</v>
      </c>
      <c r="L27" s="2"/>
      <c r="M27" s="2"/>
      <c r="N27" s="2"/>
      <c r="O27" s="11">
        <f t="shared" si="7"/>
        <v>43.5</v>
      </c>
      <c r="P27" s="2"/>
      <c r="Q27" s="5">
        <f t="shared" si="15"/>
        <v>2.7973852042406162E-2</v>
      </c>
      <c r="R27" s="13">
        <v>45327</v>
      </c>
      <c r="S27" s="2">
        <v>286.60000000000002</v>
      </c>
      <c r="T27" s="2"/>
      <c r="U27" s="2"/>
      <c r="V27" s="2"/>
      <c r="W27" s="11">
        <f t="shared" si="8"/>
        <v>286.60000000000002</v>
      </c>
      <c r="X27" s="2"/>
      <c r="Y27" s="5">
        <f t="shared" si="16"/>
        <v>0</v>
      </c>
      <c r="Z27" s="13">
        <v>45327</v>
      </c>
      <c r="AA27" s="2">
        <v>1001.7</v>
      </c>
      <c r="AB27" s="2"/>
      <c r="AC27" s="2"/>
      <c r="AD27" s="2"/>
      <c r="AE27" s="2">
        <f t="shared" si="9"/>
        <v>1001.7</v>
      </c>
      <c r="AF27" s="2"/>
      <c r="AG27" s="5">
        <f t="shared" si="17"/>
        <v>2.1986816772637525E-3</v>
      </c>
      <c r="AH27" s="13">
        <v>45327</v>
      </c>
      <c r="AI27" s="2">
        <v>1217.9000000000001</v>
      </c>
      <c r="AJ27" s="2"/>
      <c r="AK27" s="2"/>
      <c r="AL27" s="2"/>
      <c r="AM27" s="2">
        <f t="shared" si="10"/>
        <v>1217.9000000000001</v>
      </c>
      <c r="AN27" s="2"/>
      <c r="AO27" s="5">
        <f t="shared" si="18"/>
        <v>0</v>
      </c>
      <c r="AP27" s="13">
        <v>45327</v>
      </c>
      <c r="AQ27" s="11">
        <v>844.9</v>
      </c>
      <c r="AR27" s="2"/>
      <c r="AS27" s="2"/>
      <c r="AT27" s="2"/>
      <c r="AU27" s="11">
        <f t="shared" si="11"/>
        <v>844.9</v>
      </c>
      <c r="AV27" s="2"/>
      <c r="AW27" s="5">
        <f t="shared" si="19"/>
        <v>5.2858078956754838E-2</v>
      </c>
      <c r="AX27" s="13">
        <v>45327</v>
      </c>
      <c r="AY27" s="2">
        <v>36.700000000000003</v>
      </c>
      <c r="AZ27" s="2"/>
      <c r="BA27" s="2"/>
      <c r="BB27" s="2"/>
      <c r="BC27" s="2">
        <f t="shared" si="12"/>
        <v>36.700000000000003</v>
      </c>
      <c r="BD27" s="2"/>
      <c r="BE27" s="5">
        <f t="shared" si="20"/>
        <v>-2.7210901143605018E-3</v>
      </c>
      <c r="BF27" s="13">
        <v>45327</v>
      </c>
      <c r="BG27" s="2">
        <v>153.4</v>
      </c>
      <c r="BH27" s="2"/>
      <c r="BI27" s="2"/>
      <c r="BJ27" s="2"/>
      <c r="BK27" s="2">
        <f t="shared" si="13"/>
        <v>153.4</v>
      </c>
      <c r="BL27" s="2"/>
      <c r="BM27" s="5">
        <f t="shared" si="22"/>
        <v>3.9190122007356021E-3</v>
      </c>
    </row>
    <row r="28" spans="1:65" ht="15.75" customHeight="1" x14ac:dyDescent="0.35">
      <c r="A28" s="675"/>
      <c r="B28" s="13">
        <v>45328</v>
      </c>
      <c r="C28" s="2">
        <v>12.2</v>
      </c>
      <c r="D28" s="2"/>
      <c r="E28" s="2"/>
      <c r="F28" s="2"/>
      <c r="G28" s="11">
        <f t="shared" si="14"/>
        <v>12.2</v>
      </c>
      <c r="H28" s="2"/>
      <c r="I28" s="5">
        <f t="shared" si="21"/>
        <v>-1.6260520871780405E-2</v>
      </c>
      <c r="J28" s="13">
        <v>45328</v>
      </c>
      <c r="K28" s="2">
        <v>42.7</v>
      </c>
      <c r="L28" s="2"/>
      <c r="M28" s="2"/>
      <c r="N28" s="2"/>
      <c r="O28" s="11">
        <f t="shared" si="7"/>
        <v>42.7</v>
      </c>
      <c r="P28" s="2"/>
      <c r="Q28" s="5">
        <f t="shared" si="15"/>
        <v>-1.8562017860059427E-2</v>
      </c>
      <c r="R28" s="13">
        <v>45328</v>
      </c>
      <c r="S28" s="2">
        <v>286.60000000000002</v>
      </c>
      <c r="T28" s="2"/>
      <c r="U28" s="2"/>
      <c r="V28" s="2"/>
      <c r="W28" s="11">
        <f t="shared" si="8"/>
        <v>286.60000000000002</v>
      </c>
      <c r="X28" s="2"/>
      <c r="Y28" s="5">
        <f t="shared" si="16"/>
        <v>0</v>
      </c>
      <c r="Z28" s="13">
        <v>45328</v>
      </c>
      <c r="AA28" s="2">
        <v>999.8</v>
      </c>
      <c r="AB28" s="2"/>
      <c r="AC28" s="2"/>
      <c r="AD28" s="2"/>
      <c r="AE28" s="2">
        <f t="shared" si="9"/>
        <v>999.8</v>
      </c>
      <c r="AF28" s="2"/>
      <c r="AG28" s="5">
        <f t="shared" si="17"/>
        <v>-1.8985766382486142E-3</v>
      </c>
      <c r="AH28" s="13">
        <v>45328</v>
      </c>
      <c r="AI28" s="2">
        <v>1217.9000000000001</v>
      </c>
      <c r="AJ28" s="2"/>
      <c r="AK28" s="2"/>
      <c r="AL28" s="2"/>
      <c r="AM28" s="2">
        <f t="shared" si="10"/>
        <v>1217.9000000000001</v>
      </c>
      <c r="AN28" s="2"/>
      <c r="AO28" s="5">
        <f t="shared" si="18"/>
        <v>0</v>
      </c>
      <c r="AP28" s="13">
        <v>45328</v>
      </c>
      <c r="AQ28" s="11">
        <v>843.5</v>
      </c>
      <c r="AR28" s="2"/>
      <c r="AS28" s="2"/>
      <c r="AT28" s="2"/>
      <c r="AU28" s="11">
        <f t="shared" si="11"/>
        <v>843.5</v>
      </c>
      <c r="AV28" s="2"/>
      <c r="AW28" s="5">
        <f t="shared" si="19"/>
        <v>-1.6583751727761162E-3</v>
      </c>
      <c r="AX28" s="13">
        <v>45328</v>
      </c>
      <c r="AY28" s="2">
        <v>37.299999999999997</v>
      </c>
      <c r="AZ28" s="2"/>
      <c r="BA28" s="2"/>
      <c r="BB28" s="2"/>
      <c r="BC28" s="2">
        <f t="shared" si="12"/>
        <v>37.299999999999997</v>
      </c>
      <c r="BD28" s="2"/>
      <c r="BE28" s="5">
        <f t="shared" si="20"/>
        <v>1.6216571589245072E-2</v>
      </c>
      <c r="BF28" s="13">
        <v>45328</v>
      </c>
      <c r="BG28" s="2">
        <v>152.4</v>
      </c>
      <c r="BH28" s="2"/>
      <c r="BI28" s="2"/>
      <c r="BJ28" s="2"/>
      <c r="BK28" s="2">
        <f t="shared" si="13"/>
        <v>152.4</v>
      </c>
      <c r="BL28" s="2"/>
      <c r="BM28" s="5">
        <f t="shared" si="22"/>
        <v>-6.5402456806098784E-3</v>
      </c>
    </row>
    <row r="29" spans="1:65" ht="15.75" customHeight="1" x14ac:dyDescent="0.35">
      <c r="A29" s="675"/>
      <c r="B29" s="13">
        <v>45329</v>
      </c>
      <c r="C29" s="2">
        <v>12.2</v>
      </c>
      <c r="D29" s="2"/>
      <c r="E29" s="2"/>
      <c r="F29" s="2"/>
      <c r="G29" s="11">
        <f t="shared" si="14"/>
        <v>12.2</v>
      </c>
      <c r="H29" s="2"/>
      <c r="I29" s="5">
        <f t="shared" si="21"/>
        <v>0</v>
      </c>
      <c r="J29" s="13">
        <v>45329</v>
      </c>
      <c r="K29" s="2">
        <v>42.6</v>
      </c>
      <c r="L29" s="2"/>
      <c r="M29" s="2"/>
      <c r="N29" s="2"/>
      <c r="O29" s="11">
        <f t="shared" si="7"/>
        <v>42.6</v>
      </c>
      <c r="P29" s="2"/>
      <c r="Q29" s="5">
        <f t="shared" si="15"/>
        <v>-2.3446669592541345E-3</v>
      </c>
      <c r="R29" s="13">
        <v>45329</v>
      </c>
      <c r="S29" s="2">
        <v>286.60000000000002</v>
      </c>
      <c r="T29" s="2"/>
      <c r="U29" s="2"/>
      <c r="V29" s="2"/>
      <c r="W29" s="11">
        <f t="shared" si="8"/>
        <v>286.60000000000002</v>
      </c>
      <c r="X29" s="2"/>
      <c r="Y29" s="5">
        <f t="shared" si="16"/>
        <v>0</v>
      </c>
      <c r="Z29" s="13">
        <v>45329</v>
      </c>
      <c r="AA29" s="2">
        <v>989.8</v>
      </c>
      <c r="AB29" s="2"/>
      <c r="AC29" s="2"/>
      <c r="AD29" s="2"/>
      <c r="AE29" s="2">
        <f t="shared" si="9"/>
        <v>989.8</v>
      </c>
      <c r="AF29" s="2"/>
      <c r="AG29" s="5">
        <f t="shared" si="17"/>
        <v>-1.0052356461684319E-2</v>
      </c>
      <c r="AH29" s="13">
        <v>45329</v>
      </c>
      <c r="AI29" s="2">
        <v>1141.8</v>
      </c>
      <c r="AJ29" s="2"/>
      <c r="AK29" s="2"/>
      <c r="AL29" s="2"/>
      <c r="AM29" s="2">
        <f t="shared" si="10"/>
        <v>1141.8</v>
      </c>
      <c r="AN29" s="2"/>
      <c r="AO29" s="5">
        <f t="shared" si="18"/>
        <v>-6.4522099562906068E-2</v>
      </c>
      <c r="AP29" s="13">
        <v>45329</v>
      </c>
      <c r="AQ29" s="11">
        <v>822.5</v>
      </c>
      <c r="AR29" s="2"/>
      <c r="AS29" s="2"/>
      <c r="AT29" s="2"/>
      <c r="AU29" s="11">
        <f t="shared" si="11"/>
        <v>822.5</v>
      </c>
      <c r="AV29" s="2"/>
      <c r="AW29" s="5">
        <f t="shared" si="19"/>
        <v>-2.5211419346496056E-2</v>
      </c>
      <c r="AX29" s="13">
        <v>45329</v>
      </c>
      <c r="AY29" s="2">
        <v>41</v>
      </c>
      <c r="AZ29" s="2"/>
      <c r="BA29" s="2"/>
      <c r="BB29" s="2"/>
      <c r="BC29" s="2">
        <f t="shared" si="12"/>
        <v>41</v>
      </c>
      <c r="BD29" s="2"/>
      <c r="BE29" s="5">
        <f t="shared" si="20"/>
        <v>9.4578740054538007E-2</v>
      </c>
      <c r="BF29" s="13">
        <v>45329</v>
      </c>
      <c r="BG29" s="2">
        <v>152</v>
      </c>
      <c r="BH29" s="2"/>
      <c r="BI29" s="2"/>
      <c r="BJ29" s="2"/>
      <c r="BK29" s="2">
        <f t="shared" si="13"/>
        <v>152</v>
      </c>
      <c r="BL29" s="2"/>
      <c r="BM29" s="5">
        <f t="shared" si="22"/>
        <v>-2.6281224062695806E-3</v>
      </c>
    </row>
    <row r="30" spans="1:65" ht="15.75" customHeight="1" x14ac:dyDescent="0.35">
      <c r="A30" s="675"/>
      <c r="B30" s="13">
        <v>45330</v>
      </c>
      <c r="C30" s="2">
        <v>12.5</v>
      </c>
      <c r="D30" s="2"/>
      <c r="E30" s="2"/>
      <c r="F30" s="2"/>
      <c r="G30" s="11">
        <f t="shared" si="14"/>
        <v>12.5</v>
      </c>
      <c r="H30" s="2"/>
      <c r="I30" s="5">
        <f t="shared" si="21"/>
        <v>2.4292692569044701E-2</v>
      </c>
      <c r="J30" s="13">
        <v>45330</v>
      </c>
      <c r="K30" s="2">
        <v>42.3</v>
      </c>
      <c r="L30" s="2"/>
      <c r="M30" s="2"/>
      <c r="N30" s="2"/>
      <c r="O30" s="11">
        <f t="shared" si="7"/>
        <v>42.3</v>
      </c>
      <c r="P30" s="2"/>
      <c r="Q30" s="5">
        <f t="shared" si="15"/>
        <v>-7.0671672230925549E-3</v>
      </c>
      <c r="R30" s="13">
        <v>45330</v>
      </c>
      <c r="S30" s="2">
        <v>286.60000000000002</v>
      </c>
      <c r="T30" s="2"/>
      <c r="U30" s="2"/>
      <c r="V30" s="2"/>
      <c r="W30" s="11">
        <f t="shared" si="8"/>
        <v>286.60000000000002</v>
      </c>
      <c r="X30" s="2"/>
      <c r="Y30" s="5">
        <f t="shared" si="16"/>
        <v>0</v>
      </c>
      <c r="Z30" s="13">
        <v>45330</v>
      </c>
      <c r="AA30" s="2">
        <v>993</v>
      </c>
      <c r="AB30" s="2"/>
      <c r="AC30" s="2"/>
      <c r="AD30" s="2"/>
      <c r="AE30" s="2">
        <f t="shared" si="9"/>
        <v>993</v>
      </c>
      <c r="AF30" s="2"/>
      <c r="AG30" s="5">
        <f t="shared" si="17"/>
        <v>3.227761527386859E-3</v>
      </c>
      <c r="AH30" s="13">
        <v>45330</v>
      </c>
      <c r="AI30" s="2">
        <v>1070.5</v>
      </c>
      <c r="AJ30" s="2"/>
      <c r="AK30" s="2"/>
      <c r="AL30" s="2"/>
      <c r="AM30" s="2">
        <f t="shared" si="10"/>
        <v>1070.5</v>
      </c>
      <c r="AN30" s="2"/>
      <c r="AO30" s="5">
        <f t="shared" si="18"/>
        <v>-6.4480135500421226E-2</v>
      </c>
      <c r="AP30" s="13">
        <v>45330</v>
      </c>
      <c r="AQ30" s="11">
        <v>824.4</v>
      </c>
      <c r="AR30" s="2"/>
      <c r="AS30" s="2"/>
      <c r="AT30" s="2"/>
      <c r="AU30" s="11">
        <f t="shared" si="11"/>
        <v>824.4</v>
      </c>
      <c r="AV30" s="2"/>
      <c r="AW30" s="5">
        <f t="shared" si="19"/>
        <v>2.3073663767768952E-3</v>
      </c>
      <c r="AX30" s="13">
        <v>45330</v>
      </c>
      <c r="AY30" s="2">
        <v>39.9</v>
      </c>
      <c r="AZ30" s="2"/>
      <c r="BA30" s="2"/>
      <c r="BB30" s="2"/>
      <c r="BC30" s="2">
        <f t="shared" si="12"/>
        <v>39.9</v>
      </c>
      <c r="BD30" s="2"/>
      <c r="BE30" s="5">
        <f t="shared" si="20"/>
        <v>-2.7195742808490055E-2</v>
      </c>
      <c r="BF30" s="13">
        <v>45330</v>
      </c>
      <c r="BG30" s="2">
        <v>149.9</v>
      </c>
      <c r="BH30" s="2"/>
      <c r="BI30" s="2"/>
      <c r="BJ30" s="2"/>
      <c r="BK30" s="2">
        <f t="shared" si="13"/>
        <v>149.9</v>
      </c>
      <c r="BL30" s="2"/>
      <c r="BM30" s="5">
        <f t="shared" si="22"/>
        <v>-1.3912115737724384E-2</v>
      </c>
    </row>
    <row r="31" spans="1:65" ht="15.75" customHeight="1" x14ac:dyDescent="0.35">
      <c r="A31" s="675"/>
      <c r="B31" s="13">
        <v>45333</v>
      </c>
      <c r="C31" s="2">
        <v>13.3</v>
      </c>
      <c r="D31" s="2"/>
      <c r="E31" s="2"/>
      <c r="F31" s="2"/>
      <c r="G31" s="11">
        <f t="shared" si="14"/>
        <v>13.3</v>
      </c>
      <c r="H31" s="2"/>
      <c r="I31" s="5">
        <f t="shared" si="21"/>
        <v>6.2035390919452697E-2</v>
      </c>
      <c r="J31" s="13">
        <v>45333</v>
      </c>
      <c r="K31" s="2">
        <v>43.8</v>
      </c>
      <c r="L31" s="2"/>
      <c r="M31" s="2"/>
      <c r="N31" s="2"/>
      <c r="O31" s="11">
        <f t="shared" si="7"/>
        <v>43.8</v>
      </c>
      <c r="P31" s="2"/>
      <c r="Q31" s="5">
        <f t="shared" si="15"/>
        <v>3.48467313301681E-2</v>
      </c>
      <c r="R31" s="13">
        <v>45333</v>
      </c>
      <c r="S31" s="2">
        <v>286.60000000000002</v>
      </c>
      <c r="T31" s="2"/>
      <c r="U31" s="2"/>
      <c r="V31" s="2"/>
      <c r="W31" s="11">
        <f t="shared" si="8"/>
        <v>286.60000000000002</v>
      </c>
      <c r="X31" s="2"/>
      <c r="Y31" s="5">
        <f t="shared" si="16"/>
        <v>0</v>
      </c>
      <c r="Z31" s="13">
        <v>45333</v>
      </c>
      <c r="AA31" s="2">
        <v>1009</v>
      </c>
      <c r="AB31" s="2"/>
      <c r="AC31" s="2"/>
      <c r="AD31" s="2"/>
      <c r="AE31" s="2">
        <f t="shared" si="9"/>
        <v>1009</v>
      </c>
      <c r="AF31" s="2"/>
      <c r="AG31" s="5">
        <f t="shared" si="17"/>
        <v>1.5984356308436379E-2</v>
      </c>
      <c r="AH31" s="13">
        <v>45333</v>
      </c>
      <c r="AI31" s="2">
        <v>1012.6</v>
      </c>
      <c r="AJ31" s="2"/>
      <c r="AK31" s="2"/>
      <c r="AL31" s="2"/>
      <c r="AM31" s="2">
        <f t="shared" si="10"/>
        <v>1012.6</v>
      </c>
      <c r="AN31" s="2"/>
      <c r="AO31" s="5">
        <f t="shared" si="18"/>
        <v>-5.5604548493928714E-2</v>
      </c>
      <c r="AP31" s="13">
        <v>45333</v>
      </c>
      <c r="AQ31" s="11">
        <v>811.2</v>
      </c>
      <c r="AR31" s="2"/>
      <c r="AS31" s="2"/>
      <c r="AT31" s="2"/>
      <c r="AU31" s="11">
        <f t="shared" si="11"/>
        <v>811.2</v>
      </c>
      <c r="AV31" s="2"/>
      <c r="AW31" s="5">
        <f t="shared" si="19"/>
        <v>-1.6141216179385135E-2</v>
      </c>
      <c r="AX31" s="13">
        <v>45333</v>
      </c>
      <c r="AY31" s="2">
        <v>38.5</v>
      </c>
      <c r="AZ31" s="2"/>
      <c r="BA31" s="2"/>
      <c r="BB31" s="2"/>
      <c r="BC31" s="2">
        <f t="shared" si="12"/>
        <v>38.5</v>
      </c>
      <c r="BD31" s="2"/>
      <c r="BE31" s="5">
        <f t="shared" si="20"/>
        <v>-3.5718082602079232E-2</v>
      </c>
      <c r="BF31" s="13">
        <v>45333</v>
      </c>
      <c r="BG31" s="2">
        <v>150.6</v>
      </c>
      <c r="BH31" s="2"/>
      <c r="BI31" s="2"/>
      <c r="BJ31" s="2"/>
      <c r="BK31" s="2">
        <f t="shared" si="13"/>
        <v>150.6</v>
      </c>
      <c r="BL31" s="2"/>
      <c r="BM31" s="5">
        <f t="shared" si="22"/>
        <v>4.6589102572410493E-3</v>
      </c>
    </row>
    <row r="32" spans="1:65" ht="15.75" customHeight="1" x14ac:dyDescent="0.35">
      <c r="A32" s="675"/>
      <c r="B32" s="13">
        <v>45334</v>
      </c>
      <c r="C32" s="2">
        <v>13.2</v>
      </c>
      <c r="D32" s="2"/>
      <c r="E32" s="2"/>
      <c r="F32" s="2"/>
      <c r="G32" s="11">
        <f t="shared" si="14"/>
        <v>13.2</v>
      </c>
      <c r="H32" s="2"/>
      <c r="I32" s="5">
        <f t="shared" si="21"/>
        <v>-7.5472056353829663E-3</v>
      </c>
      <c r="J32" s="13">
        <v>45334</v>
      </c>
      <c r="K32" s="2">
        <v>43.3</v>
      </c>
      <c r="L32" s="2"/>
      <c r="M32" s="2"/>
      <c r="N32" s="2"/>
      <c r="O32" s="11">
        <f t="shared" si="7"/>
        <v>43.3</v>
      </c>
      <c r="P32" s="2"/>
      <c r="Q32" s="5">
        <f t="shared" si="15"/>
        <v>-1.1481182373956254E-2</v>
      </c>
      <c r="R32" s="13">
        <v>45334</v>
      </c>
      <c r="S32" s="2">
        <v>286.60000000000002</v>
      </c>
      <c r="T32" s="2"/>
      <c r="U32" s="2"/>
      <c r="V32" s="2"/>
      <c r="W32" s="11">
        <f t="shared" si="8"/>
        <v>286.60000000000002</v>
      </c>
      <c r="X32" s="2"/>
      <c r="Y32" s="5">
        <f t="shared" si="16"/>
        <v>0</v>
      </c>
      <c r="Z32" s="13">
        <v>45334</v>
      </c>
      <c r="AA32" s="2">
        <v>999.2</v>
      </c>
      <c r="AB32" s="2"/>
      <c r="AC32" s="2"/>
      <c r="AD32" s="2"/>
      <c r="AE32" s="2">
        <f t="shared" si="9"/>
        <v>999.2</v>
      </c>
      <c r="AF32" s="2"/>
      <c r="AG32" s="5">
        <f t="shared" si="17"/>
        <v>-9.7600615422409956E-3</v>
      </c>
      <c r="AH32" s="13">
        <v>45334</v>
      </c>
      <c r="AI32" s="2">
        <v>997.1</v>
      </c>
      <c r="AJ32" s="2"/>
      <c r="AK32" s="2"/>
      <c r="AL32" s="2"/>
      <c r="AM32" s="2">
        <f t="shared" si="10"/>
        <v>997.1</v>
      </c>
      <c r="AN32" s="2"/>
      <c r="AO32" s="5">
        <f t="shared" si="18"/>
        <v>-1.5425493701061554E-2</v>
      </c>
      <c r="AP32" s="13">
        <v>45334</v>
      </c>
      <c r="AQ32" s="11">
        <v>793.9</v>
      </c>
      <c r="AR32" s="2"/>
      <c r="AS32" s="2"/>
      <c r="AT32" s="2"/>
      <c r="AU32" s="11">
        <f t="shared" si="11"/>
        <v>793.9</v>
      </c>
      <c r="AV32" s="2"/>
      <c r="AW32" s="5">
        <f t="shared" si="19"/>
        <v>-2.1557124105851106E-2</v>
      </c>
      <c r="AX32" s="13">
        <v>45334</v>
      </c>
      <c r="AY32" s="2">
        <v>39.9</v>
      </c>
      <c r="AZ32" s="2"/>
      <c r="BA32" s="2"/>
      <c r="BB32" s="2"/>
      <c r="BC32" s="2">
        <f t="shared" si="12"/>
        <v>39.9</v>
      </c>
      <c r="BD32" s="2"/>
      <c r="BE32" s="5">
        <f t="shared" si="20"/>
        <v>3.5718082602079246E-2</v>
      </c>
      <c r="BF32" s="13">
        <v>45334</v>
      </c>
      <c r="BG32" s="2">
        <v>150.4</v>
      </c>
      <c r="BH32" s="2"/>
      <c r="BI32" s="2"/>
      <c r="BJ32" s="2"/>
      <c r="BK32" s="2">
        <f t="shared" si="13"/>
        <v>150.4</v>
      </c>
      <c r="BL32" s="2"/>
      <c r="BM32" s="5">
        <f t="shared" si="22"/>
        <v>-1.3289038500536407E-3</v>
      </c>
    </row>
    <row r="33" spans="1:65" ht="15.75" customHeight="1" x14ac:dyDescent="0.35">
      <c r="A33" s="675"/>
      <c r="B33" s="13">
        <v>45335</v>
      </c>
      <c r="C33" s="2">
        <v>13</v>
      </c>
      <c r="D33" s="2"/>
      <c r="E33" s="2"/>
      <c r="F33" s="2"/>
      <c r="G33" s="11">
        <f t="shared" si="14"/>
        <v>13</v>
      </c>
      <c r="H33" s="2"/>
      <c r="I33" s="5">
        <f t="shared" si="21"/>
        <v>-1.5267472130788421E-2</v>
      </c>
      <c r="J33" s="13">
        <v>45335</v>
      </c>
      <c r="K33" s="2">
        <v>42.6</v>
      </c>
      <c r="L33" s="2"/>
      <c r="M33" s="2"/>
      <c r="N33" s="2"/>
      <c r="O33" s="11">
        <f t="shared" si="7"/>
        <v>42.6</v>
      </c>
      <c r="P33" s="2"/>
      <c r="Q33" s="5">
        <f t="shared" si="15"/>
        <v>-1.6298381733119306E-2</v>
      </c>
      <c r="R33" s="13">
        <v>45335</v>
      </c>
      <c r="S33" s="2">
        <v>286.60000000000002</v>
      </c>
      <c r="T33" s="2"/>
      <c r="U33" s="2"/>
      <c r="V33" s="2"/>
      <c r="W33" s="11">
        <f t="shared" si="8"/>
        <v>286.60000000000002</v>
      </c>
      <c r="X33" s="2"/>
      <c r="Y33" s="5">
        <f t="shared" si="16"/>
        <v>0</v>
      </c>
      <c r="Z33" s="13">
        <v>45335</v>
      </c>
      <c r="AA33" s="2">
        <v>1009.7</v>
      </c>
      <c r="AB33" s="2"/>
      <c r="AC33" s="2"/>
      <c r="AD33" s="2"/>
      <c r="AE33" s="2">
        <f t="shared" si="9"/>
        <v>1009.7</v>
      </c>
      <c r="AF33" s="2"/>
      <c r="AG33" s="5">
        <f t="shared" si="17"/>
        <v>1.045357719890736E-2</v>
      </c>
      <c r="AH33" s="13">
        <v>45335</v>
      </c>
      <c r="AI33" s="2">
        <v>977.2</v>
      </c>
      <c r="AJ33" s="2"/>
      <c r="AK33" s="2"/>
      <c r="AL33" s="2"/>
      <c r="AM33" s="2">
        <f t="shared" si="10"/>
        <v>977.2</v>
      </c>
      <c r="AN33" s="2"/>
      <c r="AO33" s="5">
        <f t="shared" si="18"/>
        <v>-2.0159726451161798E-2</v>
      </c>
      <c r="AP33" s="13">
        <v>45335</v>
      </c>
      <c r="AQ33" s="11">
        <v>784.3</v>
      </c>
      <c r="AR33" s="2"/>
      <c r="AS33" s="2"/>
      <c r="AT33" s="2"/>
      <c r="AU33" s="11">
        <f t="shared" si="11"/>
        <v>784.3</v>
      </c>
      <c r="AV33" s="2"/>
      <c r="AW33" s="5">
        <f t="shared" si="19"/>
        <v>-1.2165908512446937E-2</v>
      </c>
      <c r="AX33" s="13">
        <v>45335</v>
      </c>
      <c r="AY33" s="2">
        <v>38.9</v>
      </c>
      <c r="AZ33" s="2"/>
      <c r="BA33" s="2"/>
      <c r="BB33" s="2"/>
      <c r="BC33" s="2">
        <f t="shared" si="12"/>
        <v>38.9</v>
      </c>
      <c r="BD33" s="2"/>
      <c r="BE33" s="5">
        <f t="shared" si="20"/>
        <v>-2.5382073271417161E-2</v>
      </c>
      <c r="BF33" s="13">
        <v>45335</v>
      </c>
      <c r="BG33" s="2">
        <v>150.5</v>
      </c>
      <c r="BH33" s="2"/>
      <c r="BI33" s="2"/>
      <c r="BJ33" s="2"/>
      <c r="BK33" s="2">
        <f t="shared" si="13"/>
        <v>150.5</v>
      </c>
      <c r="BL33" s="2"/>
      <c r="BM33" s="5">
        <f t="shared" si="22"/>
        <v>6.6467267319095984E-4</v>
      </c>
    </row>
    <row r="34" spans="1:65" ht="15.75" customHeight="1" x14ac:dyDescent="0.35">
      <c r="A34" s="675"/>
      <c r="B34" s="13">
        <v>45336</v>
      </c>
      <c r="C34" s="2">
        <v>12.9</v>
      </c>
      <c r="D34" s="2"/>
      <c r="E34" s="2"/>
      <c r="F34" s="2"/>
      <c r="G34" s="11">
        <f t="shared" si="14"/>
        <v>12.9</v>
      </c>
      <c r="H34" s="2"/>
      <c r="I34" s="5">
        <f t="shared" si="21"/>
        <v>-7.7220460939102778E-3</v>
      </c>
      <c r="J34" s="13">
        <v>45336</v>
      </c>
      <c r="K34" s="2">
        <v>41.9</v>
      </c>
      <c r="L34" s="2"/>
      <c r="M34" s="2"/>
      <c r="N34" s="2"/>
      <c r="O34" s="11">
        <f t="shared" si="7"/>
        <v>41.9</v>
      </c>
      <c r="P34" s="2"/>
      <c r="Q34" s="5">
        <f t="shared" si="15"/>
        <v>-1.6568426347232705E-2</v>
      </c>
      <c r="R34" s="13">
        <v>45336</v>
      </c>
      <c r="S34" s="2">
        <v>286.60000000000002</v>
      </c>
      <c r="T34" s="2"/>
      <c r="U34" s="2"/>
      <c r="V34" s="2"/>
      <c r="W34" s="11">
        <f t="shared" si="8"/>
        <v>286.60000000000002</v>
      </c>
      <c r="X34" s="2"/>
      <c r="Y34" s="5">
        <f t="shared" si="16"/>
        <v>0</v>
      </c>
      <c r="Z34" s="13">
        <v>45336</v>
      </c>
      <c r="AA34" s="2">
        <v>1009.7</v>
      </c>
      <c r="AB34" s="2"/>
      <c r="AC34" s="2"/>
      <c r="AD34" s="2"/>
      <c r="AE34" s="2">
        <f t="shared" si="9"/>
        <v>1009.7</v>
      </c>
      <c r="AF34" s="2"/>
      <c r="AG34" s="5">
        <f t="shared" si="17"/>
        <v>0</v>
      </c>
      <c r="AH34" s="13">
        <v>45336</v>
      </c>
      <c r="AI34" s="2">
        <v>1007.1</v>
      </c>
      <c r="AJ34" s="2"/>
      <c r="AK34" s="2"/>
      <c r="AL34" s="2"/>
      <c r="AM34" s="2">
        <f t="shared" si="10"/>
        <v>1007.1</v>
      </c>
      <c r="AN34" s="2"/>
      <c r="AO34" s="5">
        <f t="shared" si="18"/>
        <v>3.0138853270513521E-2</v>
      </c>
      <c r="AP34" s="13">
        <v>45336</v>
      </c>
      <c r="AQ34" s="11">
        <v>780.9</v>
      </c>
      <c r="AR34" s="2"/>
      <c r="AS34" s="2"/>
      <c r="AT34" s="2"/>
      <c r="AU34" s="11">
        <f t="shared" si="11"/>
        <v>780.9</v>
      </c>
      <c r="AV34" s="2"/>
      <c r="AW34" s="5">
        <f t="shared" si="19"/>
        <v>-4.3444995499914395E-3</v>
      </c>
      <c r="AX34" s="13">
        <v>45336</v>
      </c>
      <c r="AY34" s="2">
        <v>38.1</v>
      </c>
      <c r="AZ34" s="2"/>
      <c r="BA34" s="2"/>
      <c r="BB34" s="2"/>
      <c r="BC34" s="2">
        <f t="shared" si="12"/>
        <v>38.1</v>
      </c>
      <c r="BD34" s="2"/>
      <c r="BE34" s="5">
        <f t="shared" si="20"/>
        <v>-2.077996849174531E-2</v>
      </c>
      <c r="BF34" s="13">
        <v>45336</v>
      </c>
      <c r="BG34" s="2">
        <v>150.4</v>
      </c>
      <c r="BH34" s="2"/>
      <c r="BI34" s="2"/>
      <c r="BJ34" s="2"/>
      <c r="BK34" s="2">
        <f t="shared" si="13"/>
        <v>150.4</v>
      </c>
      <c r="BL34" s="2"/>
      <c r="BM34" s="5">
        <f t="shared" si="22"/>
        <v>-6.6467267319095138E-4</v>
      </c>
    </row>
    <row r="35" spans="1:65" ht="15.75" customHeight="1" x14ac:dyDescent="0.35">
      <c r="A35" s="675"/>
      <c r="B35" s="13">
        <v>45337</v>
      </c>
      <c r="C35" s="2">
        <v>12.6</v>
      </c>
      <c r="D35" s="2"/>
      <c r="E35" s="2"/>
      <c r="F35" s="2"/>
      <c r="G35" s="11">
        <f t="shared" si="14"/>
        <v>12.6</v>
      </c>
      <c r="H35" s="2"/>
      <c r="I35" s="5">
        <f t="shared" si="21"/>
        <v>-2.3530497410194161E-2</v>
      </c>
      <c r="J35" s="13">
        <v>45337</v>
      </c>
      <c r="K35" s="2">
        <v>41.8</v>
      </c>
      <c r="L35" s="2"/>
      <c r="M35" s="2"/>
      <c r="N35" s="2"/>
      <c r="O35" s="11">
        <f t="shared" si="7"/>
        <v>41.8</v>
      </c>
      <c r="P35" s="2"/>
      <c r="Q35" s="5">
        <f t="shared" si="15"/>
        <v>-2.3894873973814672E-3</v>
      </c>
      <c r="R35" s="13">
        <v>45337</v>
      </c>
      <c r="S35" s="2">
        <v>286.60000000000002</v>
      </c>
      <c r="T35" s="2"/>
      <c r="U35" s="2"/>
      <c r="V35" s="2"/>
      <c r="W35" s="11">
        <f t="shared" si="8"/>
        <v>286.60000000000002</v>
      </c>
      <c r="X35" s="2"/>
      <c r="Y35" s="5">
        <f t="shared" si="16"/>
        <v>0</v>
      </c>
      <c r="Z35" s="13">
        <v>45337</v>
      </c>
      <c r="AA35" s="2">
        <v>1000.4</v>
      </c>
      <c r="AB35" s="2"/>
      <c r="AC35" s="2"/>
      <c r="AD35" s="2"/>
      <c r="AE35" s="2">
        <f t="shared" si="9"/>
        <v>1000.4</v>
      </c>
      <c r="AF35" s="2"/>
      <c r="AG35" s="5">
        <f t="shared" si="17"/>
        <v>-9.2533370068114233E-3</v>
      </c>
      <c r="AH35" s="13">
        <v>45337</v>
      </c>
      <c r="AI35" s="2">
        <v>984.9</v>
      </c>
      <c r="AJ35" s="2"/>
      <c r="AK35" s="2"/>
      <c r="AL35" s="2"/>
      <c r="AM35" s="2">
        <f t="shared" si="10"/>
        <v>984.9</v>
      </c>
      <c r="AN35" s="2"/>
      <c r="AO35" s="5">
        <f t="shared" si="18"/>
        <v>-2.2290079478442255E-2</v>
      </c>
      <c r="AP35" s="13">
        <v>45337</v>
      </c>
      <c r="AQ35" s="11">
        <v>776.8</v>
      </c>
      <c r="AR35" s="2"/>
      <c r="AS35" s="2"/>
      <c r="AT35" s="2"/>
      <c r="AU35" s="11">
        <f t="shared" si="11"/>
        <v>776.8</v>
      </c>
      <c r="AV35" s="2"/>
      <c r="AW35" s="5">
        <f t="shared" si="19"/>
        <v>-5.2641836915142499E-3</v>
      </c>
      <c r="AX35" s="13">
        <v>45337</v>
      </c>
      <c r="AY35" s="2">
        <v>37.5</v>
      </c>
      <c r="AZ35" s="2"/>
      <c r="BA35" s="2"/>
      <c r="BB35" s="2"/>
      <c r="BC35" s="2">
        <f t="shared" si="12"/>
        <v>37.5</v>
      </c>
      <c r="BD35" s="2"/>
      <c r="BE35" s="5">
        <f t="shared" si="20"/>
        <v>-1.5873349156290233E-2</v>
      </c>
      <c r="BF35" s="13">
        <v>45337</v>
      </c>
      <c r="BG35" s="2">
        <v>150.19999999999999</v>
      </c>
      <c r="BH35" s="2"/>
      <c r="BI35" s="2"/>
      <c r="BJ35" s="2"/>
      <c r="BK35" s="2">
        <f t="shared" si="13"/>
        <v>150.19999999999999</v>
      </c>
      <c r="BL35" s="2"/>
      <c r="BM35" s="5">
        <f t="shared" si="22"/>
        <v>-1.3306721857051726E-3</v>
      </c>
    </row>
    <row r="36" spans="1:65" ht="15.75" customHeight="1" x14ac:dyDescent="0.35">
      <c r="A36" s="675"/>
      <c r="B36" s="13">
        <v>45340</v>
      </c>
      <c r="C36" s="2">
        <v>12.7</v>
      </c>
      <c r="D36" s="2"/>
      <c r="E36" s="2"/>
      <c r="F36" s="2"/>
      <c r="G36" s="11">
        <f t="shared" si="14"/>
        <v>12.7</v>
      </c>
      <c r="H36" s="2"/>
      <c r="I36" s="5">
        <f t="shared" si="21"/>
        <v>7.9051795071132473E-3</v>
      </c>
      <c r="J36" s="13">
        <v>45340</v>
      </c>
      <c r="K36" s="2">
        <v>41</v>
      </c>
      <c r="L36" s="2"/>
      <c r="M36" s="2"/>
      <c r="N36" s="2"/>
      <c r="O36" s="11">
        <f t="shared" si="7"/>
        <v>41</v>
      </c>
      <c r="P36" s="2"/>
      <c r="Q36" s="5">
        <f t="shared" si="15"/>
        <v>-1.93242728264027E-2</v>
      </c>
      <c r="R36" s="13">
        <v>45340</v>
      </c>
      <c r="S36" s="2">
        <v>286.60000000000002</v>
      </c>
      <c r="T36" s="2"/>
      <c r="U36" s="2"/>
      <c r="V36" s="2"/>
      <c r="W36" s="11">
        <f t="shared" si="8"/>
        <v>286.60000000000002</v>
      </c>
      <c r="X36" s="2"/>
      <c r="Y36" s="5">
        <f t="shared" si="16"/>
        <v>0</v>
      </c>
      <c r="Z36" s="13">
        <v>45340</v>
      </c>
      <c r="AA36" s="2">
        <v>1001.3</v>
      </c>
      <c r="AB36" s="2"/>
      <c r="AC36" s="2"/>
      <c r="AD36" s="2"/>
      <c r="AE36" s="2">
        <f t="shared" si="9"/>
        <v>1001.3</v>
      </c>
      <c r="AF36" s="2"/>
      <c r="AG36" s="5">
        <f t="shared" si="17"/>
        <v>8.9923571029319554E-4</v>
      </c>
      <c r="AH36" s="13">
        <v>45340</v>
      </c>
      <c r="AI36" s="2">
        <v>977.9</v>
      </c>
      <c r="AJ36" s="2"/>
      <c r="AK36" s="2"/>
      <c r="AL36" s="2"/>
      <c r="AM36" s="2">
        <f t="shared" si="10"/>
        <v>977.9</v>
      </c>
      <c r="AN36" s="2"/>
      <c r="AO36" s="5">
        <f t="shared" si="18"/>
        <v>-7.1326978574272702E-3</v>
      </c>
      <c r="AP36" s="13">
        <v>45340</v>
      </c>
      <c r="AQ36" s="11">
        <v>778</v>
      </c>
      <c r="AR36" s="2"/>
      <c r="AS36" s="2"/>
      <c r="AT36" s="2"/>
      <c r="AU36" s="11">
        <f t="shared" si="11"/>
        <v>778</v>
      </c>
      <c r="AV36" s="2"/>
      <c r="AW36" s="5">
        <f t="shared" si="19"/>
        <v>1.5436072012763996E-3</v>
      </c>
      <c r="AX36" s="13">
        <v>45340</v>
      </c>
      <c r="AY36" s="2">
        <v>38.1</v>
      </c>
      <c r="AZ36" s="2"/>
      <c r="BA36" s="2"/>
      <c r="BB36" s="2"/>
      <c r="BC36" s="2">
        <f t="shared" si="12"/>
        <v>38.1</v>
      </c>
      <c r="BD36" s="2"/>
      <c r="BE36" s="5">
        <f t="shared" si="20"/>
        <v>1.5873349156290163E-2</v>
      </c>
      <c r="BF36" s="13">
        <v>45340</v>
      </c>
      <c r="BG36" s="2">
        <v>150.5</v>
      </c>
      <c r="BH36" s="2"/>
      <c r="BI36" s="2"/>
      <c r="BJ36" s="2"/>
      <c r="BK36" s="2">
        <f t="shared" si="13"/>
        <v>150.5</v>
      </c>
      <c r="BL36" s="2"/>
      <c r="BM36" s="5">
        <f t="shared" si="22"/>
        <v>1.9953448588961877E-3</v>
      </c>
    </row>
    <row r="37" spans="1:65" ht="15.75" customHeight="1" x14ac:dyDescent="0.35">
      <c r="A37" s="675"/>
      <c r="B37" s="13">
        <v>45341</v>
      </c>
      <c r="C37" s="2">
        <v>13</v>
      </c>
      <c r="D37" s="2"/>
      <c r="E37" s="2"/>
      <c r="F37" s="2"/>
      <c r="G37" s="11">
        <f t="shared" si="14"/>
        <v>13</v>
      </c>
      <c r="H37" s="2"/>
      <c r="I37" s="5">
        <f t="shared" si="21"/>
        <v>2.3347363996991107E-2</v>
      </c>
      <c r="J37" s="13">
        <v>45341</v>
      </c>
      <c r="K37" s="2">
        <v>40.6</v>
      </c>
      <c r="L37" s="2"/>
      <c r="M37" s="2"/>
      <c r="N37" s="2"/>
      <c r="O37" s="11">
        <f t="shared" si="7"/>
        <v>40.6</v>
      </c>
      <c r="P37" s="2"/>
      <c r="Q37" s="5">
        <f t="shared" si="15"/>
        <v>-9.8040000966208556E-3</v>
      </c>
      <c r="R37" s="13">
        <v>45341</v>
      </c>
      <c r="S37" s="2">
        <v>286.60000000000002</v>
      </c>
      <c r="T37" s="2"/>
      <c r="U37" s="2"/>
      <c r="V37" s="2"/>
      <c r="W37" s="11">
        <f t="shared" si="8"/>
        <v>286.60000000000002</v>
      </c>
      <c r="X37" s="2"/>
      <c r="Y37" s="5">
        <f t="shared" si="16"/>
        <v>0</v>
      </c>
      <c r="Z37" s="13">
        <v>45341</v>
      </c>
      <c r="AA37" s="2">
        <v>1000</v>
      </c>
      <c r="AB37" s="2"/>
      <c r="AC37" s="2"/>
      <c r="AD37" s="2"/>
      <c r="AE37" s="2">
        <f t="shared" si="9"/>
        <v>1000</v>
      </c>
      <c r="AF37" s="2"/>
      <c r="AG37" s="5">
        <f t="shared" si="17"/>
        <v>-1.299155731619997E-3</v>
      </c>
      <c r="AH37" s="13">
        <v>45341</v>
      </c>
      <c r="AI37" s="2">
        <v>977.1</v>
      </c>
      <c r="AJ37" s="2"/>
      <c r="AK37" s="2"/>
      <c r="AL37" s="2"/>
      <c r="AM37" s="2">
        <f t="shared" si="10"/>
        <v>977.1</v>
      </c>
      <c r="AN37" s="2"/>
      <c r="AO37" s="5">
        <f t="shared" si="18"/>
        <v>-8.184143679318851E-4</v>
      </c>
      <c r="AP37" s="13">
        <v>45341</v>
      </c>
      <c r="AQ37" s="11">
        <v>760.9</v>
      </c>
      <c r="AR37" s="2"/>
      <c r="AS37" s="2"/>
      <c r="AT37" s="2"/>
      <c r="AU37" s="11">
        <f t="shared" si="11"/>
        <v>760.9</v>
      </c>
      <c r="AV37" s="2"/>
      <c r="AW37" s="5">
        <f t="shared" si="19"/>
        <v>-2.2224580995914539E-2</v>
      </c>
      <c r="AX37" s="13">
        <v>45341</v>
      </c>
      <c r="AY37" s="2">
        <v>38.1</v>
      </c>
      <c r="AZ37" s="2"/>
      <c r="BA37" s="2"/>
      <c r="BB37" s="2"/>
      <c r="BC37" s="2">
        <f t="shared" si="12"/>
        <v>38.1</v>
      </c>
      <c r="BD37" s="2">
        <v>1</v>
      </c>
      <c r="BE37" s="5">
        <f t="shared" si="20"/>
        <v>2.5908184858664834E-2</v>
      </c>
      <c r="BF37" s="13">
        <v>45341</v>
      </c>
      <c r="BG37" s="2">
        <v>150.19999999999999</v>
      </c>
      <c r="BH37" s="2"/>
      <c r="BI37" s="2"/>
      <c r="BJ37" s="2"/>
      <c r="BK37" s="2">
        <f t="shared" si="13"/>
        <v>150.19999999999999</v>
      </c>
      <c r="BL37" s="2"/>
      <c r="BM37" s="5">
        <f t="shared" si="22"/>
        <v>-1.995344858896107E-3</v>
      </c>
    </row>
    <row r="38" spans="1:65" ht="15.75" customHeight="1" x14ac:dyDescent="0.35">
      <c r="A38" s="675"/>
      <c r="B38" s="13">
        <v>45342</v>
      </c>
      <c r="C38" s="2">
        <v>13.1</v>
      </c>
      <c r="D38" s="2"/>
      <c r="E38" s="2"/>
      <c r="F38" s="2"/>
      <c r="G38" s="11">
        <f t="shared" si="14"/>
        <v>13.1</v>
      </c>
      <c r="H38" s="2"/>
      <c r="I38" s="5">
        <f t="shared" si="21"/>
        <v>7.6628727455690972E-3</v>
      </c>
      <c r="J38" s="13">
        <v>45342</v>
      </c>
      <c r="K38" s="2">
        <v>40.6</v>
      </c>
      <c r="L38" s="2"/>
      <c r="M38" s="2"/>
      <c r="N38" s="2"/>
      <c r="O38" s="11">
        <f t="shared" si="7"/>
        <v>40.6</v>
      </c>
      <c r="P38" s="2"/>
      <c r="Q38" s="5">
        <f t="shared" si="15"/>
        <v>0</v>
      </c>
      <c r="R38" s="13">
        <v>45342</v>
      </c>
      <c r="S38" s="2">
        <v>286.60000000000002</v>
      </c>
      <c r="T38" s="2"/>
      <c r="U38" s="2"/>
      <c r="V38" s="2"/>
      <c r="W38" s="11">
        <f t="shared" si="8"/>
        <v>286.60000000000002</v>
      </c>
      <c r="X38" s="2"/>
      <c r="Y38" s="5">
        <f t="shared" si="16"/>
        <v>0</v>
      </c>
      <c r="Z38" s="13">
        <v>45342</v>
      </c>
      <c r="AA38" s="2">
        <v>988</v>
      </c>
      <c r="AB38" s="2"/>
      <c r="AC38" s="2"/>
      <c r="AD38" s="2"/>
      <c r="AE38" s="2">
        <f t="shared" si="9"/>
        <v>988</v>
      </c>
      <c r="AF38" s="2"/>
      <c r="AG38" s="5">
        <f t="shared" si="17"/>
        <v>-1.2072581234269249E-2</v>
      </c>
      <c r="AH38" s="13">
        <v>45342</v>
      </c>
      <c r="AI38" s="2">
        <v>969.3</v>
      </c>
      <c r="AJ38" s="2"/>
      <c r="AK38" s="2"/>
      <c r="AL38" s="2"/>
      <c r="AM38" s="2">
        <f t="shared" si="10"/>
        <v>969.3</v>
      </c>
      <c r="AN38" s="2"/>
      <c r="AO38" s="5">
        <f t="shared" si="18"/>
        <v>-8.0148394517353585E-3</v>
      </c>
      <c r="AP38" s="13">
        <v>45342</v>
      </c>
      <c r="AQ38" s="11">
        <v>761.3</v>
      </c>
      <c r="AR38" s="2"/>
      <c r="AS38" s="2"/>
      <c r="AT38" s="2"/>
      <c r="AU38" s="11">
        <f t="shared" si="11"/>
        <v>761.3</v>
      </c>
      <c r="AV38" s="2"/>
      <c r="AW38" s="5">
        <f t="shared" si="19"/>
        <v>5.2555512968989373E-4</v>
      </c>
      <c r="AX38" s="13">
        <v>45342</v>
      </c>
      <c r="AY38" s="2">
        <v>37.299999999999997</v>
      </c>
      <c r="AZ38" s="2"/>
      <c r="BA38" s="2"/>
      <c r="BB38" s="2"/>
      <c r="BC38" s="2">
        <f t="shared" si="12"/>
        <v>37.299999999999997</v>
      </c>
      <c r="BD38" s="2"/>
      <c r="BE38" s="5">
        <f t="shared" si="20"/>
        <v>-2.1220955482885537E-2</v>
      </c>
      <c r="BF38" s="13">
        <v>45342</v>
      </c>
      <c r="BG38" s="2">
        <v>150</v>
      </c>
      <c r="BH38" s="2"/>
      <c r="BI38" s="2"/>
      <c r="BJ38" s="2"/>
      <c r="BK38" s="2">
        <f t="shared" si="13"/>
        <v>150</v>
      </c>
      <c r="BL38" s="2"/>
      <c r="BM38" s="5">
        <f t="shared" si="22"/>
        <v>-1.3324452337784896E-3</v>
      </c>
    </row>
    <row r="39" spans="1:65" ht="15.75" customHeight="1" x14ac:dyDescent="0.35">
      <c r="A39" s="675"/>
      <c r="B39" s="13">
        <v>45344</v>
      </c>
      <c r="C39" s="2">
        <v>13.1</v>
      </c>
      <c r="D39" s="2"/>
      <c r="E39" s="2"/>
      <c r="F39" s="2"/>
      <c r="G39" s="11">
        <f t="shared" si="14"/>
        <v>13.1</v>
      </c>
      <c r="H39" s="2"/>
      <c r="I39" s="5">
        <f t="shared" si="21"/>
        <v>0</v>
      </c>
      <c r="J39" s="13">
        <v>45344</v>
      </c>
      <c r="K39" s="2">
        <v>40.200000000000003</v>
      </c>
      <c r="L39" s="2"/>
      <c r="M39" s="2"/>
      <c r="N39" s="2"/>
      <c r="O39" s="11">
        <f t="shared" si="7"/>
        <v>40.200000000000003</v>
      </c>
      <c r="P39" s="2"/>
      <c r="Q39" s="5">
        <f t="shared" si="15"/>
        <v>-9.9010709827115698E-3</v>
      </c>
      <c r="R39" s="13">
        <v>45344</v>
      </c>
      <c r="S39" s="2">
        <v>286.60000000000002</v>
      </c>
      <c r="T39" s="2"/>
      <c r="U39" s="2"/>
      <c r="V39" s="2"/>
      <c r="W39" s="11">
        <f t="shared" si="8"/>
        <v>286.60000000000002</v>
      </c>
      <c r="X39" s="2"/>
      <c r="Y39" s="5">
        <f t="shared" si="16"/>
        <v>0</v>
      </c>
      <c r="Z39" s="13">
        <v>45344</v>
      </c>
      <c r="AA39" s="2">
        <v>987.6</v>
      </c>
      <c r="AB39" s="2"/>
      <c r="AC39" s="2"/>
      <c r="AD39" s="2"/>
      <c r="AE39" s="2">
        <f t="shared" si="9"/>
        <v>987.6</v>
      </c>
      <c r="AF39" s="2"/>
      <c r="AG39" s="5">
        <f t="shared" si="17"/>
        <v>-4.0494027684336947E-4</v>
      </c>
      <c r="AH39" s="13">
        <v>45344</v>
      </c>
      <c r="AI39" s="2">
        <v>967.4</v>
      </c>
      <c r="AJ39" s="2"/>
      <c r="AK39" s="2"/>
      <c r="AL39" s="2"/>
      <c r="AM39" s="2">
        <f t="shared" si="10"/>
        <v>967.4</v>
      </c>
      <c r="AN39" s="2"/>
      <c r="AO39" s="5">
        <f t="shared" si="18"/>
        <v>-1.9621011096794599E-3</v>
      </c>
      <c r="AP39" s="13">
        <v>45344</v>
      </c>
      <c r="AQ39" s="11">
        <v>760.8</v>
      </c>
      <c r="AR39" s="2"/>
      <c r="AS39" s="2"/>
      <c r="AT39" s="2"/>
      <c r="AU39" s="11">
        <f t="shared" si="11"/>
        <v>760.8</v>
      </c>
      <c r="AV39" s="2"/>
      <c r="AW39" s="5">
        <f t="shared" si="19"/>
        <v>-6.5698708098635233E-4</v>
      </c>
      <c r="AX39" s="13">
        <v>45344</v>
      </c>
      <c r="AY39" s="2">
        <v>37</v>
      </c>
      <c r="AZ39" s="2"/>
      <c r="BA39" s="2"/>
      <c r="BB39" s="2"/>
      <c r="BC39" s="2">
        <f t="shared" si="12"/>
        <v>37</v>
      </c>
      <c r="BD39" s="2"/>
      <c r="BE39" s="5">
        <f t="shared" si="20"/>
        <v>-8.0754140055453068E-3</v>
      </c>
      <c r="BF39" s="13">
        <v>45344</v>
      </c>
      <c r="BG39" s="2">
        <v>149.6</v>
      </c>
      <c r="BH39" s="2"/>
      <c r="BI39" s="2"/>
      <c r="BJ39" s="2"/>
      <c r="BK39" s="2">
        <f t="shared" si="13"/>
        <v>149.6</v>
      </c>
      <c r="BL39" s="2"/>
      <c r="BM39" s="5">
        <f t="shared" si="22"/>
        <v>-2.6702285558789208E-3</v>
      </c>
    </row>
    <row r="40" spans="1:65" ht="15.75" customHeight="1" x14ac:dyDescent="0.35">
      <c r="A40" s="675"/>
      <c r="B40" s="13">
        <v>45347</v>
      </c>
      <c r="C40" s="2">
        <v>13</v>
      </c>
      <c r="D40" s="2"/>
      <c r="E40" s="2"/>
      <c r="F40" s="2"/>
      <c r="G40" s="11">
        <f t="shared" si="14"/>
        <v>13</v>
      </c>
      <c r="H40" s="2"/>
      <c r="I40" s="5">
        <f t="shared" si="21"/>
        <v>-7.6628727455691371E-3</v>
      </c>
      <c r="J40" s="13">
        <v>45347</v>
      </c>
      <c r="K40" s="2">
        <v>40</v>
      </c>
      <c r="L40" s="2"/>
      <c r="M40" s="2"/>
      <c r="N40" s="2"/>
      <c r="O40" s="11">
        <f t="shared" si="7"/>
        <v>40</v>
      </c>
      <c r="P40" s="2"/>
      <c r="Q40" s="5">
        <f t="shared" si="15"/>
        <v>-4.9875415110391622E-3</v>
      </c>
      <c r="R40" s="13">
        <v>45347</v>
      </c>
      <c r="S40" s="2">
        <v>286.60000000000002</v>
      </c>
      <c r="T40" s="2"/>
      <c r="U40" s="2"/>
      <c r="V40" s="2"/>
      <c r="W40" s="11">
        <f t="shared" si="8"/>
        <v>286.60000000000002</v>
      </c>
      <c r="X40" s="2"/>
      <c r="Y40" s="5">
        <f t="shared" si="16"/>
        <v>0</v>
      </c>
      <c r="Z40" s="13">
        <v>45347</v>
      </c>
      <c r="AA40" s="2">
        <v>979.8</v>
      </c>
      <c r="AB40" s="2"/>
      <c r="AC40" s="2"/>
      <c r="AD40" s="2"/>
      <c r="AE40" s="2">
        <f t="shared" si="9"/>
        <v>979.8</v>
      </c>
      <c r="AF40" s="2"/>
      <c r="AG40" s="5">
        <f t="shared" si="17"/>
        <v>-7.9292882665500612E-3</v>
      </c>
      <c r="AH40" s="13">
        <v>45347</v>
      </c>
      <c r="AI40" s="2">
        <v>958.8</v>
      </c>
      <c r="AJ40" s="2"/>
      <c r="AK40" s="2"/>
      <c r="AL40" s="2"/>
      <c r="AM40" s="2">
        <f t="shared" si="10"/>
        <v>958.8</v>
      </c>
      <c r="AN40" s="2"/>
      <c r="AO40" s="5">
        <f t="shared" si="18"/>
        <v>-8.9295578286535844E-3</v>
      </c>
      <c r="AP40" s="13">
        <v>45347</v>
      </c>
      <c r="AQ40" s="11">
        <v>753</v>
      </c>
      <c r="AR40" s="2"/>
      <c r="AS40" s="2"/>
      <c r="AT40" s="2"/>
      <c r="AU40" s="11">
        <f t="shared" si="11"/>
        <v>753</v>
      </c>
      <c r="AV40" s="2"/>
      <c r="AW40" s="5">
        <f t="shared" si="19"/>
        <v>-1.0305283431286907E-2</v>
      </c>
      <c r="AX40" s="13">
        <v>45347</v>
      </c>
      <c r="AY40" s="2">
        <v>36.700000000000003</v>
      </c>
      <c r="AZ40" s="2"/>
      <c r="BA40" s="2"/>
      <c r="BB40" s="2"/>
      <c r="BC40" s="2">
        <f t="shared" si="12"/>
        <v>36.700000000000003</v>
      </c>
      <c r="BD40" s="2"/>
      <c r="BE40" s="5">
        <f t="shared" si="20"/>
        <v>-8.1411575836997738E-3</v>
      </c>
      <c r="BF40" s="13">
        <v>45347</v>
      </c>
      <c r="BG40" s="2">
        <v>149.6</v>
      </c>
      <c r="BH40" s="2"/>
      <c r="BI40" s="2"/>
      <c r="BJ40" s="2"/>
      <c r="BK40" s="2">
        <f t="shared" si="13"/>
        <v>149.6</v>
      </c>
      <c r="BL40" s="2"/>
      <c r="BM40" s="5">
        <f t="shared" si="22"/>
        <v>0</v>
      </c>
    </row>
    <row r="41" spans="1:65" ht="15.75" customHeight="1" x14ac:dyDescent="0.35">
      <c r="A41" s="675"/>
      <c r="B41" s="13">
        <v>45349</v>
      </c>
      <c r="C41" s="2">
        <v>13</v>
      </c>
      <c r="D41" s="2"/>
      <c r="E41" s="2"/>
      <c r="F41" s="2"/>
      <c r="G41" s="11">
        <f t="shared" si="14"/>
        <v>13</v>
      </c>
      <c r="H41" s="2"/>
      <c r="I41" s="5">
        <f t="shared" si="21"/>
        <v>0</v>
      </c>
      <c r="J41" s="13">
        <v>45349</v>
      </c>
      <c r="K41" s="2">
        <v>40.1</v>
      </c>
      <c r="L41" s="2"/>
      <c r="M41" s="2"/>
      <c r="N41" s="2"/>
      <c r="O41" s="11">
        <f t="shared" si="7"/>
        <v>40.1</v>
      </c>
      <c r="P41" s="2"/>
      <c r="Q41" s="5">
        <f t="shared" si="15"/>
        <v>2.4968801985871458E-3</v>
      </c>
      <c r="R41" s="13">
        <v>45349</v>
      </c>
      <c r="S41" s="2">
        <v>286.60000000000002</v>
      </c>
      <c r="T41" s="2"/>
      <c r="U41" s="2"/>
      <c r="V41" s="2"/>
      <c r="W41" s="11">
        <f t="shared" si="8"/>
        <v>286.60000000000002</v>
      </c>
      <c r="X41" s="2"/>
      <c r="Y41" s="5">
        <f t="shared" si="16"/>
        <v>0</v>
      </c>
      <c r="Z41" s="13">
        <v>45349</v>
      </c>
      <c r="AA41" s="2">
        <v>999.8</v>
      </c>
      <c r="AB41" s="2"/>
      <c r="AC41" s="2"/>
      <c r="AD41" s="2"/>
      <c r="AE41" s="2">
        <f t="shared" si="9"/>
        <v>999.8</v>
      </c>
      <c r="AF41" s="2"/>
      <c r="AG41" s="5">
        <f t="shared" si="17"/>
        <v>2.0206789774995494E-2</v>
      </c>
      <c r="AH41" s="13">
        <v>45349</v>
      </c>
      <c r="AI41" s="2">
        <v>945.6</v>
      </c>
      <c r="AJ41" s="2"/>
      <c r="AK41" s="2"/>
      <c r="AL41" s="2"/>
      <c r="AM41" s="2">
        <f t="shared" si="10"/>
        <v>945.6</v>
      </c>
      <c r="AN41" s="2"/>
      <c r="AO41" s="5">
        <f t="shared" si="18"/>
        <v>-1.3862855908395508E-2</v>
      </c>
      <c r="AP41" s="13">
        <v>45349</v>
      </c>
      <c r="AQ41" s="11">
        <v>750.3</v>
      </c>
      <c r="AR41" s="2"/>
      <c r="AS41" s="2"/>
      <c r="AT41" s="2"/>
      <c r="AU41" s="11">
        <f t="shared" si="11"/>
        <v>750.3</v>
      </c>
      <c r="AV41" s="2"/>
      <c r="AW41" s="5">
        <f t="shared" si="19"/>
        <v>-3.5921012482105592E-3</v>
      </c>
      <c r="AX41" s="13">
        <v>45349</v>
      </c>
      <c r="AY41" s="2">
        <v>36.6</v>
      </c>
      <c r="AZ41" s="2"/>
      <c r="BA41" s="2"/>
      <c r="BB41" s="2"/>
      <c r="BC41" s="2">
        <f t="shared" si="12"/>
        <v>36.6</v>
      </c>
      <c r="BD41" s="2"/>
      <c r="BE41" s="5">
        <f t="shared" si="20"/>
        <v>-2.7285146532040625E-3</v>
      </c>
      <c r="BF41" s="13">
        <v>45349</v>
      </c>
      <c r="BG41" s="2">
        <v>146.19999999999999</v>
      </c>
      <c r="BH41" s="2"/>
      <c r="BI41" s="2"/>
      <c r="BJ41" s="2"/>
      <c r="BK41" s="2">
        <f t="shared" si="13"/>
        <v>146.19999999999999</v>
      </c>
      <c r="BL41" s="2"/>
      <c r="BM41" s="5">
        <f t="shared" si="22"/>
        <v>-2.2989518224698833E-2</v>
      </c>
    </row>
    <row r="42" spans="1:65" ht="15.75" customHeight="1" x14ac:dyDescent="0.35">
      <c r="A42" s="675"/>
      <c r="B42" s="13">
        <v>45350</v>
      </c>
      <c r="C42" s="2">
        <v>13</v>
      </c>
      <c r="D42" s="2"/>
      <c r="E42" s="2"/>
      <c r="F42" s="2"/>
      <c r="G42" s="11">
        <f t="shared" si="14"/>
        <v>13</v>
      </c>
      <c r="H42" s="2"/>
      <c r="I42" s="5">
        <f t="shared" si="21"/>
        <v>0</v>
      </c>
      <c r="J42" s="13">
        <v>45350</v>
      </c>
      <c r="K42" s="2">
        <v>40</v>
      </c>
      <c r="L42" s="2"/>
      <c r="M42" s="2"/>
      <c r="N42" s="2"/>
      <c r="O42" s="11">
        <f t="shared" si="7"/>
        <v>40</v>
      </c>
      <c r="P42" s="2"/>
      <c r="Q42" s="5">
        <f t="shared" si="15"/>
        <v>-2.4968801985872659E-3</v>
      </c>
      <c r="R42" s="13">
        <v>45350</v>
      </c>
      <c r="S42" s="2">
        <v>286.60000000000002</v>
      </c>
      <c r="T42" s="2"/>
      <c r="U42" s="2"/>
      <c r="V42" s="2"/>
      <c r="W42" s="11">
        <f t="shared" si="8"/>
        <v>286.60000000000002</v>
      </c>
      <c r="X42" s="2"/>
      <c r="Y42" s="5">
        <f t="shared" si="16"/>
        <v>0</v>
      </c>
      <c r="Z42" s="13">
        <v>45350</v>
      </c>
      <c r="AA42" s="2">
        <v>994.3</v>
      </c>
      <c r="AB42" s="2"/>
      <c r="AC42" s="2"/>
      <c r="AD42" s="2"/>
      <c r="AE42" s="2">
        <f t="shared" si="9"/>
        <v>994.3</v>
      </c>
      <c r="AF42" s="2"/>
      <c r="AG42" s="5">
        <f t="shared" si="17"/>
        <v>-5.5162869934420973E-3</v>
      </c>
      <c r="AH42" s="13">
        <v>45350</v>
      </c>
      <c r="AI42" s="2">
        <v>951.8</v>
      </c>
      <c r="AJ42" s="2"/>
      <c r="AK42" s="2"/>
      <c r="AL42" s="2"/>
      <c r="AM42" s="2">
        <f t="shared" si="10"/>
        <v>951.8</v>
      </c>
      <c r="AN42" s="2"/>
      <c r="AO42" s="5">
        <f t="shared" si="18"/>
        <v>6.535282035176347E-3</v>
      </c>
      <c r="AP42" s="13">
        <v>45350</v>
      </c>
      <c r="AQ42" s="11">
        <v>748.2</v>
      </c>
      <c r="AR42" s="2"/>
      <c r="AS42" s="2"/>
      <c r="AT42" s="2"/>
      <c r="AU42" s="11">
        <f t="shared" si="11"/>
        <v>748.2</v>
      </c>
      <c r="AV42" s="2"/>
      <c r="AW42" s="5">
        <f t="shared" si="19"/>
        <v>-2.8028046376371491E-3</v>
      </c>
      <c r="AX42" s="13">
        <v>45350</v>
      </c>
      <c r="AY42" s="2">
        <v>36.9</v>
      </c>
      <c r="AZ42" s="2"/>
      <c r="BA42" s="2"/>
      <c r="BB42" s="2"/>
      <c r="BC42" s="2">
        <f t="shared" si="12"/>
        <v>36.9</v>
      </c>
      <c r="BD42" s="2"/>
      <c r="BE42" s="5">
        <f t="shared" si="20"/>
        <v>8.1633106391608354E-3</v>
      </c>
      <c r="BF42" s="13">
        <v>45350</v>
      </c>
      <c r="BG42" s="2">
        <v>145.80000000000001</v>
      </c>
      <c r="BH42" s="2"/>
      <c r="BI42" s="2"/>
      <c r="BJ42" s="2"/>
      <c r="BK42" s="2">
        <f t="shared" si="13"/>
        <v>145.80000000000001</v>
      </c>
      <c r="BL42" s="2"/>
      <c r="BM42" s="5">
        <f t="shared" si="22"/>
        <v>-2.7397277411202159E-3</v>
      </c>
    </row>
    <row r="43" spans="1:65" ht="15.75" customHeight="1" x14ac:dyDescent="0.35">
      <c r="A43" s="675"/>
      <c r="B43" s="13">
        <v>45351</v>
      </c>
      <c r="C43" s="2">
        <v>13.1</v>
      </c>
      <c r="D43" s="2"/>
      <c r="E43" s="2"/>
      <c r="F43" s="2"/>
      <c r="G43" s="11">
        <f t="shared" si="14"/>
        <v>13.1</v>
      </c>
      <c r="H43" s="2"/>
      <c r="I43" s="5">
        <f t="shared" si="21"/>
        <v>7.6628727455690972E-3</v>
      </c>
      <c r="J43" s="13">
        <v>45351</v>
      </c>
      <c r="K43" s="2">
        <v>39.799999999999997</v>
      </c>
      <c r="L43" s="2"/>
      <c r="M43" s="2"/>
      <c r="N43" s="2"/>
      <c r="O43" s="11">
        <f t="shared" si="7"/>
        <v>39.799999999999997</v>
      </c>
      <c r="P43" s="2"/>
      <c r="Q43" s="5">
        <f t="shared" si="15"/>
        <v>-5.0125418235443982E-3</v>
      </c>
      <c r="R43" s="13">
        <v>45351</v>
      </c>
      <c r="S43" s="2">
        <v>286.60000000000002</v>
      </c>
      <c r="T43" s="2"/>
      <c r="U43" s="2"/>
      <c r="V43" s="2"/>
      <c r="W43" s="11">
        <f t="shared" si="8"/>
        <v>286.60000000000002</v>
      </c>
      <c r="X43" s="2"/>
      <c r="Y43" s="5">
        <f t="shared" si="16"/>
        <v>0</v>
      </c>
      <c r="Z43" s="13">
        <v>45351</v>
      </c>
      <c r="AA43" s="2">
        <v>980.5</v>
      </c>
      <c r="AB43" s="2"/>
      <c r="AC43" s="2"/>
      <c r="AD43" s="2"/>
      <c r="AE43" s="2">
        <f t="shared" si="9"/>
        <v>980.5</v>
      </c>
      <c r="AF43" s="2"/>
      <c r="AG43" s="5">
        <f t="shared" si="17"/>
        <v>-1.3976326349626937E-2</v>
      </c>
      <c r="AH43" s="13">
        <v>45351</v>
      </c>
      <c r="AI43" s="2">
        <v>943.6</v>
      </c>
      <c r="AJ43" s="2"/>
      <c r="AK43" s="2"/>
      <c r="AL43" s="2"/>
      <c r="AM43" s="2">
        <f t="shared" si="10"/>
        <v>943.6</v>
      </c>
      <c r="AN43" s="2"/>
      <c r="AO43" s="5">
        <f t="shared" si="18"/>
        <v>-8.6525811534901003E-3</v>
      </c>
      <c r="AP43" s="13">
        <v>45351</v>
      </c>
      <c r="AQ43" s="11">
        <v>745.5</v>
      </c>
      <c r="AR43" s="2"/>
      <c r="AS43" s="2"/>
      <c r="AT43" s="2"/>
      <c r="AU43" s="11">
        <f t="shared" si="11"/>
        <v>745.5</v>
      </c>
      <c r="AV43" s="2"/>
      <c r="AW43" s="5">
        <f t="shared" si="19"/>
        <v>-3.6151877092527075E-3</v>
      </c>
      <c r="AX43" s="13">
        <v>45351</v>
      </c>
      <c r="AY43" s="2">
        <v>36.700000000000003</v>
      </c>
      <c r="AZ43" s="2"/>
      <c r="BA43" s="2"/>
      <c r="BB43" s="2"/>
      <c r="BC43" s="2">
        <f t="shared" si="12"/>
        <v>36.700000000000003</v>
      </c>
      <c r="BD43" s="2"/>
      <c r="BE43" s="5">
        <f t="shared" si="20"/>
        <v>-5.4347959859568327E-3</v>
      </c>
      <c r="BF43" s="13">
        <v>45351</v>
      </c>
      <c r="BG43" s="2">
        <v>145.19999999999999</v>
      </c>
      <c r="BH43" s="2"/>
      <c r="BI43" s="2"/>
      <c r="BJ43" s="2"/>
      <c r="BK43" s="2">
        <f t="shared" si="13"/>
        <v>145.19999999999999</v>
      </c>
      <c r="BL43" s="2"/>
      <c r="BM43" s="5">
        <f t="shared" si="22"/>
        <v>-4.1237171838622638E-3</v>
      </c>
    </row>
    <row r="44" spans="1:65" ht="15.75" customHeight="1" x14ac:dyDescent="0.35">
      <c r="A44" s="675"/>
      <c r="B44" s="13">
        <v>45354</v>
      </c>
      <c r="C44" s="2">
        <v>12.9</v>
      </c>
      <c r="D44" s="2"/>
      <c r="E44" s="2"/>
      <c r="F44" s="2"/>
      <c r="G44" s="11">
        <f t="shared" si="14"/>
        <v>12.9</v>
      </c>
      <c r="H44" s="2"/>
      <c r="I44" s="5">
        <f t="shared" si="21"/>
        <v>-1.5384918839479343E-2</v>
      </c>
      <c r="J44" s="13">
        <v>45354</v>
      </c>
      <c r="K44" s="2">
        <v>39.4</v>
      </c>
      <c r="L44" s="2"/>
      <c r="M44" s="2"/>
      <c r="N44" s="2"/>
      <c r="O44" s="11">
        <f t="shared" si="7"/>
        <v>39.4</v>
      </c>
      <c r="P44" s="2"/>
      <c r="Q44" s="5">
        <f t="shared" si="15"/>
        <v>-1.0101095986503821E-2</v>
      </c>
      <c r="R44" s="13">
        <v>45354</v>
      </c>
      <c r="S44" s="2">
        <v>261.60000000000002</v>
      </c>
      <c r="T44" s="2"/>
      <c r="U44" s="2"/>
      <c r="V44" s="2"/>
      <c r="W44" s="11">
        <f t="shared" si="8"/>
        <v>261.60000000000002</v>
      </c>
      <c r="X44" s="2">
        <v>12.5</v>
      </c>
      <c r="Y44" s="5">
        <f t="shared" si="16"/>
        <v>-4.4594512085331411E-2</v>
      </c>
      <c r="Z44" s="13">
        <v>45354</v>
      </c>
      <c r="AA44" s="2">
        <v>978.1</v>
      </c>
      <c r="AB44" s="2"/>
      <c r="AC44" s="2"/>
      <c r="AD44" s="2"/>
      <c r="AE44" s="2">
        <f t="shared" si="9"/>
        <v>978.1</v>
      </c>
      <c r="AF44" s="2"/>
      <c r="AG44" s="5">
        <f t="shared" si="17"/>
        <v>-2.450731339953772E-3</v>
      </c>
      <c r="AH44" s="13">
        <v>45354</v>
      </c>
      <c r="AI44" s="2">
        <v>945.6</v>
      </c>
      <c r="AJ44" s="2"/>
      <c r="AK44" s="2"/>
      <c r="AL44" s="2"/>
      <c r="AM44" s="2">
        <f t="shared" si="10"/>
        <v>945.6</v>
      </c>
      <c r="AN44" s="2"/>
      <c r="AO44" s="5">
        <f t="shared" si="18"/>
        <v>2.1172991183137494E-3</v>
      </c>
      <c r="AP44" s="13">
        <v>45354</v>
      </c>
      <c r="AQ44" s="11">
        <v>761.2</v>
      </c>
      <c r="AR44" s="2"/>
      <c r="AS44" s="2"/>
      <c r="AT44" s="2"/>
      <c r="AU44" s="11">
        <f t="shared" si="11"/>
        <v>761.2</v>
      </c>
      <c r="AV44" s="2"/>
      <c r="AW44" s="5">
        <f t="shared" si="19"/>
        <v>2.0841001217201373E-2</v>
      </c>
      <c r="AX44" s="13">
        <v>45354</v>
      </c>
      <c r="AY44" s="2">
        <v>36.700000000000003</v>
      </c>
      <c r="AZ44" s="2"/>
      <c r="BA44" s="2"/>
      <c r="BB44" s="2"/>
      <c r="BC44" s="2">
        <f t="shared" si="12"/>
        <v>36.700000000000003</v>
      </c>
      <c r="BD44" s="2"/>
      <c r="BE44" s="5">
        <f t="shared" si="20"/>
        <v>0</v>
      </c>
      <c r="BF44" s="13">
        <v>45354</v>
      </c>
      <c r="BG44" s="2">
        <v>144.30000000000001</v>
      </c>
      <c r="BH44" s="2"/>
      <c r="BI44" s="2"/>
      <c r="BJ44" s="2"/>
      <c r="BK44" s="2">
        <f t="shared" si="13"/>
        <v>144.30000000000001</v>
      </c>
      <c r="BL44" s="2"/>
      <c r="BM44" s="5">
        <f t="shared" si="22"/>
        <v>-6.2176366108703382E-3</v>
      </c>
    </row>
    <row r="45" spans="1:65" ht="15.75" customHeight="1" x14ac:dyDescent="0.35">
      <c r="A45" s="675"/>
      <c r="B45" s="13">
        <v>45355</v>
      </c>
      <c r="C45" s="2">
        <v>13</v>
      </c>
      <c r="D45" s="2"/>
      <c r="E45" s="2"/>
      <c r="F45" s="2"/>
      <c r="G45" s="11">
        <f t="shared" si="14"/>
        <v>13</v>
      </c>
      <c r="H45" s="2"/>
      <c r="I45" s="5">
        <f t="shared" si="21"/>
        <v>7.7220460939103185E-3</v>
      </c>
      <c r="J45" s="13">
        <v>45355</v>
      </c>
      <c r="K45" s="2">
        <v>39</v>
      </c>
      <c r="L45" s="2"/>
      <c r="M45" s="2"/>
      <c r="N45" s="2"/>
      <c r="O45" s="11">
        <f t="shared" si="7"/>
        <v>39</v>
      </c>
      <c r="P45" s="2"/>
      <c r="Q45" s="5">
        <f t="shared" si="15"/>
        <v>-1.0204170174241623E-2</v>
      </c>
      <c r="R45" s="13">
        <v>45355</v>
      </c>
      <c r="S45" s="2">
        <v>257.2</v>
      </c>
      <c r="T45" s="2"/>
      <c r="U45" s="2"/>
      <c r="V45" s="2"/>
      <c r="W45" s="11">
        <f t="shared" si="8"/>
        <v>257.2</v>
      </c>
      <c r="X45" s="2"/>
      <c r="Y45" s="5">
        <f t="shared" si="16"/>
        <v>-1.6962627219579474E-2</v>
      </c>
      <c r="Z45" s="13">
        <v>45355</v>
      </c>
      <c r="AA45" s="2">
        <v>986.9</v>
      </c>
      <c r="AB45" s="2"/>
      <c r="AC45" s="2"/>
      <c r="AD45" s="2"/>
      <c r="AE45" s="2">
        <f t="shared" si="9"/>
        <v>986.9</v>
      </c>
      <c r="AF45" s="2"/>
      <c r="AG45" s="5">
        <f t="shared" si="17"/>
        <v>8.9568028815141896E-3</v>
      </c>
      <c r="AH45" s="13">
        <v>45355</v>
      </c>
      <c r="AI45" s="2">
        <v>940.2</v>
      </c>
      <c r="AJ45" s="2"/>
      <c r="AK45" s="2"/>
      <c r="AL45" s="2"/>
      <c r="AM45" s="2">
        <f t="shared" si="10"/>
        <v>940.2</v>
      </c>
      <c r="AN45" s="2"/>
      <c r="AO45" s="5">
        <f t="shared" si="18"/>
        <v>-5.7270280618036381E-3</v>
      </c>
      <c r="AP45" s="13">
        <v>45355</v>
      </c>
      <c r="AQ45" s="11">
        <v>751.4</v>
      </c>
      <c r="AR45" s="2"/>
      <c r="AS45" s="2"/>
      <c r="AT45" s="2"/>
      <c r="AU45" s="11">
        <f t="shared" si="11"/>
        <v>751.4</v>
      </c>
      <c r="AV45" s="2"/>
      <c r="AW45" s="5">
        <f t="shared" si="19"/>
        <v>-1.2958002282126003E-2</v>
      </c>
      <c r="AX45" s="13">
        <v>45355</v>
      </c>
      <c r="AY45" s="2">
        <v>36</v>
      </c>
      <c r="AZ45" s="2"/>
      <c r="BA45" s="2"/>
      <c r="BB45" s="2"/>
      <c r="BC45" s="2">
        <f t="shared" si="12"/>
        <v>36</v>
      </c>
      <c r="BD45" s="2"/>
      <c r="BE45" s="5">
        <f t="shared" si="20"/>
        <v>-1.9257816604414647E-2</v>
      </c>
      <c r="BF45" s="13">
        <v>45355</v>
      </c>
      <c r="BG45" s="2">
        <v>146.1</v>
      </c>
      <c r="BH45" s="2"/>
      <c r="BI45" s="2"/>
      <c r="BJ45" s="2"/>
      <c r="BK45" s="2">
        <f t="shared" si="13"/>
        <v>146.1</v>
      </c>
      <c r="BL45" s="2"/>
      <c r="BM45" s="5">
        <f t="shared" si="22"/>
        <v>1.2396852976828502E-2</v>
      </c>
    </row>
    <row r="46" spans="1:65" ht="15.75" customHeight="1" x14ac:dyDescent="0.35">
      <c r="A46" s="675"/>
      <c r="B46" s="13">
        <v>45356</v>
      </c>
      <c r="C46" s="2">
        <v>12.7</v>
      </c>
      <c r="D46" s="2"/>
      <c r="E46" s="2"/>
      <c r="F46" s="2"/>
      <c r="G46" s="11">
        <f t="shared" si="14"/>
        <v>12.7</v>
      </c>
      <c r="H46" s="2"/>
      <c r="I46" s="5">
        <f t="shared" si="21"/>
        <v>-2.3347363996991177E-2</v>
      </c>
      <c r="J46" s="13">
        <v>45356</v>
      </c>
      <c r="K46" s="2">
        <v>39</v>
      </c>
      <c r="L46" s="2"/>
      <c r="M46" s="2"/>
      <c r="N46" s="2"/>
      <c r="O46" s="11">
        <f t="shared" si="7"/>
        <v>39</v>
      </c>
      <c r="P46" s="2"/>
      <c r="Q46" s="5">
        <f t="shared" si="15"/>
        <v>0</v>
      </c>
      <c r="R46" s="13">
        <v>45356</v>
      </c>
      <c r="S46" s="2">
        <v>252.6</v>
      </c>
      <c r="T46" s="2"/>
      <c r="U46" s="2"/>
      <c r="V46" s="2"/>
      <c r="W46" s="11">
        <f t="shared" si="8"/>
        <v>252.6</v>
      </c>
      <c r="X46" s="2"/>
      <c r="Y46" s="5">
        <f t="shared" si="16"/>
        <v>-1.8046782447073549E-2</v>
      </c>
      <c r="Z46" s="13">
        <v>45356</v>
      </c>
      <c r="AA46" s="2">
        <v>989.5</v>
      </c>
      <c r="AB46" s="2"/>
      <c r="AC46" s="2"/>
      <c r="AD46" s="2"/>
      <c r="AE46" s="2">
        <f t="shared" si="9"/>
        <v>989.5</v>
      </c>
      <c r="AF46" s="2"/>
      <c r="AG46" s="5">
        <f t="shared" si="17"/>
        <v>2.6310478646590506E-3</v>
      </c>
      <c r="AH46" s="13">
        <v>45356</v>
      </c>
      <c r="AI46" s="2">
        <v>932.2</v>
      </c>
      <c r="AJ46" s="2"/>
      <c r="AK46" s="2"/>
      <c r="AL46" s="2"/>
      <c r="AM46" s="2">
        <f t="shared" si="10"/>
        <v>932.2</v>
      </c>
      <c r="AN46" s="2"/>
      <c r="AO46" s="5">
        <f t="shared" si="18"/>
        <v>-8.5452346513896077E-3</v>
      </c>
      <c r="AP46" s="13">
        <v>45356</v>
      </c>
      <c r="AQ46" s="11">
        <v>741.8</v>
      </c>
      <c r="AR46" s="2"/>
      <c r="AS46" s="2"/>
      <c r="AT46" s="2"/>
      <c r="AU46" s="11">
        <f t="shared" si="11"/>
        <v>741.8</v>
      </c>
      <c r="AV46" s="2"/>
      <c r="AW46" s="5">
        <f t="shared" si="19"/>
        <v>-1.2858468084378153E-2</v>
      </c>
      <c r="AX46" s="13">
        <v>45356</v>
      </c>
      <c r="AY46" s="2">
        <v>35.799999999999997</v>
      </c>
      <c r="AZ46" s="2"/>
      <c r="BA46" s="2"/>
      <c r="BB46" s="2"/>
      <c r="BC46" s="2">
        <f t="shared" si="12"/>
        <v>35.799999999999997</v>
      </c>
      <c r="BD46" s="2"/>
      <c r="BE46" s="5">
        <f t="shared" si="20"/>
        <v>-5.571045049455472E-3</v>
      </c>
      <c r="BF46" s="13">
        <v>45356</v>
      </c>
      <c r="BG46" s="2">
        <v>151.19999999999999</v>
      </c>
      <c r="BH46" s="2"/>
      <c r="BI46" s="2"/>
      <c r="BJ46" s="2"/>
      <c r="BK46" s="2">
        <f t="shared" si="13"/>
        <v>151.19999999999999</v>
      </c>
      <c r="BL46" s="2"/>
      <c r="BM46" s="5">
        <f t="shared" si="22"/>
        <v>3.4312144988778839E-2</v>
      </c>
    </row>
    <row r="47" spans="1:65" ht="15.75" customHeight="1" x14ac:dyDescent="0.35">
      <c r="A47" s="675"/>
      <c r="B47" s="13">
        <v>45357</v>
      </c>
      <c r="C47" s="2">
        <v>12.9</v>
      </c>
      <c r="D47" s="2"/>
      <c r="E47" s="2"/>
      <c r="F47" s="2"/>
      <c r="G47" s="11">
        <f t="shared" si="14"/>
        <v>12.9</v>
      </c>
      <c r="H47" s="2"/>
      <c r="I47" s="5">
        <f t="shared" si="21"/>
        <v>1.5625317903081033E-2</v>
      </c>
      <c r="J47" s="13">
        <v>45357</v>
      </c>
      <c r="K47" s="2">
        <v>39.1</v>
      </c>
      <c r="L47" s="2"/>
      <c r="M47" s="2"/>
      <c r="N47" s="2"/>
      <c r="O47" s="11">
        <f t="shared" si="7"/>
        <v>39.1</v>
      </c>
      <c r="P47" s="2"/>
      <c r="Q47" s="5">
        <f t="shared" si="15"/>
        <v>2.5608208616736505E-3</v>
      </c>
      <c r="R47" s="13">
        <v>45357</v>
      </c>
      <c r="S47" s="2">
        <v>256.7</v>
      </c>
      <c r="T47" s="2"/>
      <c r="U47" s="2"/>
      <c r="V47" s="2"/>
      <c r="W47" s="11">
        <f t="shared" si="8"/>
        <v>256.7</v>
      </c>
      <c r="X47" s="2"/>
      <c r="Y47" s="5">
        <f t="shared" si="16"/>
        <v>1.6100877960703863E-2</v>
      </c>
      <c r="Z47" s="13">
        <v>45357</v>
      </c>
      <c r="AA47" s="2">
        <v>983.1</v>
      </c>
      <c r="AB47" s="2"/>
      <c r="AC47" s="2"/>
      <c r="AD47" s="2"/>
      <c r="AE47" s="2">
        <f t="shared" si="9"/>
        <v>983.1</v>
      </c>
      <c r="AF47" s="2"/>
      <c r="AG47" s="5">
        <f t="shared" si="17"/>
        <v>-6.488920669741825E-3</v>
      </c>
      <c r="AH47" s="13">
        <v>45357</v>
      </c>
      <c r="AI47" s="2">
        <v>933.6</v>
      </c>
      <c r="AJ47" s="2"/>
      <c r="AK47" s="2"/>
      <c r="AL47" s="2"/>
      <c r="AM47" s="2">
        <f t="shared" si="10"/>
        <v>933.6</v>
      </c>
      <c r="AN47" s="2"/>
      <c r="AO47" s="5">
        <f t="shared" si="18"/>
        <v>1.5006970337057076E-3</v>
      </c>
      <c r="AP47" s="13">
        <v>45357</v>
      </c>
      <c r="AQ47" s="11">
        <v>728.8</v>
      </c>
      <c r="AR47" s="2"/>
      <c r="AS47" s="2"/>
      <c r="AT47" s="2"/>
      <c r="AU47" s="11">
        <f t="shared" si="11"/>
        <v>728.8</v>
      </c>
      <c r="AV47" s="2"/>
      <c r="AW47" s="5">
        <f t="shared" si="19"/>
        <v>-1.7680319109741893E-2</v>
      </c>
      <c r="AX47" s="13">
        <v>45357</v>
      </c>
      <c r="AY47" s="2">
        <v>35.700000000000003</v>
      </c>
      <c r="AZ47" s="2"/>
      <c r="BA47" s="2"/>
      <c r="BB47" s="2"/>
      <c r="BC47" s="2">
        <f t="shared" si="12"/>
        <v>35.700000000000003</v>
      </c>
      <c r="BD47" s="2"/>
      <c r="BE47" s="5">
        <f t="shared" si="20"/>
        <v>-2.7972046210610309E-3</v>
      </c>
      <c r="BF47" s="13">
        <v>45357</v>
      </c>
      <c r="BG47" s="2">
        <v>149.9</v>
      </c>
      <c r="BH47" s="2"/>
      <c r="BI47" s="2"/>
      <c r="BJ47" s="2"/>
      <c r="BK47" s="2">
        <f t="shared" si="13"/>
        <v>149.9</v>
      </c>
      <c r="BL47" s="2"/>
      <c r="BM47" s="5">
        <f t="shared" si="22"/>
        <v>-8.6350586368804973E-3</v>
      </c>
    </row>
    <row r="48" spans="1:65" ht="15.75" customHeight="1" x14ac:dyDescent="0.35">
      <c r="A48" s="675"/>
      <c r="B48" s="13">
        <v>45358</v>
      </c>
      <c r="C48" s="2">
        <v>12.7</v>
      </c>
      <c r="D48" s="2"/>
      <c r="E48" s="2"/>
      <c r="F48" s="2"/>
      <c r="G48" s="11">
        <f t="shared" si="14"/>
        <v>12.7</v>
      </c>
      <c r="H48" s="2"/>
      <c r="I48" s="5">
        <f t="shared" si="21"/>
        <v>-1.562531790308087E-2</v>
      </c>
      <c r="J48" s="13">
        <v>45358</v>
      </c>
      <c r="K48" s="2">
        <v>38.799999999999997</v>
      </c>
      <c r="L48" s="2"/>
      <c r="M48" s="2"/>
      <c r="N48" s="2"/>
      <c r="O48" s="11">
        <f t="shared" si="7"/>
        <v>38.799999999999997</v>
      </c>
      <c r="P48" s="2"/>
      <c r="Q48" s="5">
        <f t="shared" si="15"/>
        <v>-7.7022203620924629E-3</v>
      </c>
      <c r="R48" s="13">
        <v>45358</v>
      </c>
      <c r="S48" s="2">
        <v>253.5</v>
      </c>
      <c r="T48" s="2"/>
      <c r="U48" s="2"/>
      <c r="V48" s="2"/>
      <c r="W48" s="11">
        <f t="shared" si="8"/>
        <v>253.5</v>
      </c>
      <c r="X48" s="2"/>
      <c r="Y48" s="5">
        <f t="shared" si="16"/>
        <v>-1.254426484585687E-2</v>
      </c>
      <c r="Z48" s="13">
        <v>45358</v>
      </c>
      <c r="AA48" s="2">
        <v>984.7</v>
      </c>
      <c r="AB48" s="2"/>
      <c r="AC48" s="2"/>
      <c r="AD48" s="2"/>
      <c r="AE48" s="2">
        <f t="shared" si="9"/>
        <v>984.7</v>
      </c>
      <c r="AF48" s="2"/>
      <c r="AG48" s="5">
        <f t="shared" si="17"/>
        <v>1.6261818808777848E-3</v>
      </c>
      <c r="AH48" s="13">
        <v>45358</v>
      </c>
      <c r="AI48" s="2">
        <v>923.5</v>
      </c>
      <c r="AJ48" s="2"/>
      <c r="AK48" s="2"/>
      <c r="AL48" s="2"/>
      <c r="AM48" s="2">
        <f t="shared" si="10"/>
        <v>923.5</v>
      </c>
      <c r="AN48" s="2"/>
      <c r="AO48" s="5">
        <f t="shared" si="18"/>
        <v>-1.0877281333051568E-2</v>
      </c>
      <c r="AP48" s="13">
        <v>45358</v>
      </c>
      <c r="AQ48" s="11">
        <v>727.8</v>
      </c>
      <c r="AR48" s="2"/>
      <c r="AS48" s="2"/>
      <c r="AT48" s="2"/>
      <c r="AU48" s="11">
        <f t="shared" si="11"/>
        <v>727.8</v>
      </c>
      <c r="AV48" s="2"/>
      <c r="AW48" s="5">
        <f t="shared" si="19"/>
        <v>-1.3730607676891078E-3</v>
      </c>
      <c r="AX48" s="13">
        <v>45358</v>
      </c>
      <c r="AY48" s="2">
        <v>35.299999999999997</v>
      </c>
      <c r="AZ48" s="2"/>
      <c r="BA48" s="2"/>
      <c r="BB48" s="2"/>
      <c r="BC48" s="2">
        <f t="shared" si="12"/>
        <v>35.299999999999997</v>
      </c>
      <c r="BD48" s="2"/>
      <c r="BE48" s="5">
        <f t="shared" si="20"/>
        <v>-1.1267724846342494E-2</v>
      </c>
      <c r="BF48" s="13">
        <v>45358</v>
      </c>
      <c r="BG48" s="2">
        <v>150</v>
      </c>
      <c r="BH48" s="2"/>
      <c r="BI48" s="2"/>
      <c r="BJ48" s="2"/>
      <c r="BK48" s="2">
        <f t="shared" si="13"/>
        <v>150</v>
      </c>
      <c r="BL48" s="2"/>
      <c r="BM48" s="5">
        <f t="shared" si="22"/>
        <v>6.6688898770377427E-4</v>
      </c>
    </row>
    <row r="49" spans="1:65" ht="15.75" customHeight="1" x14ac:dyDescent="0.35">
      <c r="A49" s="675"/>
      <c r="B49" s="13">
        <v>45361</v>
      </c>
      <c r="C49" s="2">
        <v>12.6</v>
      </c>
      <c r="D49" s="2"/>
      <c r="E49" s="2"/>
      <c r="F49" s="2"/>
      <c r="G49" s="11">
        <f t="shared" si="14"/>
        <v>12.6</v>
      </c>
      <c r="H49" s="2"/>
      <c r="I49" s="5">
        <f t="shared" si="21"/>
        <v>-7.9051795071132611E-3</v>
      </c>
      <c r="J49" s="13">
        <v>45361</v>
      </c>
      <c r="K49" s="2">
        <v>38.700000000000003</v>
      </c>
      <c r="L49" s="2"/>
      <c r="M49" s="2"/>
      <c r="N49" s="2"/>
      <c r="O49" s="11">
        <f t="shared" si="7"/>
        <v>38.700000000000003</v>
      </c>
      <c r="P49" s="2"/>
      <c r="Q49" s="5">
        <f t="shared" si="15"/>
        <v>-2.580646593491514E-3</v>
      </c>
      <c r="R49" s="13">
        <v>45361</v>
      </c>
      <c r="S49" s="2">
        <v>250.4</v>
      </c>
      <c r="T49" s="2"/>
      <c r="U49" s="2"/>
      <c r="V49" s="2"/>
      <c r="W49" s="11">
        <f t="shared" si="8"/>
        <v>250.4</v>
      </c>
      <c r="X49" s="2"/>
      <c r="Y49" s="5">
        <f t="shared" si="16"/>
        <v>-1.2304183805294366E-2</v>
      </c>
      <c r="Z49" s="13">
        <v>45361</v>
      </c>
      <c r="AA49" s="2">
        <v>985</v>
      </c>
      <c r="AB49" s="2"/>
      <c r="AC49" s="2"/>
      <c r="AD49" s="2"/>
      <c r="AE49" s="2">
        <f t="shared" si="9"/>
        <v>985</v>
      </c>
      <c r="AF49" s="2"/>
      <c r="AG49" s="5">
        <f t="shared" si="17"/>
        <v>3.0461491833238836E-4</v>
      </c>
      <c r="AH49" s="13">
        <v>45361</v>
      </c>
      <c r="AI49" s="2">
        <v>912.1</v>
      </c>
      <c r="AJ49" s="2"/>
      <c r="AK49" s="2"/>
      <c r="AL49" s="2"/>
      <c r="AM49" s="2">
        <f t="shared" si="10"/>
        <v>912.1</v>
      </c>
      <c r="AN49" s="2"/>
      <c r="AO49" s="5">
        <f t="shared" si="18"/>
        <v>-1.2421166453181852E-2</v>
      </c>
      <c r="AP49" s="13">
        <v>45361</v>
      </c>
      <c r="AQ49" s="11">
        <v>723</v>
      </c>
      <c r="AR49" s="2"/>
      <c r="AS49" s="2"/>
      <c r="AT49" s="2"/>
      <c r="AU49" s="11">
        <f t="shared" si="11"/>
        <v>723</v>
      </c>
      <c r="AV49" s="2"/>
      <c r="AW49" s="5">
        <f t="shared" si="19"/>
        <v>-6.6170630192946495E-3</v>
      </c>
      <c r="AX49" s="13">
        <v>45361</v>
      </c>
      <c r="AY49" s="2">
        <v>35.1</v>
      </c>
      <c r="AZ49" s="2"/>
      <c r="BA49" s="2"/>
      <c r="BB49" s="2"/>
      <c r="BC49" s="2">
        <f t="shared" si="12"/>
        <v>35.1</v>
      </c>
      <c r="BD49" s="2"/>
      <c r="BE49" s="5">
        <f t="shared" si="20"/>
        <v>-5.6818334674308343E-3</v>
      </c>
      <c r="BF49" s="13">
        <v>45361</v>
      </c>
      <c r="BG49" s="2">
        <v>150.9</v>
      </c>
      <c r="BH49" s="2"/>
      <c r="BI49" s="2"/>
      <c r="BJ49" s="2"/>
      <c r="BK49" s="2">
        <f t="shared" si="13"/>
        <v>150.9</v>
      </c>
      <c r="BL49" s="2"/>
      <c r="BM49" s="5">
        <f t="shared" si="22"/>
        <v>5.9820716775474689E-3</v>
      </c>
    </row>
    <row r="50" spans="1:65" ht="15.75" customHeight="1" x14ac:dyDescent="0.35">
      <c r="A50" s="675"/>
      <c r="B50" s="13">
        <v>45362</v>
      </c>
      <c r="C50" s="2">
        <v>12.5</v>
      </c>
      <c r="D50" s="2"/>
      <c r="E50" s="2"/>
      <c r="F50" s="2"/>
      <c r="G50" s="11">
        <f t="shared" si="14"/>
        <v>12.5</v>
      </c>
      <c r="H50" s="2"/>
      <c r="I50" s="5">
        <f t="shared" si="21"/>
        <v>-7.9681696491768449E-3</v>
      </c>
      <c r="J50" s="13">
        <v>45362</v>
      </c>
      <c r="K50" s="2">
        <v>38.200000000000003</v>
      </c>
      <c r="L50" s="2"/>
      <c r="M50" s="2"/>
      <c r="N50" s="2"/>
      <c r="O50" s="11">
        <f t="shared" si="7"/>
        <v>38.200000000000003</v>
      </c>
      <c r="P50" s="2"/>
      <c r="Q50" s="5">
        <f t="shared" si="15"/>
        <v>-1.3004084423206573E-2</v>
      </c>
      <c r="R50" s="13">
        <v>45362</v>
      </c>
      <c r="S50" s="2">
        <v>246.6</v>
      </c>
      <c r="T50" s="2"/>
      <c r="U50" s="2"/>
      <c r="V50" s="2"/>
      <c r="W50" s="11">
        <f t="shared" si="8"/>
        <v>246.6</v>
      </c>
      <c r="X50" s="2"/>
      <c r="Y50" s="5">
        <f t="shared" si="16"/>
        <v>-1.529204849569954E-2</v>
      </c>
      <c r="Z50" s="13">
        <v>45362</v>
      </c>
      <c r="AA50" s="2">
        <v>992.9</v>
      </c>
      <c r="AB50" s="2"/>
      <c r="AC50" s="2"/>
      <c r="AD50" s="2"/>
      <c r="AE50" s="2">
        <f t="shared" si="9"/>
        <v>992.9</v>
      </c>
      <c r="AF50" s="2"/>
      <c r="AG50" s="5">
        <f t="shared" si="17"/>
        <v>7.9883128674594905E-3</v>
      </c>
      <c r="AH50" s="13">
        <v>45362</v>
      </c>
      <c r="AI50" s="2">
        <v>907.7</v>
      </c>
      <c r="AJ50" s="2"/>
      <c r="AK50" s="2"/>
      <c r="AL50" s="2"/>
      <c r="AM50" s="2">
        <f t="shared" si="10"/>
        <v>907.7</v>
      </c>
      <c r="AN50" s="2"/>
      <c r="AO50" s="5">
        <f t="shared" si="18"/>
        <v>-4.8357056535311199E-3</v>
      </c>
      <c r="AP50" s="13">
        <v>45362</v>
      </c>
      <c r="AQ50" s="11">
        <v>718.2</v>
      </c>
      <c r="AR50" s="2"/>
      <c r="AS50" s="2"/>
      <c r="AT50" s="2"/>
      <c r="AU50" s="11">
        <f t="shared" si="11"/>
        <v>718.2</v>
      </c>
      <c r="AV50" s="2"/>
      <c r="AW50" s="5">
        <f t="shared" si="19"/>
        <v>-6.6611403667821987E-3</v>
      </c>
      <c r="AX50" s="13">
        <v>45362</v>
      </c>
      <c r="AY50" s="2">
        <v>35.200000000000003</v>
      </c>
      <c r="AZ50" s="2"/>
      <c r="BA50" s="2"/>
      <c r="BB50" s="2"/>
      <c r="BC50" s="2">
        <f t="shared" si="12"/>
        <v>35.200000000000003</v>
      </c>
      <c r="BD50" s="2"/>
      <c r="BE50" s="5">
        <f t="shared" si="20"/>
        <v>2.8449521322313448E-3</v>
      </c>
      <c r="BF50" s="13">
        <v>45362</v>
      </c>
      <c r="BG50" s="2">
        <v>150</v>
      </c>
      <c r="BH50" s="2"/>
      <c r="BI50" s="2"/>
      <c r="BJ50" s="2"/>
      <c r="BK50" s="2">
        <f t="shared" si="13"/>
        <v>150</v>
      </c>
      <c r="BL50" s="2"/>
      <c r="BM50" s="5">
        <f t="shared" si="22"/>
        <v>-5.98207167754754E-3</v>
      </c>
    </row>
    <row r="51" spans="1:65" ht="15.75" customHeight="1" x14ac:dyDescent="0.35">
      <c r="A51" s="675"/>
      <c r="B51" s="13">
        <v>45363</v>
      </c>
      <c r="C51" s="2">
        <v>12.5</v>
      </c>
      <c r="D51" s="2"/>
      <c r="E51" s="2"/>
      <c r="F51" s="2"/>
      <c r="G51" s="11">
        <f t="shared" si="14"/>
        <v>12.5</v>
      </c>
      <c r="H51" s="2"/>
      <c r="I51" s="5">
        <f t="shared" si="21"/>
        <v>0</v>
      </c>
      <c r="J51" s="13">
        <v>45363</v>
      </c>
      <c r="K51" s="2">
        <v>38.200000000000003</v>
      </c>
      <c r="L51" s="2"/>
      <c r="M51" s="2"/>
      <c r="N51" s="2"/>
      <c r="O51" s="11">
        <f t="shared" si="7"/>
        <v>38.200000000000003</v>
      </c>
      <c r="P51" s="2"/>
      <c r="Q51" s="5">
        <f t="shared" si="15"/>
        <v>0</v>
      </c>
      <c r="R51" s="13">
        <v>45363</v>
      </c>
      <c r="S51" s="2">
        <v>244.9</v>
      </c>
      <c r="T51" s="2"/>
      <c r="U51" s="2"/>
      <c r="V51" s="2"/>
      <c r="W51" s="11">
        <f t="shared" si="8"/>
        <v>244.9</v>
      </c>
      <c r="X51" s="2"/>
      <c r="Y51" s="5">
        <f t="shared" si="16"/>
        <v>-6.9176267721218401E-3</v>
      </c>
      <c r="Z51" s="13">
        <v>45363</v>
      </c>
      <c r="AA51" s="2">
        <v>981.8</v>
      </c>
      <c r="AB51" s="2"/>
      <c r="AC51" s="2"/>
      <c r="AD51" s="2"/>
      <c r="AE51" s="2">
        <f t="shared" si="9"/>
        <v>981.8</v>
      </c>
      <c r="AF51" s="2"/>
      <c r="AG51" s="5">
        <f t="shared" si="17"/>
        <v>-1.1242332415596298E-2</v>
      </c>
      <c r="AH51" s="13">
        <v>45363</v>
      </c>
      <c r="AI51" s="2">
        <v>896.5</v>
      </c>
      <c r="AJ51" s="2"/>
      <c r="AK51" s="2"/>
      <c r="AL51" s="2"/>
      <c r="AM51" s="2">
        <f t="shared" si="10"/>
        <v>896.5</v>
      </c>
      <c r="AN51" s="2"/>
      <c r="AO51" s="5">
        <f t="shared" si="18"/>
        <v>-1.2415634487394011E-2</v>
      </c>
      <c r="AP51" s="13">
        <v>45363</v>
      </c>
      <c r="AQ51" s="11">
        <v>713.7</v>
      </c>
      <c r="AR51" s="2"/>
      <c r="AS51" s="2"/>
      <c r="AT51" s="2"/>
      <c r="AU51" s="11">
        <f t="shared" si="11"/>
        <v>713.7</v>
      </c>
      <c r="AV51" s="2"/>
      <c r="AW51" s="5">
        <f t="shared" si="19"/>
        <v>-6.2853758149607527E-3</v>
      </c>
      <c r="AX51" s="13">
        <v>45363</v>
      </c>
      <c r="AY51" s="2">
        <v>34.6</v>
      </c>
      <c r="AZ51" s="2"/>
      <c r="BA51" s="2"/>
      <c r="BB51" s="2"/>
      <c r="BC51" s="2">
        <f t="shared" si="12"/>
        <v>34.6</v>
      </c>
      <c r="BD51" s="2"/>
      <c r="BE51" s="5">
        <f t="shared" si="20"/>
        <v>-1.7192400540372875E-2</v>
      </c>
      <c r="BF51" s="13">
        <v>45363</v>
      </c>
      <c r="BG51" s="2">
        <v>150.19999999999999</v>
      </c>
      <c r="BH51" s="2"/>
      <c r="BI51" s="2"/>
      <c r="BJ51" s="2"/>
      <c r="BK51" s="2">
        <f t="shared" si="13"/>
        <v>150.19999999999999</v>
      </c>
      <c r="BL51" s="2"/>
      <c r="BM51" s="5">
        <f t="shared" si="22"/>
        <v>1.332445233778473E-3</v>
      </c>
    </row>
    <row r="52" spans="1:65" ht="15.75" customHeight="1" x14ac:dyDescent="0.35">
      <c r="A52" s="675"/>
      <c r="B52" s="13">
        <v>45364</v>
      </c>
      <c r="C52" s="2">
        <v>12.5</v>
      </c>
      <c r="D52" s="2"/>
      <c r="E52" s="2"/>
      <c r="F52" s="2"/>
      <c r="G52" s="11">
        <f t="shared" si="14"/>
        <v>12.5</v>
      </c>
      <c r="H52" s="2"/>
      <c r="I52" s="5">
        <f t="shared" si="21"/>
        <v>0</v>
      </c>
      <c r="J52" s="13">
        <v>45364</v>
      </c>
      <c r="K52" s="2">
        <v>37.5</v>
      </c>
      <c r="L52" s="2"/>
      <c r="M52" s="2"/>
      <c r="N52" s="2"/>
      <c r="O52" s="11">
        <f t="shared" si="7"/>
        <v>37.5</v>
      </c>
      <c r="P52" s="2"/>
      <c r="Q52" s="5">
        <f t="shared" si="15"/>
        <v>-1.8494582636164415E-2</v>
      </c>
      <c r="R52" s="13">
        <v>45364</v>
      </c>
      <c r="S52" s="2">
        <v>241.2</v>
      </c>
      <c r="T52" s="2"/>
      <c r="U52" s="2"/>
      <c r="V52" s="2"/>
      <c r="W52" s="11">
        <f t="shared" si="8"/>
        <v>241.2</v>
      </c>
      <c r="X52" s="2"/>
      <c r="Y52" s="5">
        <f t="shared" si="16"/>
        <v>-1.5223499105091735E-2</v>
      </c>
      <c r="Z52" s="13">
        <v>45364</v>
      </c>
      <c r="AA52" s="2">
        <v>990</v>
      </c>
      <c r="AB52" s="2"/>
      <c r="AC52" s="2"/>
      <c r="AD52" s="2"/>
      <c r="AE52" s="2">
        <f t="shared" si="9"/>
        <v>990</v>
      </c>
      <c r="AF52" s="2"/>
      <c r="AG52" s="5">
        <f t="shared" si="17"/>
        <v>8.3173215046835804E-3</v>
      </c>
      <c r="AH52" s="13">
        <v>45364</v>
      </c>
      <c r="AI52" s="2">
        <v>887.6</v>
      </c>
      <c r="AJ52" s="2"/>
      <c r="AK52" s="2"/>
      <c r="AL52" s="2"/>
      <c r="AM52" s="2">
        <f t="shared" si="10"/>
        <v>887.6</v>
      </c>
      <c r="AN52" s="2"/>
      <c r="AO52" s="5">
        <f t="shared" si="18"/>
        <v>-9.9771019867486571E-3</v>
      </c>
      <c r="AP52" s="13">
        <v>45364</v>
      </c>
      <c r="AQ52" s="11">
        <v>718.4</v>
      </c>
      <c r="AR52" s="2"/>
      <c r="AS52" s="2"/>
      <c r="AT52" s="2"/>
      <c r="AU52" s="11">
        <f t="shared" si="11"/>
        <v>718.4</v>
      </c>
      <c r="AV52" s="2"/>
      <c r="AW52" s="5">
        <f t="shared" si="19"/>
        <v>6.5638110109681761E-3</v>
      </c>
      <c r="AX52" s="13">
        <v>45364</v>
      </c>
      <c r="AY52" s="2">
        <v>34.200000000000003</v>
      </c>
      <c r="AZ52" s="2"/>
      <c r="BA52" s="2"/>
      <c r="BB52" s="2"/>
      <c r="BC52" s="2">
        <f t="shared" si="12"/>
        <v>34.200000000000003</v>
      </c>
      <c r="BD52" s="2"/>
      <c r="BE52" s="5">
        <f t="shared" si="20"/>
        <v>-1.1628037995119099E-2</v>
      </c>
      <c r="BF52" s="13">
        <v>45364</v>
      </c>
      <c r="BG52" s="2">
        <v>149.6</v>
      </c>
      <c r="BH52" s="2"/>
      <c r="BI52" s="2"/>
      <c r="BJ52" s="2"/>
      <c r="BK52" s="2">
        <f t="shared" si="13"/>
        <v>149.6</v>
      </c>
      <c r="BL52" s="2"/>
      <c r="BM52" s="5">
        <f t="shared" si="22"/>
        <v>-4.0026737896574445E-3</v>
      </c>
    </row>
    <row r="53" spans="1:65" ht="15.75" customHeight="1" x14ac:dyDescent="0.35">
      <c r="A53" s="675"/>
      <c r="B53" s="13">
        <v>45365</v>
      </c>
      <c r="C53" s="2">
        <v>12.5</v>
      </c>
      <c r="D53" s="2"/>
      <c r="E53" s="2"/>
      <c r="F53" s="2"/>
      <c r="G53" s="11">
        <f t="shared" si="14"/>
        <v>12.5</v>
      </c>
      <c r="H53" s="2"/>
      <c r="I53" s="5">
        <f t="shared" si="21"/>
        <v>0</v>
      </c>
      <c r="J53" s="13">
        <v>45365</v>
      </c>
      <c r="K53" s="2">
        <v>37.1</v>
      </c>
      <c r="L53" s="2"/>
      <c r="M53" s="2"/>
      <c r="N53" s="2"/>
      <c r="O53" s="11">
        <f t="shared" si="7"/>
        <v>37.1</v>
      </c>
      <c r="P53" s="2"/>
      <c r="Q53" s="5">
        <f t="shared" si="15"/>
        <v>-1.0723963362975611E-2</v>
      </c>
      <c r="R53" s="13">
        <v>45365</v>
      </c>
      <c r="S53" s="2">
        <v>243.3</v>
      </c>
      <c r="T53" s="2"/>
      <c r="U53" s="2"/>
      <c r="V53" s="2"/>
      <c r="W53" s="11">
        <f t="shared" si="8"/>
        <v>243.3</v>
      </c>
      <c r="X53" s="2"/>
      <c r="Y53" s="5">
        <f t="shared" si="16"/>
        <v>8.6687849364467055E-3</v>
      </c>
      <c r="Z53" s="13">
        <v>45365</v>
      </c>
      <c r="AA53" s="2">
        <v>989.2</v>
      </c>
      <c r="AB53" s="2"/>
      <c r="AC53" s="2"/>
      <c r="AD53" s="2"/>
      <c r="AE53" s="2">
        <f t="shared" si="9"/>
        <v>989.2</v>
      </c>
      <c r="AF53" s="2"/>
      <c r="AG53" s="5">
        <f t="shared" si="17"/>
        <v>-8.0840748137447633E-4</v>
      </c>
      <c r="AH53" s="13">
        <v>45365</v>
      </c>
      <c r="AI53" s="2">
        <v>877.2</v>
      </c>
      <c r="AJ53" s="2"/>
      <c r="AK53" s="2"/>
      <c r="AL53" s="2"/>
      <c r="AM53" s="2">
        <f t="shared" si="10"/>
        <v>877.2</v>
      </c>
      <c r="AN53" s="2"/>
      <c r="AO53" s="5">
        <f t="shared" si="18"/>
        <v>-1.1786174514705716E-2</v>
      </c>
      <c r="AP53" s="13">
        <v>45365</v>
      </c>
      <c r="AQ53" s="11">
        <v>718.2</v>
      </c>
      <c r="AR53" s="2"/>
      <c r="AS53" s="2"/>
      <c r="AT53" s="2"/>
      <c r="AU53" s="11">
        <f t="shared" si="11"/>
        <v>718.2</v>
      </c>
      <c r="AV53" s="2"/>
      <c r="AW53" s="5">
        <f t="shared" si="19"/>
        <v>-2.7843519600726619E-4</v>
      </c>
      <c r="AX53" s="13">
        <v>45365</v>
      </c>
      <c r="AY53" s="2">
        <v>34.1</v>
      </c>
      <c r="AZ53" s="2"/>
      <c r="BA53" s="2"/>
      <c r="BB53" s="2"/>
      <c r="BC53" s="2">
        <f t="shared" si="12"/>
        <v>34.1</v>
      </c>
      <c r="BD53" s="2"/>
      <c r="BE53" s="5">
        <f t="shared" si="20"/>
        <v>-2.9282597790884456E-3</v>
      </c>
      <c r="BF53" s="13">
        <v>45365</v>
      </c>
      <c r="BG53" s="2">
        <v>150.1</v>
      </c>
      <c r="BH53" s="2"/>
      <c r="BI53" s="2"/>
      <c r="BJ53" s="2"/>
      <c r="BK53" s="2">
        <f t="shared" si="13"/>
        <v>150.1</v>
      </c>
      <c r="BL53" s="2"/>
      <c r="BM53" s="5">
        <f t="shared" si="22"/>
        <v>3.3366730990394703E-3</v>
      </c>
    </row>
    <row r="54" spans="1:65" ht="15.75" customHeight="1" x14ac:dyDescent="0.35">
      <c r="A54" s="675"/>
      <c r="B54" s="13">
        <v>45369</v>
      </c>
      <c r="C54" s="2">
        <v>12.1</v>
      </c>
      <c r="D54" s="2"/>
      <c r="E54" s="2"/>
      <c r="F54" s="2"/>
      <c r="G54" s="11">
        <f t="shared" si="14"/>
        <v>12.1</v>
      </c>
      <c r="H54" s="2"/>
      <c r="I54" s="5">
        <f t="shared" si="21"/>
        <v>-3.2523191705560062E-2</v>
      </c>
      <c r="J54" s="13">
        <v>45369</v>
      </c>
      <c r="K54" s="2">
        <v>36</v>
      </c>
      <c r="L54" s="2"/>
      <c r="M54" s="2"/>
      <c r="N54" s="2"/>
      <c r="O54" s="11">
        <f t="shared" si="7"/>
        <v>36</v>
      </c>
      <c r="P54" s="2"/>
      <c r="Q54" s="5">
        <f t="shared" si="15"/>
        <v>-3.0098031157279527E-2</v>
      </c>
      <c r="R54" s="13">
        <v>45369</v>
      </c>
      <c r="S54" s="2">
        <v>243.5</v>
      </c>
      <c r="T54" s="2"/>
      <c r="U54" s="2"/>
      <c r="V54" s="2"/>
      <c r="W54" s="11">
        <f t="shared" si="8"/>
        <v>243.5</v>
      </c>
      <c r="X54" s="2"/>
      <c r="Y54" s="5">
        <f t="shared" si="16"/>
        <v>8.2169273316760069E-4</v>
      </c>
      <c r="Z54" s="13">
        <v>45369</v>
      </c>
      <c r="AA54" s="2">
        <v>985</v>
      </c>
      <c r="AB54" s="2"/>
      <c r="AC54" s="2"/>
      <c r="AD54" s="2"/>
      <c r="AE54" s="2">
        <f t="shared" si="9"/>
        <v>985</v>
      </c>
      <c r="AF54" s="2"/>
      <c r="AG54" s="5">
        <f t="shared" si="17"/>
        <v>-4.2548944751723185E-3</v>
      </c>
      <c r="AH54" s="13">
        <v>45369</v>
      </c>
      <c r="AI54" s="2">
        <v>863.5</v>
      </c>
      <c r="AJ54" s="2"/>
      <c r="AK54" s="2"/>
      <c r="AL54" s="2"/>
      <c r="AM54" s="2">
        <f t="shared" si="10"/>
        <v>863.5</v>
      </c>
      <c r="AN54" s="2"/>
      <c r="AO54" s="5">
        <f t="shared" si="18"/>
        <v>-1.5741118956999926E-2</v>
      </c>
      <c r="AP54" s="13">
        <v>45369</v>
      </c>
      <c r="AQ54" s="11">
        <v>709.7</v>
      </c>
      <c r="AR54" s="2"/>
      <c r="AS54" s="2"/>
      <c r="AT54" s="2"/>
      <c r="AU54" s="11">
        <f t="shared" si="11"/>
        <v>709.7</v>
      </c>
      <c r="AV54" s="2"/>
      <c r="AW54" s="5">
        <f t="shared" si="19"/>
        <v>-1.1905736261045205E-2</v>
      </c>
      <c r="AX54" s="13">
        <v>45369</v>
      </c>
      <c r="AY54" s="2">
        <v>33.299999999999997</v>
      </c>
      <c r="AZ54" s="2"/>
      <c r="BA54" s="2"/>
      <c r="BB54" s="2"/>
      <c r="BC54" s="2">
        <f t="shared" si="12"/>
        <v>33.299999999999997</v>
      </c>
      <c r="BD54" s="2"/>
      <c r="BE54" s="5">
        <f t="shared" si="20"/>
        <v>-2.3739987303073057E-2</v>
      </c>
      <c r="BF54" s="13">
        <v>45369</v>
      </c>
      <c r="BG54" s="2">
        <v>148.5</v>
      </c>
      <c r="BH54" s="2"/>
      <c r="BI54" s="2"/>
      <c r="BJ54" s="2"/>
      <c r="BK54" s="2">
        <f t="shared" si="13"/>
        <v>148.5</v>
      </c>
      <c r="BL54" s="2"/>
      <c r="BM54" s="5">
        <f t="shared" si="22"/>
        <v>-1.0716780396661912E-2</v>
      </c>
    </row>
    <row r="55" spans="1:65" ht="15.75" customHeight="1" x14ac:dyDescent="0.35">
      <c r="A55" s="675"/>
      <c r="B55" s="13">
        <v>45370</v>
      </c>
      <c r="C55" s="2">
        <v>11.8</v>
      </c>
      <c r="D55" s="2"/>
      <c r="E55" s="2"/>
      <c r="F55" s="2"/>
      <c r="G55" s="11">
        <f t="shared" si="14"/>
        <v>11.8</v>
      </c>
      <c r="H55" s="2"/>
      <c r="I55" s="5">
        <f t="shared" si="21"/>
        <v>-2.5105921131076243E-2</v>
      </c>
      <c r="J55" s="13">
        <v>45370</v>
      </c>
      <c r="K55" s="2">
        <v>34</v>
      </c>
      <c r="L55" s="2"/>
      <c r="M55" s="2"/>
      <c r="N55" s="2"/>
      <c r="O55" s="11">
        <f t="shared" si="7"/>
        <v>34</v>
      </c>
      <c r="P55" s="2"/>
      <c r="Q55" s="5">
        <f t="shared" si="15"/>
        <v>-5.7158413839948637E-2</v>
      </c>
      <c r="R55" s="13">
        <v>45370</v>
      </c>
      <c r="S55" s="2">
        <v>242.5</v>
      </c>
      <c r="T55" s="2"/>
      <c r="U55" s="2"/>
      <c r="V55" s="2"/>
      <c r="W55" s="11">
        <f t="shared" si="8"/>
        <v>242.5</v>
      </c>
      <c r="X55" s="2"/>
      <c r="Y55" s="5">
        <f t="shared" si="16"/>
        <v>-4.1152321451065439E-3</v>
      </c>
      <c r="Z55" s="13">
        <v>45370</v>
      </c>
      <c r="AA55" s="2">
        <v>983</v>
      </c>
      <c r="AB55" s="2"/>
      <c r="AC55" s="2"/>
      <c r="AD55" s="2"/>
      <c r="AE55" s="2">
        <f t="shared" si="9"/>
        <v>983</v>
      </c>
      <c r="AF55" s="2"/>
      <c r="AG55" s="5">
        <f t="shared" si="17"/>
        <v>-2.0325210249223578E-3</v>
      </c>
      <c r="AH55" s="13">
        <v>45370</v>
      </c>
      <c r="AI55" s="2">
        <v>851.2</v>
      </c>
      <c r="AJ55" s="2"/>
      <c r="AK55" s="2"/>
      <c r="AL55" s="2"/>
      <c r="AM55" s="2">
        <f t="shared" si="10"/>
        <v>851.2</v>
      </c>
      <c r="AN55" s="2"/>
      <c r="AO55" s="5">
        <f t="shared" si="18"/>
        <v>-1.434677899935332E-2</v>
      </c>
      <c r="AP55" s="13">
        <v>45370</v>
      </c>
      <c r="AQ55" s="11">
        <v>708.3</v>
      </c>
      <c r="AR55" s="2"/>
      <c r="AS55" s="2"/>
      <c r="AT55" s="2"/>
      <c r="AU55" s="11">
        <f t="shared" si="11"/>
        <v>708.3</v>
      </c>
      <c r="AV55" s="2"/>
      <c r="AW55" s="5">
        <f t="shared" si="19"/>
        <v>-1.9746127713603846E-3</v>
      </c>
      <c r="AX55" s="13">
        <v>45370</v>
      </c>
      <c r="AY55" s="2">
        <v>32</v>
      </c>
      <c r="AZ55" s="2"/>
      <c r="BA55" s="2"/>
      <c r="BB55" s="2"/>
      <c r="BC55" s="2">
        <f t="shared" si="12"/>
        <v>32</v>
      </c>
      <c r="BD55" s="2"/>
      <c r="BE55" s="5">
        <f t="shared" si="20"/>
        <v>-3.982149418667149E-2</v>
      </c>
      <c r="BF55" s="13">
        <v>45370</v>
      </c>
      <c r="BG55" s="2">
        <v>147.80000000000001</v>
      </c>
      <c r="BH55" s="2"/>
      <c r="BI55" s="2"/>
      <c r="BJ55" s="2"/>
      <c r="BK55" s="2">
        <f t="shared" si="13"/>
        <v>147.80000000000001</v>
      </c>
      <c r="BL55" s="2"/>
      <c r="BM55" s="5">
        <f t="shared" si="22"/>
        <v>-4.7249497286528655E-3</v>
      </c>
    </row>
    <row r="56" spans="1:65" ht="15.75" customHeight="1" x14ac:dyDescent="0.35">
      <c r="A56" s="675"/>
      <c r="B56" s="13">
        <v>45371</v>
      </c>
      <c r="C56" s="2">
        <v>12.1</v>
      </c>
      <c r="D56" s="2"/>
      <c r="E56" s="2"/>
      <c r="F56" s="2"/>
      <c r="G56" s="11">
        <f t="shared" si="14"/>
        <v>12.1</v>
      </c>
      <c r="H56" s="2"/>
      <c r="I56" s="5">
        <f t="shared" si="21"/>
        <v>2.5105921131076261E-2</v>
      </c>
      <c r="J56" s="13">
        <v>45371</v>
      </c>
      <c r="K56" s="2">
        <v>34.4</v>
      </c>
      <c r="L56" s="2"/>
      <c r="M56" s="2"/>
      <c r="N56" s="2"/>
      <c r="O56" s="11">
        <f t="shared" si="7"/>
        <v>34.4</v>
      </c>
      <c r="P56" s="2"/>
      <c r="Q56" s="5">
        <f t="shared" si="15"/>
        <v>1.1696039763191236E-2</v>
      </c>
      <c r="R56" s="13">
        <v>45371</v>
      </c>
      <c r="S56" s="2">
        <v>240.7</v>
      </c>
      <c r="T56" s="2"/>
      <c r="U56" s="2"/>
      <c r="V56" s="2"/>
      <c r="W56" s="11">
        <f t="shared" si="8"/>
        <v>240.7</v>
      </c>
      <c r="X56" s="2"/>
      <c r="Y56" s="5">
        <f t="shared" si="16"/>
        <v>-7.4503655885116392E-3</v>
      </c>
      <c r="Z56" s="13">
        <v>45371</v>
      </c>
      <c r="AA56" s="2">
        <v>985.1</v>
      </c>
      <c r="AB56" s="2"/>
      <c r="AC56" s="2"/>
      <c r="AD56" s="2"/>
      <c r="AE56" s="2">
        <f t="shared" si="9"/>
        <v>985.1</v>
      </c>
      <c r="AF56" s="2"/>
      <c r="AG56" s="5">
        <f t="shared" si="17"/>
        <v>2.1340387144669314E-3</v>
      </c>
      <c r="AH56" s="13">
        <v>45371</v>
      </c>
      <c r="AI56" s="2">
        <v>840.8</v>
      </c>
      <c r="AJ56" s="2"/>
      <c r="AK56" s="2"/>
      <c r="AL56" s="2"/>
      <c r="AM56" s="2">
        <f t="shared" si="10"/>
        <v>840.8</v>
      </c>
      <c r="AN56" s="2"/>
      <c r="AO56" s="5">
        <f t="shared" si="18"/>
        <v>-1.229329902463863E-2</v>
      </c>
      <c r="AP56" s="13">
        <v>45371</v>
      </c>
      <c r="AQ56" s="11">
        <v>709.6</v>
      </c>
      <c r="AR56" s="2"/>
      <c r="AS56" s="2"/>
      <c r="AT56" s="2"/>
      <c r="AU56" s="11">
        <f t="shared" si="11"/>
        <v>709.6</v>
      </c>
      <c r="AV56" s="2"/>
      <c r="AW56" s="5">
        <f t="shared" si="19"/>
        <v>1.8336982357928645E-3</v>
      </c>
      <c r="AX56" s="13">
        <v>45371</v>
      </c>
      <c r="AY56" s="2">
        <v>33.4</v>
      </c>
      <c r="AZ56" s="2"/>
      <c r="BA56" s="2"/>
      <c r="BB56" s="2"/>
      <c r="BC56" s="2">
        <f t="shared" si="12"/>
        <v>33.4</v>
      </c>
      <c r="BD56" s="2"/>
      <c r="BE56" s="5">
        <f t="shared" si="20"/>
        <v>4.2819997182928143E-2</v>
      </c>
      <c r="BF56" s="13">
        <v>45371</v>
      </c>
      <c r="BG56" s="2">
        <v>147.9</v>
      </c>
      <c r="BH56" s="2"/>
      <c r="BI56" s="2"/>
      <c r="BJ56" s="2"/>
      <c r="BK56" s="2">
        <f t="shared" si="13"/>
        <v>147.9</v>
      </c>
      <c r="BL56" s="2"/>
      <c r="BM56" s="5">
        <f t="shared" si="22"/>
        <v>6.7636120265276056E-4</v>
      </c>
    </row>
    <row r="57" spans="1:65" ht="15.75" customHeight="1" x14ac:dyDescent="0.35">
      <c r="A57" s="675"/>
      <c r="B57" s="13">
        <v>45372</v>
      </c>
      <c r="C57" s="2">
        <v>12</v>
      </c>
      <c r="D57" s="2"/>
      <c r="E57" s="2"/>
      <c r="F57" s="2"/>
      <c r="G57" s="11">
        <f t="shared" si="14"/>
        <v>12</v>
      </c>
      <c r="H57" s="2"/>
      <c r="I57" s="5">
        <f t="shared" si="21"/>
        <v>-8.2988028146950658E-3</v>
      </c>
      <c r="J57" s="13">
        <v>45372</v>
      </c>
      <c r="K57" s="2">
        <v>36.700000000000003</v>
      </c>
      <c r="L57" s="2"/>
      <c r="M57" s="2"/>
      <c r="N57" s="2"/>
      <c r="O57" s="11">
        <f t="shared" si="7"/>
        <v>36.700000000000003</v>
      </c>
      <c r="P57" s="2"/>
      <c r="Q57" s="5">
        <f t="shared" si="15"/>
        <v>6.4720190681172032E-2</v>
      </c>
      <c r="R57" s="13">
        <v>45372</v>
      </c>
      <c r="S57" s="2">
        <v>240.6</v>
      </c>
      <c r="T57" s="2"/>
      <c r="U57" s="2"/>
      <c r="V57" s="2"/>
      <c r="W57" s="11">
        <f t="shared" si="8"/>
        <v>240.6</v>
      </c>
      <c r="X57" s="2"/>
      <c r="Y57" s="5">
        <f t="shared" si="16"/>
        <v>-4.1554124844769255E-4</v>
      </c>
      <c r="Z57" s="13">
        <v>45372</v>
      </c>
      <c r="AA57" s="2">
        <v>991</v>
      </c>
      <c r="AB57" s="2"/>
      <c r="AC57" s="2"/>
      <c r="AD57" s="2"/>
      <c r="AE57" s="2">
        <f t="shared" si="9"/>
        <v>991</v>
      </c>
      <c r="AF57" s="2"/>
      <c r="AG57" s="5">
        <f t="shared" si="17"/>
        <v>5.971375468354587E-3</v>
      </c>
      <c r="AH57" s="13">
        <v>45372</v>
      </c>
      <c r="AI57" s="2">
        <v>843.9</v>
      </c>
      <c r="AJ57" s="2"/>
      <c r="AK57" s="2"/>
      <c r="AL57" s="2"/>
      <c r="AM57" s="2">
        <f t="shared" si="10"/>
        <v>843.9</v>
      </c>
      <c r="AN57" s="2"/>
      <c r="AO57" s="5">
        <f t="shared" si="18"/>
        <v>3.6801846011795224E-3</v>
      </c>
      <c r="AP57" s="13">
        <v>45372</v>
      </c>
      <c r="AQ57" s="11">
        <v>713.5</v>
      </c>
      <c r="AR57" s="2"/>
      <c r="AS57" s="2"/>
      <c r="AT57" s="2"/>
      <c r="AU57" s="11">
        <f t="shared" si="11"/>
        <v>713.5</v>
      </c>
      <c r="AV57" s="2"/>
      <c r="AW57" s="5">
        <f t="shared" si="19"/>
        <v>5.4810059215214405E-3</v>
      </c>
      <c r="AX57" s="13">
        <v>45372</v>
      </c>
      <c r="AY57" s="2">
        <v>33.9</v>
      </c>
      <c r="AZ57" s="2"/>
      <c r="BA57" s="2"/>
      <c r="BB57" s="2"/>
      <c r="BC57" s="2">
        <f t="shared" si="12"/>
        <v>33.9</v>
      </c>
      <c r="BD57" s="2"/>
      <c r="BE57" s="5">
        <f t="shared" si="20"/>
        <v>1.4859114403749905E-2</v>
      </c>
      <c r="BF57" s="13">
        <v>45372</v>
      </c>
      <c r="BG57" s="2">
        <v>148.80000000000001</v>
      </c>
      <c r="BH57" s="2"/>
      <c r="BI57" s="2"/>
      <c r="BJ57" s="2"/>
      <c r="BK57" s="2">
        <f t="shared" si="13"/>
        <v>148.80000000000001</v>
      </c>
      <c r="BL57" s="2"/>
      <c r="BM57" s="5">
        <f t="shared" si="22"/>
        <v>6.066752682237362E-3</v>
      </c>
    </row>
    <row r="58" spans="1:65" ht="15.75" customHeight="1" x14ac:dyDescent="0.35">
      <c r="A58" s="675"/>
      <c r="B58" s="13">
        <v>45375</v>
      </c>
      <c r="C58" s="2">
        <v>11.9</v>
      </c>
      <c r="D58" s="2"/>
      <c r="E58" s="2"/>
      <c r="F58" s="2"/>
      <c r="G58" s="11">
        <f t="shared" si="14"/>
        <v>11.9</v>
      </c>
      <c r="H58" s="2"/>
      <c r="I58" s="5">
        <f t="shared" si="21"/>
        <v>-8.3682496705165792E-3</v>
      </c>
      <c r="J58" s="13">
        <v>45375</v>
      </c>
      <c r="K58" s="2">
        <v>36.299999999999997</v>
      </c>
      <c r="L58" s="2"/>
      <c r="M58" s="2"/>
      <c r="N58" s="2"/>
      <c r="O58" s="11">
        <f t="shared" si="7"/>
        <v>36.299999999999997</v>
      </c>
      <c r="P58" s="2"/>
      <c r="Q58" s="5">
        <f t="shared" si="15"/>
        <v>-1.0959013789719654E-2</v>
      </c>
      <c r="R58" s="13">
        <v>45375</v>
      </c>
      <c r="S58" s="2">
        <v>242.2</v>
      </c>
      <c r="T58" s="2"/>
      <c r="U58" s="2"/>
      <c r="V58" s="2"/>
      <c r="W58" s="11">
        <f t="shared" si="8"/>
        <v>242.2</v>
      </c>
      <c r="X58" s="2"/>
      <c r="Y58" s="5">
        <f t="shared" si="16"/>
        <v>6.628027578413331E-3</v>
      </c>
      <c r="Z58" s="13">
        <v>45375</v>
      </c>
      <c r="AA58" s="2">
        <v>1000.3</v>
      </c>
      <c r="AB58" s="2"/>
      <c r="AC58" s="2"/>
      <c r="AD58" s="2"/>
      <c r="AE58" s="2">
        <f t="shared" si="9"/>
        <v>1000.3</v>
      </c>
      <c r="AF58" s="2"/>
      <c r="AG58" s="5">
        <f t="shared" si="17"/>
        <v>9.3406996611469627E-3</v>
      </c>
      <c r="AH58" s="13">
        <v>45375</v>
      </c>
      <c r="AI58" s="2">
        <v>842.2</v>
      </c>
      <c r="AJ58" s="2"/>
      <c r="AK58" s="2"/>
      <c r="AL58" s="2"/>
      <c r="AM58" s="2">
        <f t="shared" si="10"/>
        <v>842.2</v>
      </c>
      <c r="AN58" s="2"/>
      <c r="AO58" s="5">
        <f t="shared" si="18"/>
        <v>-2.0164884360933735E-3</v>
      </c>
      <c r="AP58" s="13">
        <v>45375</v>
      </c>
      <c r="AQ58" s="11">
        <v>705.6</v>
      </c>
      <c r="AR58" s="2"/>
      <c r="AS58" s="2"/>
      <c r="AT58" s="2"/>
      <c r="AU58" s="11">
        <f t="shared" si="11"/>
        <v>705.6</v>
      </c>
      <c r="AV58" s="2"/>
      <c r="AW58" s="5">
        <f t="shared" si="19"/>
        <v>-1.1133932224309558E-2</v>
      </c>
      <c r="AX58" s="13">
        <v>45375</v>
      </c>
      <c r="AY58" s="2">
        <v>33.4</v>
      </c>
      <c r="AZ58" s="2"/>
      <c r="BA58" s="2"/>
      <c r="BB58" s="2"/>
      <c r="BC58" s="2">
        <f t="shared" si="12"/>
        <v>33.4</v>
      </c>
      <c r="BD58" s="2"/>
      <c r="BE58" s="5">
        <f t="shared" si="20"/>
        <v>-1.4859114403749828E-2</v>
      </c>
      <c r="BF58" s="13">
        <v>45375</v>
      </c>
      <c r="BG58" s="2">
        <v>149.9</v>
      </c>
      <c r="BH58" s="2"/>
      <c r="BI58" s="2"/>
      <c r="BJ58" s="2"/>
      <c r="BK58" s="2">
        <f t="shared" si="13"/>
        <v>149.9</v>
      </c>
      <c r="BL58" s="2"/>
      <c r="BM58" s="5">
        <f t="shared" si="22"/>
        <v>7.3652827095604676E-3</v>
      </c>
    </row>
    <row r="59" spans="1:65" ht="15.75" customHeight="1" x14ac:dyDescent="0.35">
      <c r="A59" s="675"/>
      <c r="B59" s="13">
        <v>45376</v>
      </c>
      <c r="C59" s="2">
        <v>11.7</v>
      </c>
      <c r="D59" s="2"/>
      <c r="E59" s="2"/>
      <c r="F59" s="2"/>
      <c r="G59" s="11">
        <f t="shared" si="14"/>
        <v>11.7</v>
      </c>
      <c r="H59" s="2"/>
      <c r="I59" s="5">
        <f t="shared" si="21"/>
        <v>-1.694955831377332E-2</v>
      </c>
      <c r="J59" s="13">
        <v>45376</v>
      </c>
      <c r="K59" s="2">
        <v>36.200000000000003</v>
      </c>
      <c r="L59" s="2"/>
      <c r="M59" s="2"/>
      <c r="N59" s="2"/>
      <c r="O59" s="11">
        <f t="shared" si="7"/>
        <v>36.200000000000003</v>
      </c>
      <c r="P59" s="2"/>
      <c r="Q59" s="5">
        <f t="shared" si="15"/>
        <v>-2.7586224390795284E-3</v>
      </c>
      <c r="R59" s="13">
        <v>45376</v>
      </c>
      <c r="S59" s="2">
        <v>241.6</v>
      </c>
      <c r="T59" s="2"/>
      <c r="U59" s="2"/>
      <c r="V59" s="2"/>
      <c r="W59" s="11">
        <f t="shared" si="8"/>
        <v>241.6</v>
      </c>
      <c r="X59" s="2"/>
      <c r="Y59" s="5">
        <f t="shared" si="16"/>
        <v>-2.4803650583319539E-3</v>
      </c>
      <c r="Z59" s="13">
        <v>45376</v>
      </c>
      <c r="AA59" s="2">
        <v>1000</v>
      </c>
      <c r="AB59" s="2"/>
      <c r="AC59" s="2"/>
      <c r="AD59" s="2"/>
      <c r="AE59" s="2">
        <f t="shared" si="9"/>
        <v>1000</v>
      </c>
      <c r="AF59" s="2"/>
      <c r="AG59" s="5">
        <f t="shared" si="17"/>
        <v>-2.9995500899788503E-4</v>
      </c>
      <c r="AH59" s="13">
        <v>45376</v>
      </c>
      <c r="AI59" s="2">
        <v>816.9</v>
      </c>
      <c r="AJ59" s="2"/>
      <c r="AK59" s="2"/>
      <c r="AL59" s="2"/>
      <c r="AM59" s="2">
        <f t="shared" si="10"/>
        <v>816.9</v>
      </c>
      <c r="AN59" s="2"/>
      <c r="AO59" s="5">
        <f t="shared" si="18"/>
        <v>-3.0500827380003887E-2</v>
      </c>
      <c r="AP59" s="13">
        <v>45376</v>
      </c>
      <c r="AQ59" s="11">
        <v>696.6</v>
      </c>
      <c r="AR59" s="2"/>
      <c r="AS59" s="2"/>
      <c r="AT59" s="2"/>
      <c r="AU59" s="11">
        <f t="shared" si="11"/>
        <v>696.6</v>
      </c>
      <c r="AV59" s="2"/>
      <c r="AW59" s="5">
        <f t="shared" si="19"/>
        <v>-1.2837146760680719E-2</v>
      </c>
      <c r="AX59" s="13">
        <v>45376</v>
      </c>
      <c r="AY59" s="2">
        <v>32.4</v>
      </c>
      <c r="AZ59" s="2"/>
      <c r="BA59" s="2"/>
      <c r="BB59" s="2"/>
      <c r="BC59" s="2">
        <f t="shared" si="12"/>
        <v>32.4</v>
      </c>
      <c r="BD59" s="2"/>
      <c r="BE59" s="5">
        <f t="shared" si="20"/>
        <v>-3.0397477184371045E-2</v>
      </c>
      <c r="BF59" s="13">
        <v>45376</v>
      </c>
      <c r="BG59" s="2">
        <v>149.9</v>
      </c>
      <c r="BH59" s="2"/>
      <c r="BI59" s="2"/>
      <c r="BJ59" s="2"/>
      <c r="BK59" s="2">
        <f t="shared" si="13"/>
        <v>149.9</v>
      </c>
      <c r="BL59" s="2"/>
      <c r="BM59" s="5">
        <f t="shared" si="22"/>
        <v>0</v>
      </c>
    </row>
    <row r="60" spans="1:65" ht="15.75" customHeight="1" x14ac:dyDescent="0.35">
      <c r="A60" s="675"/>
      <c r="B60" s="13">
        <v>45378</v>
      </c>
      <c r="C60" s="2">
        <v>11.4</v>
      </c>
      <c r="D60" s="2"/>
      <c r="E60" s="2"/>
      <c r="F60" s="2"/>
      <c r="G60" s="11">
        <f t="shared" si="14"/>
        <v>11.4</v>
      </c>
      <c r="H60" s="2"/>
      <c r="I60" s="5">
        <f t="shared" si="21"/>
        <v>-2.5975486403260563E-2</v>
      </c>
      <c r="J60" s="13">
        <v>45378</v>
      </c>
      <c r="K60" s="2">
        <v>35.6</v>
      </c>
      <c r="L60" s="2"/>
      <c r="M60" s="2"/>
      <c r="N60" s="2"/>
      <c r="O60" s="11">
        <f t="shared" si="7"/>
        <v>35.6</v>
      </c>
      <c r="P60" s="2"/>
      <c r="Q60" s="5">
        <f t="shared" si="15"/>
        <v>-1.6713480973740667E-2</v>
      </c>
      <c r="R60" s="13">
        <v>45378</v>
      </c>
      <c r="S60" s="2">
        <v>238.7</v>
      </c>
      <c r="T60" s="2"/>
      <c r="U60" s="2"/>
      <c r="V60" s="2"/>
      <c r="W60" s="11">
        <f t="shared" si="8"/>
        <v>238.7</v>
      </c>
      <c r="X60" s="2"/>
      <c r="Y60" s="5">
        <f t="shared" si="16"/>
        <v>-1.2075932715875462E-2</v>
      </c>
      <c r="Z60" s="13">
        <v>45378</v>
      </c>
      <c r="AA60" s="2">
        <v>980.2</v>
      </c>
      <c r="AB60" s="2"/>
      <c r="AC60" s="2"/>
      <c r="AD60" s="2"/>
      <c r="AE60" s="2">
        <f t="shared" si="9"/>
        <v>980.2</v>
      </c>
      <c r="AF60" s="2"/>
      <c r="AG60" s="5">
        <f t="shared" si="17"/>
        <v>-1.9998646506689855E-2</v>
      </c>
      <c r="AH60" s="13">
        <v>45378</v>
      </c>
      <c r="AI60" s="2">
        <v>795.2</v>
      </c>
      <c r="AJ60" s="2"/>
      <c r="AK60" s="2"/>
      <c r="AL60" s="2"/>
      <c r="AM60" s="2">
        <f t="shared" si="10"/>
        <v>795.2</v>
      </c>
      <c r="AN60" s="2"/>
      <c r="AO60" s="5">
        <f t="shared" si="18"/>
        <v>-2.6923033005459292E-2</v>
      </c>
      <c r="AP60" s="13">
        <v>45378</v>
      </c>
      <c r="AQ60" s="11">
        <v>687.9</v>
      </c>
      <c r="AR60" s="2"/>
      <c r="AS60" s="2"/>
      <c r="AT60" s="2"/>
      <c r="AU60" s="11">
        <f t="shared" si="11"/>
        <v>687.9</v>
      </c>
      <c r="AV60" s="2"/>
      <c r="AW60" s="5">
        <f t="shared" si="19"/>
        <v>-1.2567879399932452E-2</v>
      </c>
      <c r="AX60" s="13">
        <v>45378</v>
      </c>
      <c r="AY60" s="2">
        <v>31.1</v>
      </c>
      <c r="AZ60" s="2"/>
      <c r="BA60" s="2"/>
      <c r="BB60" s="2"/>
      <c r="BC60" s="2">
        <f t="shared" si="12"/>
        <v>31.1</v>
      </c>
      <c r="BD60" s="2"/>
      <c r="BE60" s="5">
        <f t="shared" si="20"/>
        <v>-4.0950603613095202E-2</v>
      </c>
      <c r="BF60" s="13">
        <v>45378</v>
      </c>
      <c r="BG60" s="2">
        <v>150</v>
      </c>
      <c r="BH60" s="2"/>
      <c r="BI60" s="2"/>
      <c r="BJ60" s="2"/>
      <c r="BK60" s="2">
        <f t="shared" si="13"/>
        <v>150</v>
      </c>
      <c r="BL60" s="2"/>
      <c r="BM60" s="5">
        <f t="shared" si="22"/>
        <v>6.6688898770377427E-4</v>
      </c>
    </row>
    <row r="61" spans="1:65" ht="15.75" customHeight="1" x14ac:dyDescent="0.35">
      <c r="A61" s="675"/>
      <c r="B61" s="13">
        <v>45379</v>
      </c>
      <c r="C61" s="2">
        <v>11.9</v>
      </c>
      <c r="D61" s="2"/>
      <c r="E61" s="2"/>
      <c r="F61" s="2"/>
      <c r="G61" s="11">
        <f t="shared" si="14"/>
        <v>11.9</v>
      </c>
      <c r="H61" s="2"/>
      <c r="I61" s="5">
        <f t="shared" si="21"/>
        <v>4.2925044717033844E-2</v>
      </c>
      <c r="J61" s="13">
        <v>45379</v>
      </c>
      <c r="K61" s="2">
        <v>36</v>
      </c>
      <c r="L61" s="2"/>
      <c r="M61" s="2"/>
      <c r="N61" s="2"/>
      <c r="O61" s="11">
        <f t="shared" si="7"/>
        <v>36</v>
      </c>
      <c r="P61" s="2"/>
      <c r="Q61" s="5">
        <f t="shared" si="15"/>
        <v>1.1173300598125255E-2</v>
      </c>
      <c r="R61" s="13">
        <v>45379</v>
      </c>
      <c r="S61" s="2">
        <v>235.8</v>
      </c>
      <c r="T61" s="2"/>
      <c r="U61" s="2"/>
      <c r="V61" s="2"/>
      <c r="W61" s="11">
        <f t="shared" si="8"/>
        <v>235.8</v>
      </c>
      <c r="X61" s="2"/>
      <c r="Y61" s="5">
        <f t="shared" si="16"/>
        <v>-1.2223545241513816E-2</v>
      </c>
      <c r="Z61" s="13">
        <v>45379</v>
      </c>
      <c r="AA61" s="2">
        <v>980.7</v>
      </c>
      <c r="AB61" s="2"/>
      <c r="AC61" s="2"/>
      <c r="AD61" s="2"/>
      <c r="AE61" s="2">
        <f t="shared" si="9"/>
        <v>980.7</v>
      </c>
      <c r="AF61" s="2"/>
      <c r="AG61" s="5">
        <f t="shared" si="17"/>
        <v>5.0996992282744454E-4</v>
      </c>
      <c r="AH61" s="13">
        <v>45379</v>
      </c>
      <c r="AI61" s="2">
        <v>766.8</v>
      </c>
      <c r="AJ61" s="2"/>
      <c r="AK61" s="2"/>
      <c r="AL61" s="2"/>
      <c r="AM61" s="2">
        <f t="shared" si="10"/>
        <v>766.8</v>
      </c>
      <c r="AN61" s="2"/>
      <c r="AO61" s="5">
        <f t="shared" si="18"/>
        <v>-3.6367644170874951E-2</v>
      </c>
      <c r="AP61" s="13">
        <v>45379</v>
      </c>
      <c r="AQ61" s="11">
        <v>655.8</v>
      </c>
      <c r="AR61" s="2"/>
      <c r="AS61" s="2"/>
      <c r="AT61" s="2"/>
      <c r="AU61" s="11">
        <f t="shared" si="11"/>
        <v>655.8</v>
      </c>
      <c r="AV61" s="2"/>
      <c r="AW61" s="5">
        <f t="shared" si="19"/>
        <v>-4.7787614121420664E-2</v>
      </c>
      <c r="AX61" s="13">
        <v>45379</v>
      </c>
      <c r="AY61" s="2">
        <v>31.8</v>
      </c>
      <c r="AZ61" s="2"/>
      <c r="BA61" s="2"/>
      <c r="BB61" s="2"/>
      <c r="BC61" s="2">
        <f t="shared" si="12"/>
        <v>31.8</v>
      </c>
      <c r="BD61" s="2"/>
      <c r="BE61" s="5">
        <f t="shared" si="20"/>
        <v>2.2258470600942697E-2</v>
      </c>
      <c r="BF61" s="13">
        <v>45379</v>
      </c>
      <c r="BG61" s="2">
        <v>149.6</v>
      </c>
      <c r="BH61" s="2"/>
      <c r="BI61" s="2"/>
      <c r="BJ61" s="2"/>
      <c r="BK61" s="2">
        <f t="shared" si="13"/>
        <v>149.6</v>
      </c>
      <c r="BL61" s="2"/>
      <c r="BM61" s="5">
        <f t="shared" si="22"/>
        <v>-2.6702285558789208E-3</v>
      </c>
    </row>
    <row r="62" spans="1:65" ht="15.75" customHeight="1" x14ac:dyDescent="0.35">
      <c r="A62" s="675"/>
      <c r="B62" s="13">
        <v>45382</v>
      </c>
      <c r="C62" s="2">
        <v>12</v>
      </c>
      <c r="D62" s="2"/>
      <c r="E62" s="2"/>
      <c r="F62" s="2"/>
      <c r="G62" s="11">
        <f t="shared" si="14"/>
        <v>12</v>
      </c>
      <c r="H62" s="2"/>
      <c r="I62" s="5">
        <f t="shared" si="21"/>
        <v>8.3682496705165792E-3</v>
      </c>
      <c r="J62" s="13">
        <v>45382</v>
      </c>
      <c r="K62" s="2">
        <v>36.6</v>
      </c>
      <c r="L62" s="2"/>
      <c r="M62" s="2"/>
      <c r="N62" s="2"/>
      <c r="O62" s="11">
        <f t="shared" si="7"/>
        <v>36.6</v>
      </c>
      <c r="P62" s="2"/>
      <c r="Q62" s="5">
        <f t="shared" si="15"/>
        <v>1.6529301951210506E-2</v>
      </c>
      <c r="R62" s="13">
        <v>45382</v>
      </c>
      <c r="S62" s="2">
        <v>237.8</v>
      </c>
      <c r="T62" s="2"/>
      <c r="U62" s="2"/>
      <c r="V62" s="2"/>
      <c r="W62" s="11">
        <f t="shared" si="8"/>
        <v>237.8</v>
      </c>
      <c r="X62" s="2"/>
      <c r="Y62" s="5">
        <f t="shared" si="16"/>
        <v>8.4459961534108698E-3</v>
      </c>
      <c r="Z62" s="13">
        <v>45382</v>
      </c>
      <c r="AA62" s="2">
        <v>988.6</v>
      </c>
      <c r="AB62" s="2"/>
      <c r="AC62" s="2"/>
      <c r="AD62" s="2"/>
      <c r="AE62" s="2">
        <f t="shared" si="9"/>
        <v>988.6</v>
      </c>
      <c r="AF62" s="2"/>
      <c r="AG62" s="5">
        <f t="shared" si="17"/>
        <v>8.0231984745842214E-3</v>
      </c>
      <c r="AH62" s="13">
        <v>45382</v>
      </c>
      <c r="AI62" s="2">
        <v>776</v>
      </c>
      <c r="AJ62" s="2"/>
      <c r="AK62" s="2"/>
      <c r="AL62" s="2"/>
      <c r="AM62" s="2">
        <f t="shared" si="10"/>
        <v>776</v>
      </c>
      <c r="AN62" s="2"/>
      <c r="AO62" s="5">
        <f t="shared" si="18"/>
        <v>1.1926509011729345E-2</v>
      </c>
      <c r="AP62" s="13">
        <v>45382</v>
      </c>
      <c r="AQ62" s="11">
        <v>650</v>
      </c>
      <c r="AR62" s="2"/>
      <c r="AS62" s="2"/>
      <c r="AT62" s="2"/>
      <c r="AU62" s="11">
        <f t="shared" si="11"/>
        <v>650</v>
      </c>
      <c r="AV62" s="2"/>
      <c r="AW62" s="5">
        <f t="shared" si="19"/>
        <v>-8.883501520864992E-3</v>
      </c>
      <c r="AX62" s="13">
        <v>45382</v>
      </c>
      <c r="AY62" s="2">
        <v>32.6</v>
      </c>
      <c r="AZ62" s="2"/>
      <c r="BA62" s="2"/>
      <c r="BB62" s="2"/>
      <c r="BC62" s="2">
        <f t="shared" si="12"/>
        <v>32.6</v>
      </c>
      <c r="BD62" s="2"/>
      <c r="BE62" s="5">
        <f t="shared" si="20"/>
        <v>2.4845998586530804E-2</v>
      </c>
      <c r="BF62" s="13">
        <v>45382</v>
      </c>
      <c r="BG62" s="2">
        <v>152.1</v>
      </c>
      <c r="BH62" s="2"/>
      <c r="BI62" s="2"/>
      <c r="BJ62" s="2"/>
      <c r="BK62" s="2">
        <f t="shared" si="13"/>
        <v>152.1</v>
      </c>
      <c r="BL62" s="2"/>
      <c r="BM62" s="5">
        <f t="shared" si="22"/>
        <v>1.6573133724870206E-2</v>
      </c>
    </row>
    <row r="63" spans="1:65" ht="15.75" customHeight="1" x14ac:dyDescent="0.35">
      <c r="A63" s="675" t="s">
        <v>66</v>
      </c>
      <c r="B63" s="13">
        <v>45383</v>
      </c>
      <c r="C63" s="2">
        <v>11.7</v>
      </c>
      <c r="D63" s="2"/>
      <c r="E63" s="2"/>
      <c r="F63" s="2"/>
      <c r="G63" s="11">
        <f t="shared" si="14"/>
        <v>11.7</v>
      </c>
      <c r="H63" s="2"/>
      <c r="I63" s="5">
        <f t="shared" si="21"/>
        <v>-2.5317807984289897E-2</v>
      </c>
      <c r="J63" s="13">
        <v>45383</v>
      </c>
      <c r="K63" s="2">
        <v>36.700000000000003</v>
      </c>
      <c r="L63" s="2"/>
      <c r="M63" s="2"/>
      <c r="N63" s="2"/>
      <c r="O63" s="11">
        <f t="shared" si="7"/>
        <v>36.700000000000003</v>
      </c>
      <c r="P63" s="2"/>
      <c r="Q63" s="5">
        <f t="shared" si="15"/>
        <v>2.7285146532041358E-3</v>
      </c>
      <c r="R63" s="13">
        <v>45383</v>
      </c>
      <c r="S63" s="2">
        <v>236.9</v>
      </c>
      <c r="T63" s="2"/>
      <c r="U63" s="2"/>
      <c r="V63" s="2"/>
      <c r="W63" s="11">
        <f t="shared" si="8"/>
        <v>236.9</v>
      </c>
      <c r="X63" s="2"/>
      <c r="Y63" s="5">
        <f t="shared" si="16"/>
        <v>-3.7918730919417245E-3</v>
      </c>
      <c r="Z63" s="13">
        <v>45383</v>
      </c>
      <c r="AA63" s="2">
        <v>993.2</v>
      </c>
      <c r="AB63" s="2"/>
      <c r="AC63" s="2"/>
      <c r="AD63" s="2"/>
      <c r="AE63" s="2">
        <f t="shared" si="9"/>
        <v>993.2</v>
      </c>
      <c r="AF63" s="2"/>
      <c r="AG63" s="5">
        <f t="shared" si="17"/>
        <v>4.6422527611525641E-3</v>
      </c>
      <c r="AH63" s="13">
        <v>45383</v>
      </c>
      <c r="AI63" s="2">
        <v>748.7</v>
      </c>
      <c r="AJ63" s="2"/>
      <c r="AK63" s="2"/>
      <c r="AL63" s="2"/>
      <c r="AM63" s="2">
        <f t="shared" si="10"/>
        <v>748.7</v>
      </c>
      <c r="AN63" s="2"/>
      <c r="AO63" s="5">
        <f t="shared" si="18"/>
        <v>-3.5814150946579207E-2</v>
      </c>
      <c r="AP63" s="13">
        <v>45383</v>
      </c>
      <c r="AQ63" s="11">
        <v>649.79999999999995</v>
      </c>
      <c r="AR63" s="2"/>
      <c r="AS63" s="2"/>
      <c r="AT63" s="2"/>
      <c r="AU63" s="11">
        <f t="shared" si="11"/>
        <v>649.79999999999995</v>
      </c>
      <c r="AV63" s="2"/>
      <c r="AW63" s="5">
        <f t="shared" si="19"/>
        <v>-3.077396546829009E-4</v>
      </c>
      <c r="AX63" s="13">
        <v>45383</v>
      </c>
      <c r="AY63" s="2">
        <v>32.4</v>
      </c>
      <c r="AZ63" s="2"/>
      <c r="BA63" s="2"/>
      <c r="BB63" s="2"/>
      <c r="BC63" s="2">
        <f t="shared" si="12"/>
        <v>32.4</v>
      </c>
      <c r="BD63" s="2"/>
      <c r="BE63" s="5">
        <f t="shared" si="20"/>
        <v>-6.1538655743783354E-3</v>
      </c>
      <c r="BF63" s="13">
        <v>45383</v>
      </c>
      <c r="BG63" s="2">
        <v>152.9</v>
      </c>
      <c r="BH63" s="2"/>
      <c r="BI63" s="2"/>
      <c r="BJ63" s="2"/>
      <c r="BK63" s="2">
        <f t="shared" si="13"/>
        <v>152.9</v>
      </c>
      <c r="BL63" s="2"/>
      <c r="BM63" s="5">
        <f t="shared" si="22"/>
        <v>5.2459136697695467E-3</v>
      </c>
    </row>
    <row r="64" spans="1:65" ht="15.75" customHeight="1" x14ac:dyDescent="0.35">
      <c r="A64" s="675"/>
      <c r="B64" s="13">
        <v>45384</v>
      </c>
      <c r="C64" s="2">
        <v>11.6</v>
      </c>
      <c r="D64" s="2"/>
      <c r="E64" s="2"/>
      <c r="F64" s="2"/>
      <c r="G64" s="11">
        <f t="shared" si="14"/>
        <v>11.6</v>
      </c>
      <c r="H64" s="2"/>
      <c r="I64" s="5">
        <f t="shared" si="21"/>
        <v>-8.5837436913914419E-3</v>
      </c>
      <c r="J64" s="13">
        <v>45384</v>
      </c>
      <c r="K64" s="2">
        <v>36.700000000000003</v>
      </c>
      <c r="L64" s="2"/>
      <c r="M64" s="2"/>
      <c r="N64" s="2"/>
      <c r="O64" s="11">
        <f t="shared" si="7"/>
        <v>36.700000000000003</v>
      </c>
      <c r="P64" s="2"/>
      <c r="Q64" s="5">
        <f t="shared" si="15"/>
        <v>0</v>
      </c>
      <c r="R64" s="13">
        <v>45384</v>
      </c>
      <c r="S64" s="2">
        <v>237.7</v>
      </c>
      <c r="T64" s="2"/>
      <c r="U64" s="2"/>
      <c r="V64" s="2"/>
      <c r="W64" s="11">
        <f t="shared" si="8"/>
        <v>237.7</v>
      </c>
      <c r="X64" s="2"/>
      <c r="Y64" s="5">
        <f t="shared" si="16"/>
        <v>3.3712632014083932E-3</v>
      </c>
      <c r="Z64" s="13">
        <v>45384</v>
      </c>
      <c r="AA64" s="2">
        <v>995.7</v>
      </c>
      <c r="AB64" s="2"/>
      <c r="AC64" s="2"/>
      <c r="AD64" s="2"/>
      <c r="AE64" s="2">
        <f t="shared" si="9"/>
        <v>995.7</v>
      </c>
      <c r="AF64" s="2"/>
      <c r="AG64" s="5">
        <f t="shared" si="17"/>
        <v>2.5139537600270389E-3</v>
      </c>
      <c r="AH64" s="13">
        <v>45384</v>
      </c>
      <c r="AI64" s="2">
        <v>764.3</v>
      </c>
      <c r="AJ64" s="2"/>
      <c r="AK64" s="2"/>
      <c r="AL64" s="2"/>
      <c r="AM64" s="2">
        <f t="shared" si="10"/>
        <v>764.3</v>
      </c>
      <c r="AN64" s="2"/>
      <c r="AO64" s="5">
        <f t="shared" si="18"/>
        <v>2.0622013012198806E-2</v>
      </c>
      <c r="AP64" s="13">
        <v>45384</v>
      </c>
      <c r="AQ64" s="11">
        <v>672.1</v>
      </c>
      <c r="AR64" s="2"/>
      <c r="AS64" s="2"/>
      <c r="AT64" s="2"/>
      <c r="AU64" s="11">
        <f t="shared" si="11"/>
        <v>672.1</v>
      </c>
      <c r="AV64" s="2"/>
      <c r="AW64" s="5">
        <f t="shared" si="19"/>
        <v>3.3742515740920263E-2</v>
      </c>
      <c r="AX64" s="13">
        <v>45384</v>
      </c>
      <c r="AY64" s="2">
        <v>32.1</v>
      </c>
      <c r="AZ64" s="2"/>
      <c r="BA64" s="2"/>
      <c r="BB64" s="2"/>
      <c r="BC64" s="2">
        <f t="shared" si="12"/>
        <v>32.1</v>
      </c>
      <c r="BD64" s="2"/>
      <c r="BE64" s="5">
        <f t="shared" si="20"/>
        <v>-9.3023926623134485E-3</v>
      </c>
      <c r="BF64" s="13">
        <v>45384</v>
      </c>
      <c r="BG64" s="2">
        <v>153.5</v>
      </c>
      <c r="BH64" s="2"/>
      <c r="BI64" s="2"/>
      <c r="BJ64" s="2"/>
      <c r="BK64" s="2">
        <f t="shared" si="13"/>
        <v>153.5</v>
      </c>
      <c r="BL64" s="2"/>
      <c r="BM64" s="5">
        <f t="shared" si="22"/>
        <v>3.916454092235142E-3</v>
      </c>
    </row>
    <row r="65" spans="1:65" ht="15.75" customHeight="1" x14ac:dyDescent="0.35">
      <c r="A65" s="675"/>
      <c r="B65" s="13">
        <v>45385</v>
      </c>
      <c r="C65" s="2">
        <v>11.7</v>
      </c>
      <c r="D65" s="2"/>
      <c r="E65" s="2"/>
      <c r="F65" s="2"/>
      <c r="G65" s="11">
        <f t="shared" si="14"/>
        <v>11.7</v>
      </c>
      <c r="H65" s="2"/>
      <c r="I65" s="5">
        <f t="shared" si="21"/>
        <v>8.583743691391435E-3</v>
      </c>
      <c r="J65" s="13">
        <v>45385</v>
      </c>
      <c r="K65" s="2">
        <v>37.299999999999997</v>
      </c>
      <c r="L65" s="2"/>
      <c r="M65" s="2"/>
      <c r="N65" s="2"/>
      <c r="O65" s="11">
        <f t="shared" si="7"/>
        <v>37.299999999999997</v>
      </c>
      <c r="P65" s="2"/>
      <c r="Q65" s="5">
        <f t="shared" si="15"/>
        <v>1.6216571589245072E-2</v>
      </c>
      <c r="R65" s="13">
        <v>45385</v>
      </c>
      <c r="S65" s="2">
        <v>239.6</v>
      </c>
      <c r="T65" s="2"/>
      <c r="U65" s="2"/>
      <c r="V65" s="2"/>
      <c r="W65" s="11">
        <f t="shared" si="8"/>
        <v>239.6</v>
      </c>
      <c r="X65" s="2"/>
      <c r="Y65" s="5">
        <f t="shared" si="16"/>
        <v>7.9614918751460869E-3</v>
      </c>
      <c r="Z65" s="13">
        <v>45385</v>
      </c>
      <c r="AA65" s="2">
        <v>1001.7</v>
      </c>
      <c r="AB65" s="2"/>
      <c r="AC65" s="2"/>
      <c r="AD65" s="2"/>
      <c r="AE65" s="2">
        <f t="shared" si="9"/>
        <v>1001.7</v>
      </c>
      <c r="AF65" s="2"/>
      <c r="AG65" s="5">
        <f t="shared" si="17"/>
        <v>6.0078282236799077E-3</v>
      </c>
      <c r="AH65" s="13">
        <v>45385</v>
      </c>
      <c r="AI65" s="2">
        <v>766.4</v>
      </c>
      <c r="AJ65" s="2"/>
      <c r="AK65" s="2"/>
      <c r="AL65" s="2"/>
      <c r="AM65" s="2">
        <f t="shared" si="10"/>
        <v>766.4</v>
      </c>
      <c r="AN65" s="2"/>
      <c r="AO65" s="5">
        <f t="shared" si="18"/>
        <v>2.7438444078123174E-3</v>
      </c>
      <c r="AP65" s="13">
        <v>45385</v>
      </c>
      <c r="AQ65" s="11">
        <v>680.1</v>
      </c>
      <c r="AR65" s="2"/>
      <c r="AS65" s="2"/>
      <c r="AT65" s="2"/>
      <c r="AU65" s="11">
        <f t="shared" si="11"/>
        <v>680.1</v>
      </c>
      <c r="AV65" s="2"/>
      <c r="AW65" s="5">
        <f t="shared" si="19"/>
        <v>1.1832707205672709E-2</v>
      </c>
      <c r="AX65" s="13">
        <v>45385</v>
      </c>
      <c r="AY65" s="2">
        <v>32.6</v>
      </c>
      <c r="AZ65" s="2"/>
      <c r="BA65" s="2"/>
      <c r="BB65" s="2"/>
      <c r="BC65" s="2">
        <f t="shared" si="12"/>
        <v>32.6</v>
      </c>
      <c r="BD65" s="2"/>
      <c r="BE65" s="5">
        <f t="shared" si="20"/>
        <v>1.5456258236691672E-2</v>
      </c>
      <c r="BF65" s="13">
        <v>45385</v>
      </c>
      <c r="BG65" s="2">
        <v>154.4</v>
      </c>
      <c r="BH65" s="2"/>
      <c r="BI65" s="2"/>
      <c r="BJ65" s="2"/>
      <c r="BK65" s="2">
        <f t="shared" si="13"/>
        <v>154.4</v>
      </c>
      <c r="BL65" s="2"/>
      <c r="BM65" s="5">
        <f t="shared" si="22"/>
        <v>5.84607056342391E-3</v>
      </c>
    </row>
    <row r="66" spans="1:65" ht="15.75" customHeight="1" x14ac:dyDescent="0.35">
      <c r="A66" s="675"/>
      <c r="B66" s="13">
        <v>45386</v>
      </c>
      <c r="C66" s="2">
        <v>11.5</v>
      </c>
      <c r="D66" s="2"/>
      <c r="E66" s="2"/>
      <c r="F66" s="2"/>
      <c r="G66" s="11">
        <f t="shared" si="14"/>
        <v>11.5</v>
      </c>
      <c r="H66" s="2"/>
      <c r="I66" s="5">
        <f t="shared" si="21"/>
        <v>-1.7241806434505992E-2</v>
      </c>
      <c r="J66" s="13">
        <v>45386</v>
      </c>
      <c r="K66" s="2">
        <v>37.299999999999997</v>
      </c>
      <c r="L66" s="2"/>
      <c r="M66" s="2"/>
      <c r="N66" s="2"/>
      <c r="O66" s="11">
        <f t="shared" si="7"/>
        <v>37.299999999999997</v>
      </c>
      <c r="P66" s="2"/>
      <c r="Q66" s="5">
        <f t="shared" si="15"/>
        <v>0</v>
      </c>
      <c r="R66" s="13">
        <v>45386</v>
      </c>
      <c r="S66" s="2">
        <v>240.2</v>
      </c>
      <c r="T66" s="2"/>
      <c r="U66" s="2"/>
      <c r="V66" s="2"/>
      <c r="W66" s="11">
        <f t="shared" si="8"/>
        <v>240.2</v>
      </c>
      <c r="X66" s="2"/>
      <c r="Y66" s="5">
        <f t="shared" si="16"/>
        <v>2.5010434045888729E-3</v>
      </c>
      <c r="Z66" s="13">
        <v>45386</v>
      </c>
      <c r="AA66" s="2">
        <v>990</v>
      </c>
      <c r="AB66" s="2"/>
      <c r="AC66" s="2"/>
      <c r="AD66" s="2"/>
      <c r="AE66" s="2">
        <f t="shared" si="9"/>
        <v>990</v>
      </c>
      <c r="AF66" s="2"/>
      <c r="AG66" s="5">
        <f t="shared" si="17"/>
        <v>-1.1748892489083012E-2</v>
      </c>
      <c r="AH66" s="13">
        <v>45386</v>
      </c>
      <c r="AI66" s="2">
        <v>769</v>
      </c>
      <c r="AJ66" s="2"/>
      <c r="AK66" s="2"/>
      <c r="AL66" s="2"/>
      <c r="AM66" s="2">
        <f t="shared" si="10"/>
        <v>769</v>
      </c>
      <c r="AN66" s="2"/>
      <c r="AO66" s="5">
        <f t="shared" si="18"/>
        <v>3.3867428489932692E-3</v>
      </c>
      <c r="AP66" s="13">
        <v>45386</v>
      </c>
      <c r="AQ66" s="11">
        <v>674.5</v>
      </c>
      <c r="AR66" s="2"/>
      <c r="AS66" s="2"/>
      <c r="AT66" s="2"/>
      <c r="AU66" s="11">
        <f t="shared" si="11"/>
        <v>674.5</v>
      </c>
      <c r="AV66" s="2"/>
      <c r="AW66" s="5">
        <f t="shared" si="19"/>
        <v>-8.26817053378252E-3</v>
      </c>
      <c r="AX66" s="13">
        <v>45386</v>
      </c>
      <c r="AY66" s="2">
        <v>32.799999999999997</v>
      </c>
      <c r="AZ66" s="2"/>
      <c r="BA66" s="2"/>
      <c r="BB66" s="2"/>
      <c r="BC66" s="2">
        <f t="shared" si="12"/>
        <v>32.799999999999997</v>
      </c>
      <c r="BD66" s="2"/>
      <c r="BE66" s="5">
        <f t="shared" si="20"/>
        <v>6.1162270174360536E-3</v>
      </c>
      <c r="BF66" s="13">
        <v>45386</v>
      </c>
      <c r="BG66" s="2">
        <v>154.30000000000001</v>
      </c>
      <c r="BH66" s="2"/>
      <c r="BI66" s="2"/>
      <c r="BJ66" s="2"/>
      <c r="BK66" s="2">
        <f t="shared" si="13"/>
        <v>154.30000000000001</v>
      </c>
      <c r="BL66" s="2"/>
      <c r="BM66" s="5">
        <f t="shared" si="22"/>
        <v>-6.4787822156064305E-4</v>
      </c>
    </row>
    <row r="67" spans="1:65" ht="15.75" customHeight="1" x14ac:dyDescent="0.35">
      <c r="A67" s="675"/>
      <c r="B67" s="13">
        <v>45390</v>
      </c>
      <c r="C67" s="2">
        <v>11.6</v>
      </c>
      <c r="D67" s="2"/>
      <c r="E67" s="2"/>
      <c r="F67" s="2"/>
      <c r="G67" s="11">
        <f t="shared" si="14"/>
        <v>11.6</v>
      </c>
      <c r="H67" s="2"/>
      <c r="I67" s="5">
        <f t="shared" si="21"/>
        <v>8.6580627431145311E-3</v>
      </c>
      <c r="J67" s="13">
        <v>45390</v>
      </c>
      <c r="K67" s="2">
        <v>36</v>
      </c>
      <c r="L67" s="2"/>
      <c r="M67" s="2"/>
      <c r="N67" s="2"/>
      <c r="O67" s="11">
        <f t="shared" si="7"/>
        <v>36</v>
      </c>
      <c r="P67" s="2">
        <v>1.5</v>
      </c>
      <c r="Q67" s="5">
        <f t="shared" si="15"/>
        <v>5.3476063265952773E-3</v>
      </c>
      <c r="R67" s="13">
        <v>45390</v>
      </c>
      <c r="S67" s="2">
        <v>240.2</v>
      </c>
      <c r="T67" s="2"/>
      <c r="U67" s="2"/>
      <c r="V67" s="2"/>
      <c r="W67" s="11">
        <f t="shared" si="8"/>
        <v>240.2</v>
      </c>
      <c r="X67" s="2"/>
      <c r="Y67" s="5">
        <f t="shared" si="16"/>
        <v>0</v>
      </c>
      <c r="Z67" s="13">
        <v>45390</v>
      </c>
      <c r="AA67" s="2">
        <v>997.8</v>
      </c>
      <c r="AB67" s="2"/>
      <c r="AC67" s="2"/>
      <c r="AD67" s="2"/>
      <c r="AE67" s="2">
        <f t="shared" si="9"/>
        <v>997.8</v>
      </c>
      <c r="AF67" s="2"/>
      <c r="AG67" s="5">
        <f t="shared" si="17"/>
        <v>7.8479122983013214E-3</v>
      </c>
      <c r="AH67" s="13">
        <v>45390</v>
      </c>
      <c r="AI67" s="2">
        <v>779.8</v>
      </c>
      <c r="AJ67" s="2"/>
      <c r="AK67" s="2"/>
      <c r="AL67" s="2"/>
      <c r="AM67" s="2">
        <f t="shared" si="10"/>
        <v>779.8</v>
      </c>
      <c r="AN67" s="2"/>
      <c r="AO67" s="5">
        <f t="shared" si="18"/>
        <v>1.3946507042852874E-2</v>
      </c>
      <c r="AP67" s="13">
        <v>45390</v>
      </c>
      <c r="AQ67" s="11">
        <v>679.9</v>
      </c>
      <c r="AR67" s="2"/>
      <c r="AS67" s="2"/>
      <c r="AT67" s="2"/>
      <c r="AU67" s="11">
        <f t="shared" si="11"/>
        <v>679.9</v>
      </c>
      <c r="AV67" s="2"/>
      <c r="AW67" s="5">
        <f t="shared" si="19"/>
        <v>7.9740528846032662E-3</v>
      </c>
      <c r="AX67" s="13">
        <v>45390</v>
      </c>
      <c r="AY67" s="2">
        <v>33.299999999999997</v>
      </c>
      <c r="AZ67" s="2"/>
      <c r="BA67" s="2"/>
      <c r="BB67" s="2"/>
      <c r="BC67" s="2">
        <f t="shared" si="12"/>
        <v>33.299999999999997</v>
      </c>
      <c r="BD67" s="2"/>
      <c r="BE67" s="5">
        <f t="shared" si="20"/>
        <v>1.5128881596299999E-2</v>
      </c>
      <c r="BF67" s="13">
        <v>45390</v>
      </c>
      <c r="BG67" s="2">
        <v>155.1</v>
      </c>
      <c r="BH67" s="2"/>
      <c r="BI67" s="2"/>
      <c r="BJ67" s="2"/>
      <c r="BK67" s="2">
        <f t="shared" si="13"/>
        <v>155.1</v>
      </c>
      <c r="BL67" s="2"/>
      <c r="BM67" s="5">
        <f t="shared" si="22"/>
        <v>5.1713108133777828E-3</v>
      </c>
    </row>
    <row r="68" spans="1:65" ht="15.75" customHeight="1" x14ac:dyDescent="0.35">
      <c r="A68" s="675"/>
      <c r="B68" s="13">
        <v>45391</v>
      </c>
      <c r="C68" s="2">
        <v>11.4</v>
      </c>
      <c r="D68" s="2"/>
      <c r="E68" s="2"/>
      <c r="F68" s="2"/>
      <c r="G68" s="11">
        <f t="shared" si="14"/>
        <v>11.4</v>
      </c>
      <c r="H68" s="2"/>
      <c r="I68" s="5">
        <f t="shared" si="21"/>
        <v>-1.7391742711869107E-2</v>
      </c>
      <c r="J68" s="13">
        <v>45391</v>
      </c>
      <c r="K68" s="2">
        <v>36.299999999999997</v>
      </c>
      <c r="L68" s="2"/>
      <c r="M68" s="2"/>
      <c r="N68" s="2"/>
      <c r="O68" s="11">
        <f t="shared" si="7"/>
        <v>36.299999999999997</v>
      </c>
      <c r="P68" s="2"/>
      <c r="Q68" s="5">
        <f t="shared" si="15"/>
        <v>8.2988028146950641E-3</v>
      </c>
      <c r="R68" s="13">
        <v>45391</v>
      </c>
      <c r="S68" s="2">
        <v>240</v>
      </c>
      <c r="T68" s="2"/>
      <c r="U68" s="2"/>
      <c r="V68" s="2"/>
      <c r="W68" s="11">
        <f t="shared" si="8"/>
        <v>240</v>
      </c>
      <c r="X68" s="2"/>
      <c r="Y68" s="5">
        <f t="shared" si="16"/>
        <v>-8.3298630389177348E-4</v>
      </c>
      <c r="Z68" s="13">
        <v>45391</v>
      </c>
      <c r="AA68" s="2">
        <v>994.8</v>
      </c>
      <c r="AB68" s="2"/>
      <c r="AC68" s="2"/>
      <c r="AD68" s="2"/>
      <c r="AE68" s="2">
        <f t="shared" si="9"/>
        <v>994.8</v>
      </c>
      <c r="AF68" s="2"/>
      <c r="AG68" s="5">
        <f t="shared" si="17"/>
        <v>-3.011143497687413E-3</v>
      </c>
      <c r="AH68" s="13">
        <v>45391</v>
      </c>
      <c r="AI68" s="2">
        <v>806.9</v>
      </c>
      <c r="AJ68" s="2"/>
      <c r="AK68" s="2"/>
      <c r="AL68" s="2"/>
      <c r="AM68" s="2">
        <f t="shared" si="10"/>
        <v>806.9</v>
      </c>
      <c r="AN68" s="2"/>
      <c r="AO68" s="5">
        <f t="shared" si="18"/>
        <v>3.4162268305964048E-2</v>
      </c>
      <c r="AP68" s="13">
        <v>45391</v>
      </c>
      <c r="AQ68" s="11">
        <v>673.9</v>
      </c>
      <c r="AR68" s="2"/>
      <c r="AS68" s="2"/>
      <c r="AT68" s="2"/>
      <c r="AU68" s="11">
        <f t="shared" si="11"/>
        <v>673.9</v>
      </c>
      <c r="AV68" s="2"/>
      <c r="AW68" s="5">
        <f t="shared" si="19"/>
        <v>-8.863996580242655E-3</v>
      </c>
      <c r="AX68" s="13">
        <v>45391</v>
      </c>
      <c r="AY68" s="2">
        <v>33.799999999999997</v>
      </c>
      <c r="AZ68" s="2"/>
      <c r="BA68" s="2"/>
      <c r="BB68" s="2"/>
      <c r="BC68" s="2">
        <f t="shared" si="12"/>
        <v>33.799999999999997</v>
      </c>
      <c r="BD68" s="2"/>
      <c r="BE68" s="5">
        <f t="shared" si="20"/>
        <v>1.4903405502574948E-2</v>
      </c>
      <c r="BF68" s="13">
        <v>45391</v>
      </c>
      <c r="BG68" s="2">
        <v>153</v>
      </c>
      <c r="BH68" s="2"/>
      <c r="BI68" s="2"/>
      <c r="BJ68" s="2"/>
      <c r="BK68" s="2">
        <f t="shared" si="13"/>
        <v>153</v>
      </c>
      <c r="BL68" s="2"/>
      <c r="BM68" s="5">
        <f t="shared" si="22"/>
        <v>-1.3632148790057644E-2</v>
      </c>
    </row>
    <row r="69" spans="1:65" ht="15.75" customHeight="1" x14ac:dyDescent="0.35">
      <c r="A69" s="675"/>
      <c r="B69" s="13">
        <v>45397</v>
      </c>
      <c r="C69" s="2">
        <v>11.4</v>
      </c>
      <c r="D69" s="2"/>
      <c r="E69" s="2"/>
      <c r="F69" s="2"/>
      <c r="G69" s="11">
        <f t="shared" si="14"/>
        <v>11.4</v>
      </c>
      <c r="H69" s="2"/>
      <c r="I69" s="5">
        <f t="shared" si="21"/>
        <v>0</v>
      </c>
      <c r="J69" s="13">
        <v>45397</v>
      </c>
      <c r="K69" s="2">
        <v>35.4</v>
      </c>
      <c r="L69" s="2"/>
      <c r="M69" s="2"/>
      <c r="N69" s="2"/>
      <c r="O69" s="11">
        <f t="shared" si="7"/>
        <v>35.4</v>
      </c>
      <c r="P69" s="2"/>
      <c r="Q69" s="5">
        <f t="shared" si="15"/>
        <v>-2.5105921131076243E-2</v>
      </c>
      <c r="R69" s="13">
        <v>45397</v>
      </c>
      <c r="S69" s="2">
        <v>238.9</v>
      </c>
      <c r="T69" s="2"/>
      <c r="U69" s="2"/>
      <c r="V69" s="2"/>
      <c r="W69" s="11">
        <f t="shared" si="8"/>
        <v>238.9</v>
      </c>
      <c r="X69" s="2"/>
      <c r="Y69" s="5">
        <f t="shared" si="16"/>
        <v>-4.5938690102273931E-3</v>
      </c>
      <c r="Z69" s="13">
        <v>45397</v>
      </c>
      <c r="AA69" s="2">
        <v>989.2</v>
      </c>
      <c r="AB69" s="2"/>
      <c r="AC69" s="2"/>
      <c r="AD69" s="2"/>
      <c r="AE69" s="2">
        <f t="shared" si="9"/>
        <v>989.2</v>
      </c>
      <c r="AF69" s="2"/>
      <c r="AG69" s="5">
        <f t="shared" si="17"/>
        <v>-5.6451762819883173E-3</v>
      </c>
      <c r="AH69" s="13">
        <v>45397</v>
      </c>
      <c r="AI69" s="2">
        <v>807.2</v>
      </c>
      <c r="AJ69" s="2"/>
      <c r="AK69" s="2"/>
      <c r="AL69" s="2"/>
      <c r="AM69" s="2">
        <f t="shared" si="10"/>
        <v>807.2</v>
      </c>
      <c r="AN69" s="2"/>
      <c r="AO69" s="5">
        <f t="shared" si="18"/>
        <v>3.7172418493842821E-4</v>
      </c>
      <c r="AP69" s="13">
        <v>45397</v>
      </c>
      <c r="AQ69" s="11">
        <v>661.2</v>
      </c>
      <c r="AR69" s="2"/>
      <c r="AS69" s="2"/>
      <c r="AT69" s="2"/>
      <c r="AU69" s="11">
        <f t="shared" si="11"/>
        <v>661.2</v>
      </c>
      <c r="AV69" s="2"/>
      <c r="AW69" s="5">
        <f t="shared" si="19"/>
        <v>-1.9025366005302052E-2</v>
      </c>
      <c r="AX69" s="13">
        <v>45397</v>
      </c>
      <c r="AY69" s="2">
        <v>32.5</v>
      </c>
      <c r="AZ69" s="2"/>
      <c r="BA69" s="2"/>
      <c r="BB69" s="2"/>
      <c r="BC69" s="2">
        <f t="shared" si="12"/>
        <v>32.5</v>
      </c>
      <c r="BD69" s="2"/>
      <c r="BE69" s="5">
        <f t="shared" si="20"/>
        <v>-3.9220713153281267E-2</v>
      </c>
      <c r="BF69" s="13">
        <v>45397</v>
      </c>
      <c r="BG69" s="2">
        <v>150</v>
      </c>
      <c r="BH69" s="2"/>
      <c r="BI69" s="2"/>
      <c r="BJ69" s="2"/>
      <c r="BK69" s="2">
        <f t="shared" si="13"/>
        <v>150</v>
      </c>
      <c r="BL69" s="2"/>
      <c r="BM69" s="5">
        <f t="shared" si="22"/>
        <v>-1.9802627296179754E-2</v>
      </c>
    </row>
    <row r="70" spans="1:65" ht="15.75" customHeight="1" x14ac:dyDescent="0.35">
      <c r="A70" s="675"/>
      <c r="B70" s="13">
        <v>45398</v>
      </c>
      <c r="C70" s="2">
        <v>11.5</v>
      </c>
      <c r="D70" s="2"/>
      <c r="E70" s="2"/>
      <c r="F70" s="2"/>
      <c r="G70" s="11">
        <f t="shared" si="14"/>
        <v>11.5</v>
      </c>
      <c r="H70" s="2"/>
      <c r="I70" s="5">
        <f t="shared" si="21"/>
        <v>8.7336799687546315E-3</v>
      </c>
      <c r="J70" s="13">
        <v>45398</v>
      </c>
      <c r="K70" s="2">
        <v>35.299999999999997</v>
      </c>
      <c r="L70" s="2"/>
      <c r="M70" s="2"/>
      <c r="N70" s="2"/>
      <c r="O70" s="11">
        <f t="shared" si="7"/>
        <v>35.299999999999997</v>
      </c>
      <c r="P70" s="2"/>
      <c r="Q70" s="5">
        <f t="shared" si="15"/>
        <v>-2.8288562004777137E-3</v>
      </c>
      <c r="R70" s="13">
        <v>45398</v>
      </c>
      <c r="S70" s="2">
        <v>236.1</v>
      </c>
      <c r="T70" s="2"/>
      <c r="U70" s="2"/>
      <c r="V70" s="2"/>
      <c r="W70" s="11">
        <f t="shared" si="8"/>
        <v>236.1</v>
      </c>
      <c r="X70" s="2"/>
      <c r="Y70" s="5">
        <f t="shared" si="16"/>
        <v>-1.178961024029669E-2</v>
      </c>
      <c r="Z70" s="13">
        <v>45398</v>
      </c>
      <c r="AA70" s="2">
        <v>980.3</v>
      </c>
      <c r="AB70" s="2"/>
      <c r="AC70" s="2"/>
      <c r="AD70" s="2"/>
      <c r="AE70" s="2">
        <f t="shared" si="9"/>
        <v>980.3</v>
      </c>
      <c r="AF70" s="2"/>
      <c r="AG70" s="5">
        <f t="shared" si="17"/>
        <v>-9.0378883795807965E-3</v>
      </c>
      <c r="AH70" s="13">
        <v>45398</v>
      </c>
      <c r="AI70" s="2">
        <v>807.8</v>
      </c>
      <c r="AJ70" s="2"/>
      <c r="AK70" s="2"/>
      <c r="AL70" s="2"/>
      <c r="AM70" s="2">
        <f t="shared" si="10"/>
        <v>807.8</v>
      </c>
      <c r="AN70" s="2"/>
      <c r="AO70" s="5">
        <f t="shared" si="18"/>
        <v>7.4303408991311271E-4</v>
      </c>
      <c r="AP70" s="13">
        <v>45398</v>
      </c>
      <c r="AQ70" s="11">
        <v>660</v>
      </c>
      <c r="AR70" s="2"/>
      <c r="AS70" s="2"/>
      <c r="AT70" s="2"/>
      <c r="AU70" s="11">
        <f t="shared" si="11"/>
        <v>660</v>
      </c>
      <c r="AV70" s="2"/>
      <c r="AW70" s="5">
        <f t="shared" si="19"/>
        <v>-1.8165309263980052E-3</v>
      </c>
      <c r="AX70" s="13">
        <v>45398</v>
      </c>
      <c r="AY70" s="2">
        <v>32.299999999999997</v>
      </c>
      <c r="AZ70" s="2"/>
      <c r="BA70" s="2"/>
      <c r="BB70" s="2"/>
      <c r="BC70" s="2">
        <f t="shared" si="12"/>
        <v>32.299999999999997</v>
      </c>
      <c r="BD70" s="2"/>
      <c r="BE70" s="5">
        <f t="shared" si="20"/>
        <v>-6.1728591070810794E-3</v>
      </c>
      <c r="BF70" s="13">
        <v>45398</v>
      </c>
      <c r="BG70" s="2">
        <v>151.80000000000001</v>
      </c>
      <c r="BH70" s="2"/>
      <c r="BI70" s="2"/>
      <c r="BJ70" s="2"/>
      <c r="BK70" s="2">
        <f t="shared" si="13"/>
        <v>151.80000000000001</v>
      </c>
      <c r="BL70" s="2"/>
      <c r="BM70" s="5">
        <f t="shared" si="22"/>
        <v>1.1928570865273812E-2</v>
      </c>
    </row>
    <row r="71" spans="1:65" ht="15.75" customHeight="1" x14ac:dyDescent="0.35">
      <c r="A71" s="675"/>
      <c r="B71" s="13">
        <v>45399</v>
      </c>
      <c r="C71" s="2">
        <v>11.5</v>
      </c>
      <c r="D71" s="2"/>
      <c r="E71" s="2"/>
      <c r="F71" s="2"/>
      <c r="G71" s="11">
        <f t="shared" si="14"/>
        <v>11.5</v>
      </c>
      <c r="H71" s="2"/>
      <c r="I71" s="5">
        <f t="shared" si="21"/>
        <v>0</v>
      </c>
      <c r="J71" s="13">
        <v>45399</v>
      </c>
      <c r="K71" s="2">
        <v>35.1</v>
      </c>
      <c r="L71" s="2"/>
      <c r="M71" s="2"/>
      <c r="N71" s="2"/>
      <c r="O71" s="11">
        <f t="shared" si="7"/>
        <v>35.1</v>
      </c>
      <c r="P71" s="2"/>
      <c r="Q71" s="5">
        <f t="shared" si="15"/>
        <v>-5.6818334674308343E-3</v>
      </c>
      <c r="R71" s="13">
        <v>45399</v>
      </c>
      <c r="S71" s="2">
        <v>236.9</v>
      </c>
      <c r="T71" s="2"/>
      <c r="U71" s="2"/>
      <c r="V71" s="2"/>
      <c r="W71" s="11">
        <f t="shared" si="8"/>
        <v>236.9</v>
      </c>
      <c r="X71" s="2"/>
      <c r="Y71" s="5">
        <f t="shared" si="16"/>
        <v>3.3826670732726456E-3</v>
      </c>
      <c r="Z71" s="13">
        <v>45399</v>
      </c>
      <c r="AA71" s="2">
        <v>982</v>
      </c>
      <c r="AB71" s="2"/>
      <c r="AC71" s="2"/>
      <c r="AD71" s="2"/>
      <c r="AE71" s="2">
        <f t="shared" si="9"/>
        <v>982</v>
      </c>
      <c r="AF71" s="2"/>
      <c r="AG71" s="5">
        <f t="shared" si="17"/>
        <v>1.7326610867853746E-3</v>
      </c>
      <c r="AH71" s="13">
        <v>45399</v>
      </c>
      <c r="AI71" s="2">
        <v>812.9</v>
      </c>
      <c r="AJ71" s="2"/>
      <c r="AK71" s="2"/>
      <c r="AL71" s="2"/>
      <c r="AM71" s="2">
        <f t="shared" si="10"/>
        <v>812.9</v>
      </c>
      <c r="AN71" s="2"/>
      <c r="AO71" s="5">
        <f t="shared" si="18"/>
        <v>6.2935976232142473E-3</v>
      </c>
      <c r="AP71" s="13">
        <v>45399</v>
      </c>
      <c r="AQ71" s="11">
        <v>651.5</v>
      </c>
      <c r="AR71" s="2"/>
      <c r="AS71" s="2"/>
      <c r="AT71" s="2"/>
      <c r="AU71" s="11">
        <f t="shared" si="11"/>
        <v>651.5</v>
      </c>
      <c r="AV71" s="2"/>
      <c r="AW71" s="5">
        <f t="shared" si="19"/>
        <v>-1.2962438455571476E-2</v>
      </c>
      <c r="AX71" s="13">
        <v>45399</v>
      </c>
      <c r="AY71" s="2">
        <v>31.9</v>
      </c>
      <c r="AZ71" s="2"/>
      <c r="BA71" s="2"/>
      <c r="BB71" s="2"/>
      <c r="BC71" s="2">
        <f t="shared" si="12"/>
        <v>31.9</v>
      </c>
      <c r="BD71" s="2"/>
      <c r="BE71" s="5">
        <f t="shared" si="20"/>
        <v>-1.2461220437811889E-2</v>
      </c>
      <c r="BF71" s="13">
        <v>45399</v>
      </c>
      <c r="BG71" s="2">
        <v>153.1</v>
      </c>
      <c r="BH71" s="2"/>
      <c r="BI71" s="2"/>
      <c r="BJ71" s="2"/>
      <c r="BK71" s="2">
        <f t="shared" si="13"/>
        <v>153.1</v>
      </c>
      <c r="BL71" s="2"/>
      <c r="BM71" s="5">
        <f t="shared" si="22"/>
        <v>8.5274377021083963E-3</v>
      </c>
    </row>
    <row r="72" spans="1:65" ht="15.75" customHeight="1" x14ac:dyDescent="0.35">
      <c r="A72" s="675"/>
      <c r="B72" s="13">
        <v>45400</v>
      </c>
      <c r="C72" s="2">
        <v>11.4</v>
      </c>
      <c r="D72" s="2"/>
      <c r="E72" s="2"/>
      <c r="F72" s="2"/>
      <c r="G72" s="11">
        <f t="shared" si="14"/>
        <v>11.4</v>
      </c>
      <c r="H72" s="2"/>
      <c r="I72" s="5">
        <f t="shared" si="21"/>
        <v>-8.7336799687545534E-3</v>
      </c>
      <c r="J72" s="13">
        <v>45400</v>
      </c>
      <c r="K72" s="2">
        <v>33.200000000000003</v>
      </c>
      <c r="L72" s="2"/>
      <c r="M72" s="2"/>
      <c r="N72" s="2"/>
      <c r="O72" s="11">
        <f t="shared" si="7"/>
        <v>33.200000000000003</v>
      </c>
      <c r="P72" s="2"/>
      <c r="Q72" s="5">
        <f t="shared" si="15"/>
        <v>-5.5651254549377263E-2</v>
      </c>
      <c r="R72" s="13">
        <v>45400</v>
      </c>
      <c r="S72" s="2">
        <v>234.7</v>
      </c>
      <c r="T72" s="2"/>
      <c r="U72" s="2"/>
      <c r="V72" s="2"/>
      <c r="W72" s="11">
        <f t="shared" si="8"/>
        <v>234.7</v>
      </c>
      <c r="X72" s="2"/>
      <c r="Y72" s="5">
        <f t="shared" si="16"/>
        <v>-9.3300083077620371E-3</v>
      </c>
      <c r="Z72" s="13">
        <v>45400</v>
      </c>
      <c r="AA72" s="2">
        <v>965.3</v>
      </c>
      <c r="AB72" s="2"/>
      <c r="AC72" s="2"/>
      <c r="AD72" s="2"/>
      <c r="AE72" s="2">
        <f t="shared" si="9"/>
        <v>965.3</v>
      </c>
      <c r="AF72" s="2"/>
      <c r="AG72" s="5">
        <f t="shared" si="17"/>
        <v>-1.7152374499896532E-2</v>
      </c>
      <c r="AH72" s="13">
        <v>45400</v>
      </c>
      <c r="AI72" s="2">
        <v>800.4</v>
      </c>
      <c r="AJ72" s="2"/>
      <c r="AK72" s="2"/>
      <c r="AL72" s="2"/>
      <c r="AM72" s="2">
        <f t="shared" si="10"/>
        <v>800.4</v>
      </c>
      <c r="AN72" s="2"/>
      <c r="AO72" s="5">
        <f t="shared" si="18"/>
        <v>-1.5496498042948292E-2</v>
      </c>
      <c r="AP72" s="13">
        <v>45400</v>
      </c>
      <c r="AQ72" s="11">
        <v>646.29999999999995</v>
      </c>
      <c r="AR72" s="2"/>
      <c r="AS72" s="2"/>
      <c r="AT72" s="2"/>
      <c r="AU72" s="11">
        <f t="shared" si="11"/>
        <v>646.29999999999995</v>
      </c>
      <c r="AV72" s="2"/>
      <c r="AW72" s="5">
        <f t="shared" si="19"/>
        <v>-8.0136042960501069E-3</v>
      </c>
      <c r="AX72" s="13">
        <v>45400</v>
      </c>
      <c r="AY72" s="2">
        <v>31.4</v>
      </c>
      <c r="AZ72" s="2"/>
      <c r="BA72" s="2"/>
      <c r="BB72" s="2"/>
      <c r="BC72" s="2">
        <f t="shared" si="12"/>
        <v>31.4</v>
      </c>
      <c r="BD72" s="2"/>
      <c r="BE72" s="5">
        <f t="shared" si="20"/>
        <v>-1.5798116876591176E-2</v>
      </c>
      <c r="BF72" s="13">
        <v>45400</v>
      </c>
      <c r="BG72" s="2">
        <v>148.6</v>
      </c>
      <c r="BH72" s="2"/>
      <c r="BI72" s="2"/>
      <c r="BJ72" s="2"/>
      <c r="BK72" s="2">
        <f t="shared" si="13"/>
        <v>148.6</v>
      </c>
      <c r="BL72" s="2"/>
      <c r="BM72" s="5">
        <f t="shared" si="22"/>
        <v>-2.9833170379979249E-2</v>
      </c>
    </row>
    <row r="73" spans="1:65" ht="15.75" customHeight="1" x14ac:dyDescent="0.35">
      <c r="A73" s="675"/>
      <c r="B73" s="13">
        <v>45403</v>
      </c>
      <c r="C73" s="2">
        <v>11</v>
      </c>
      <c r="D73" s="2"/>
      <c r="E73" s="2"/>
      <c r="F73" s="2"/>
      <c r="G73" s="11">
        <f t="shared" si="14"/>
        <v>11</v>
      </c>
      <c r="H73" s="2"/>
      <c r="I73" s="5">
        <f t="shared" si="21"/>
        <v>-3.5718082602079232E-2</v>
      </c>
      <c r="J73" s="13">
        <v>45403</v>
      </c>
      <c r="K73" s="2">
        <v>32.4</v>
      </c>
      <c r="L73" s="2"/>
      <c r="M73" s="2"/>
      <c r="N73" s="2"/>
      <c r="O73" s="11">
        <f t="shared" si="7"/>
        <v>32.4</v>
      </c>
      <c r="P73" s="2"/>
      <c r="Q73" s="5">
        <f t="shared" si="15"/>
        <v>-2.4391453124159239E-2</v>
      </c>
      <c r="R73" s="13">
        <v>45403</v>
      </c>
      <c r="S73" s="2">
        <v>234.2</v>
      </c>
      <c r="T73" s="2"/>
      <c r="U73" s="2"/>
      <c r="V73" s="2"/>
      <c r="W73" s="11">
        <f t="shared" si="8"/>
        <v>234.2</v>
      </c>
      <c r="X73" s="2"/>
      <c r="Y73" s="5">
        <f t="shared" si="16"/>
        <v>-2.1326516933608502E-3</v>
      </c>
      <c r="Z73" s="13">
        <v>45403</v>
      </c>
      <c r="AA73" s="2">
        <v>970</v>
      </c>
      <c r="AB73" s="2"/>
      <c r="AC73" s="2"/>
      <c r="AD73" s="2"/>
      <c r="AE73" s="2">
        <f t="shared" si="9"/>
        <v>970</v>
      </c>
      <c r="AF73" s="2"/>
      <c r="AG73" s="5">
        <f t="shared" si="17"/>
        <v>4.8571376428590543E-3</v>
      </c>
      <c r="AH73" s="13">
        <v>45403</v>
      </c>
      <c r="AI73" s="2">
        <v>782.4</v>
      </c>
      <c r="AJ73" s="2"/>
      <c r="AK73" s="2"/>
      <c r="AL73" s="2"/>
      <c r="AM73" s="2">
        <f t="shared" si="10"/>
        <v>782.4</v>
      </c>
      <c r="AN73" s="2"/>
      <c r="AO73" s="5">
        <f t="shared" si="18"/>
        <v>-2.2745483988970742E-2</v>
      </c>
      <c r="AP73" s="13">
        <v>45403</v>
      </c>
      <c r="AQ73" s="11">
        <v>631.9</v>
      </c>
      <c r="AR73" s="2"/>
      <c r="AS73" s="2"/>
      <c r="AT73" s="2"/>
      <c r="AU73" s="11">
        <f t="shared" si="11"/>
        <v>631.9</v>
      </c>
      <c r="AV73" s="2"/>
      <c r="AW73" s="5">
        <f t="shared" si="19"/>
        <v>-2.2532638489440125E-2</v>
      </c>
      <c r="AX73" s="13">
        <v>45403</v>
      </c>
      <c r="AY73" s="2">
        <v>31.3</v>
      </c>
      <c r="AZ73" s="2"/>
      <c r="BA73" s="2"/>
      <c r="BB73" s="2"/>
      <c r="BC73" s="2">
        <f t="shared" si="12"/>
        <v>31.3</v>
      </c>
      <c r="BD73" s="2"/>
      <c r="BE73" s="5">
        <f t="shared" si="20"/>
        <v>-3.1897953681000379E-3</v>
      </c>
      <c r="BF73" s="13">
        <v>45403</v>
      </c>
      <c r="BG73" s="2">
        <v>148.80000000000001</v>
      </c>
      <c r="BH73" s="2"/>
      <c r="BI73" s="2"/>
      <c r="BJ73" s="2"/>
      <c r="BK73" s="2">
        <f t="shared" si="13"/>
        <v>148.80000000000001</v>
      </c>
      <c r="BL73" s="2"/>
      <c r="BM73" s="5">
        <f t="shared" si="22"/>
        <v>1.3449901153328341E-3</v>
      </c>
    </row>
    <row r="74" spans="1:65" ht="15.75" customHeight="1" x14ac:dyDescent="0.35">
      <c r="A74" s="675"/>
      <c r="B74" s="13">
        <v>45404</v>
      </c>
      <c r="C74" s="2">
        <v>11.1</v>
      </c>
      <c r="D74" s="2"/>
      <c r="E74" s="2"/>
      <c r="F74" s="2"/>
      <c r="G74" s="11">
        <f t="shared" si="14"/>
        <v>11.1</v>
      </c>
      <c r="H74" s="2"/>
      <c r="I74" s="5">
        <f t="shared" si="21"/>
        <v>9.0498355199178562E-3</v>
      </c>
      <c r="J74" s="13">
        <v>45404</v>
      </c>
      <c r="K74" s="2">
        <v>32.9</v>
      </c>
      <c r="L74" s="2"/>
      <c r="M74" s="2"/>
      <c r="N74" s="2"/>
      <c r="O74" s="11">
        <f t="shared" si="7"/>
        <v>32.9</v>
      </c>
      <c r="P74" s="2"/>
      <c r="Q74" s="5">
        <f t="shared" si="15"/>
        <v>1.5314234973042575E-2</v>
      </c>
      <c r="R74" s="13">
        <v>45404</v>
      </c>
      <c r="S74" s="2">
        <v>233.1</v>
      </c>
      <c r="T74" s="2"/>
      <c r="U74" s="2"/>
      <c r="V74" s="2"/>
      <c r="W74" s="11">
        <f t="shared" si="8"/>
        <v>233.1</v>
      </c>
      <c r="X74" s="2"/>
      <c r="Y74" s="5">
        <f t="shared" si="16"/>
        <v>-4.7079051219055335E-3</v>
      </c>
      <c r="Z74" s="13">
        <v>45404</v>
      </c>
      <c r="AA74" s="2">
        <v>970</v>
      </c>
      <c r="AB74" s="2"/>
      <c r="AC74" s="2"/>
      <c r="AD74" s="2"/>
      <c r="AE74" s="2">
        <f t="shared" si="9"/>
        <v>970</v>
      </c>
      <c r="AF74" s="2"/>
      <c r="AG74" s="5">
        <f t="shared" si="17"/>
        <v>0</v>
      </c>
      <c r="AH74" s="13">
        <v>45404</v>
      </c>
      <c r="AI74" s="2">
        <v>783.1</v>
      </c>
      <c r="AJ74" s="2"/>
      <c r="AK74" s="2"/>
      <c r="AL74" s="2"/>
      <c r="AM74" s="2">
        <f t="shared" si="10"/>
        <v>783.1</v>
      </c>
      <c r="AN74" s="2"/>
      <c r="AO74" s="5">
        <f t="shared" si="18"/>
        <v>8.9428303628456558E-4</v>
      </c>
      <c r="AP74" s="13">
        <v>45404</v>
      </c>
      <c r="AQ74" s="11">
        <v>645.6</v>
      </c>
      <c r="AR74" s="2"/>
      <c r="AS74" s="2"/>
      <c r="AT74" s="2"/>
      <c r="AU74" s="11">
        <f t="shared" si="11"/>
        <v>645.6</v>
      </c>
      <c r="AV74" s="2"/>
      <c r="AW74" s="5">
        <f t="shared" si="19"/>
        <v>2.1448963176329473E-2</v>
      </c>
      <c r="AX74" s="13">
        <v>45404</v>
      </c>
      <c r="AY74" s="2">
        <v>31.3</v>
      </c>
      <c r="AZ74" s="2"/>
      <c r="BA74" s="2"/>
      <c r="BB74" s="2"/>
      <c r="BC74" s="2">
        <f t="shared" si="12"/>
        <v>31.3</v>
      </c>
      <c r="BD74" s="2"/>
      <c r="BE74" s="5">
        <f t="shared" si="20"/>
        <v>0</v>
      </c>
      <c r="BF74" s="13">
        <v>45404</v>
      </c>
      <c r="BG74" s="2">
        <v>148</v>
      </c>
      <c r="BH74" s="2"/>
      <c r="BI74" s="2"/>
      <c r="BJ74" s="2"/>
      <c r="BK74" s="2">
        <f t="shared" si="13"/>
        <v>148</v>
      </c>
      <c r="BL74" s="2"/>
      <c r="BM74" s="5">
        <f t="shared" si="22"/>
        <v>-5.3908486348765343E-3</v>
      </c>
    </row>
    <row r="75" spans="1:65" ht="15.75" customHeight="1" x14ac:dyDescent="0.35">
      <c r="A75" s="675"/>
      <c r="B75" s="13">
        <v>45405</v>
      </c>
      <c r="C75" s="2">
        <v>10.8</v>
      </c>
      <c r="D75" s="2"/>
      <c r="E75" s="2"/>
      <c r="F75" s="2"/>
      <c r="G75" s="11">
        <f t="shared" si="14"/>
        <v>10.8</v>
      </c>
      <c r="H75" s="2"/>
      <c r="I75" s="5">
        <f t="shared" si="21"/>
        <v>-2.7398974188114388E-2</v>
      </c>
      <c r="J75" s="13">
        <v>45405</v>
      </c>
      <c r="K75" s="2">
        <v>32.6</v>
      </c>
      <c r="L75" s="2"/>
      <c r="M75" s="2"/>
      <c r="N75" s="2"/>
      <c r="O75" s="11">
        <f t="shared" si="7"/>
        <v>32.6</v>
      </c>
      <c r="P75" s="2"/>
      <c r="Q75" s="5">
        <f t="shared" si="15"/>
        <v>-9.1603693986641657E-3</v>
      </c>
      <c r="R75" s="13">
        <v>45405</v>
      </c>
      <c r="S75" s="2">
        <v>232.6</v>
      </c>
      <c r="T75" s="2"/>
      <c r="U75" s="2"/>
      <c r="V75" s="2"/>
      <c r="W75" s="11">
        <f t="shared" si="8"/>
        <v>232.6</v>
      </c>
      <c r="X75" s="2"/>
      <c r="Y75" s="5">
        <f t="shared" si="16"/>
        <v>-2.1473059571473813E-3</v>
      </c>
      <c r="Z75" s="13">
        <v>45405</v>
      </c>
      <c r="AA75" s="2">
        <v>955.5</v>
      </c>
      <c r="AB75" s="2"/>
      <c r="AC75" s="2"/>
      <c r="AD75" s="2"/>
      <c r="AE75" s="2">
        <f t="shared" si="9"/>
        <v>955.5</v>
      </c>
      <c r="AF75" s="2"/>
      <c r="AG75" s="5">
        <f t="shared" si="17"/>
        <v>-1.5061307817100723E-2</v>
      </c>
      <c r="AH75" s="13">
        <v>45405</v>
      </c>
      <c r="AI75" s="2">
        <v>786.9</v>
      </c>
      <c r="AJ75" s="2"/>
      <c r="AK75" s="2"/>
      <c r="AL75" s="2"/>
      <c r="AM75" s="2">
        <f t="shared" si="10"/>
        <v>786.9</v>
      </c>
      <c r="AN75" s="2"/>
      <c r="AO75" s="5">
        <f t="shared" si="18"/>
        <v>4.8407737840457108E-3</v>
      </c>
      <c r="AP75" s="13">
        <v>45405</v>
      </c>
      <c r="AQ75" s="11">
        <v>651</v>
      </c>
      <c r="AR75" s="2"/>
      <c r="AS75" s="2"/>
      <c r="AT75" s="2"/>
      <c r="AU75" s="11">
        <f t="shared" si="11"/>
        <v>651</v>
      </c>
      <c r="AV75" s="2"/>
      <c r="AW75" s="5">
        <f t="shared" si="19"/>
        <v>8.3295252528302003E-3</v>
      </c>
      <c r="AX75" s="13">
        <v>45405</v>
      </c>
      <c r="AY75" s="2">
        <v>30.1</v>
      </c>
      <c r="AZ75" s="2"/>
      <c r="BA75" s="2"/>
      <c r="BB75" s="2"/>
      <c r="BC75" s="2">
        <f t="shared" si="12"/>
        <v>30.1</v>
      </c>
      <c r="BD75" s="2"/>
      <c r="BE75" s="5">
        <f t="shared" si="20"/>
        <v>-3.9092925791277426E-2</v>
      </c>
      <c r="BF75" s="13">
        <v>45405</v>
      </c>
      <c r="BG75" s="2">
        <v>147.5</v>
      </c>
      <c r="BH75" s="2"/>
      <c r="BI75" s="2"/>
      <c r="BJ75" s="2"/>
      <c r="BK75" s="2">
        <f t="shared" si="13"/>
        <v>147.5</v>
      </c>
      <c r="BL75" s="2"/>
      <c r="BM75" s="5">
        <f t="shared" si="22"/>
        <v>-3.3840979842405684E-3</v>
      </c>
    </row>
    <row r="76" spans="1:65" ht="15.75" customHeight="1" x14ac:dyDescent="0.35">
      <c r="A76" s="675"/>
      <c r="B76" s="13">
        <v>45406</v>
      </c>
      <c r="C76" s="2">
        <v>10.8</v>
      </c>
      <c r="D76" s="2"/>
      <c r="E76" s="2"/>
      <c r="F76" s="2"/>
      <c r="G76" s="11">
        <f t="shared" si="14"/>
        <v>10.8</v>
      </c>
      <c r="H76" s="2"/>
      <c r="I76" s="5">
        <f t="shared" si="21"/>
        <v>0</v>
      </c>
      <c r="J76" s="13">
        <v>45406</v>
      </c>
      <c r="K76" s="2">
        <v>31.9</v>
      </c>
      <c r="L76" s="2"/>
      <c r="M76" s="2"/>
      <c r="N76" s="2"/>
      <c r="O76" s="11">
        <f t="shared" si="7"/>
        <v>31.9</v>
      </c>
      <c r="P76" s="2"/>
      <c r="Q76" s="5">
        <f t="shared" si="15"/>
        <v>-2.1706278581863171E-2</v>
      </c>
      <c r="R76" s="13">
        <v>45406</v>
      </c>
      <c r="S76" s="2">
        <v>232.5</v>
      </c>
      <c r="T76" s="2"/>
      <c r="U76" s="2"/>
      <c r="V76" s="2"/>
      <c r="W76" s="11">
        <f t="shared" si="8"/>
        <v>232.5</v>
      </c>
      <c r="X76" s="2"/>
      <c r="Y76" s="5">
        <f t="shared" si="16"/>
        <v>-4.3001505715304484E-4</v>
      </c>
      <c r="Z76" s="13">
        <v>45406</v>
      </c>
      <c r="AA76" s="2">
        <v>977.9</v>
      </c>
      <c r="AB76" s="2"/>
      <c r="AC76" s="2"/>
      <c r="AD76" s="2"/>
      <c r="AE76" s="2">
        <f t="shared" si="9"/>
        <v>977.9</v>
      </c>
      <c r="AF76" s="2"/>
      <c r="AG76" s="5">
        <f t="shared" si="17"/>
        <v>2.317265163790163E-2</v>
      </c>
      <c r="AH76" s="13">
        <v>45406</v>
      </c>
      <c r="AI76" s="2">
        <v>783.4</v>
      </c>
      <c r="AJ76" s="2"/>
      <c r="AK76" s="2"/>
      <c r="AL76" s="2"/>
      <c r="AM76" s="2">
        <f t="shared" si="10"/>
        <v>783.4</v>
      </c>
      <c r="AN76" s="2"/>
      <c r="AO76" s="5">
        <f t="shared" si="18"/>
        <v>-4.4577543092067023E-3</v>
      </c>
      <c r="AP76" s="13">
        <v>45406</v>
      </c>
      <c r="AQ76" s="11">
        <v>642</v>
      </c>
      <c r="AR76" s="2"/>
      <c r="AS76" s="2"/>
      <c r="AT76" s="2"/>
      <c r="AU76" s="11">
        <f t="shared" si="11"/>
        <v>642</v>
      </c>
      <c r="AV76" s="2"/>
      <c r="AW76" s="5">
        <f t="shared" si="19"/>
        <v>-1.392133851860812E-2</v>
      </c>
      <c r="AX76" s="13">
        <v>45406</v>
      </c>
      <c r="AY76" s="2">
        <v>29.7</v>
      </c>
      <c r="AZ76" s="2"/>
      <c r="BA76" s="2"/>
      <c r="BB76" s="2"/>
      <c r="BC76" s="2">
        <f t="shared" si="12"/>
        <v>29.7</v>
      </c>
      <c r="BD76" s="2"/>
      <c r="BE76" s="5">
        <f t="shared" si="20"/>
        <v>-1.3378125946176199E-2</v>
      </c>
      <c r="BF76" s="13">
        <v>45406</v>
      </c>
      <c r="BG76" s="2">
        <v>146.80000000000001</v>
      </c>
      <c r="BH76" s="2"/>
      <c r="BI76" s="2"/>
      <c r="BJ76" s="2"/>
      <c r="BK76" s="2">
        <f t="shared" si="13"/>
        <v>146.80000000000001</v>
      </c>
      <c r="BL76" s="2"/>
      <c r="BM76" s="5">
        <f t="shared" si="22"/>
        <v>-4.7570595994592341E-3</v>
      </c>
    </row>
    <row r="77" spans="1:65" ht="15.75" customHeight="1" x14ac:dyDescent="0.35">
      <c r="A77" s="675"/>
      <c r="B77" s="13">
        <v>45407</v>
      </c>
      <c r="C77" s="2">
        <v>10.7</v>
      </c>
      <c r="D77" s="2"/>
      <c r="E77" s="2"/>
      <c r="F77" s="2"/>
      <c r="G77" s="11">
        <f t="shared" si="14"/>
        <v>10.7</v>
      </c>
      <c r="H77" s="2"/>
      <c r="I77" s="5">
        <f t="shared" si="21"/>
        <v>-9.302392662313674E-3</v>
      </c>
      <c r="J77" s="13">
        <v>45407</v>
      </c>
      <c r="K77" s="2">
        <v>31.2</v>
      </c>
      <c r="L77" s="2"/>
      <c r="M77" s="2"/>
      <c r="N77" s="2"/>
      <c r="O77" s="11">
        <f t="shared" si="7"/>
        <v>31.2</v>
      </c>
      <c r="P77" s="2"/>
      <c r="Q77" s="5">
        <f t="shared" si="15"/>
        <v>-2.2187914975362218E-2</v>
      </c>
      <c r="R77" s="13">
        <v>45407</v>
      </c>
      <c r="S77" s="2">
        <v>235</v>
      </c>
      <c r="T77" s="2"/>
      <c r="U77" s="2"/>
      <c r="V77" s="2"/>
      <c r="W77" s="11">
        <f t="shared" si="8"/>
        <v>235</v>
      </c>
      <c r="X77" s="2"/>
      <c r="Y77" s="5">
        <f t="shared" si="16"/>
        <v>1.069528911674795E-2</v>
      </c>
      <c r="Z77" s="13">
        <v>45407</v>
      </c>
      <c r="AA77" s="2">
        <v>941</v>
      </c>
      <c r="AB77" s="2"/>
      <c r="AC77" s="2"/>
      <c r="AD77" s="2"/>
      <c r="AE77" s="2">
        <f t="shared" si="9"/>
        <v>941</v>
      </c>
      <c r="AF77" s="2"/>
      <c r="AG77" s="5">
        <f t="shared" si="17"/>
        <v>-3.8464275732849731E-2</v>
      </c>
      <c r="AH77" s="13">
        <v>45407</v>
      </c>
      <c r="AI77" s="2">
        <v>759.9</v>
      </c>
      <c r="AJ77" s="2"/>
      <c r="AK77" s="2"/>
      <c r="AL77" s="2"/>
      <c r="AM77" s="2">
        <f t="shared" si="10"/>
        <v>759.9</v>
      </c>
      <c r="AN77" s="2"/>
      <c r="AO77" s="5">
        <f t="shared" si="18"/>
        <v>-3.0456575555991655E-2</v>
      </c>
      <c r="AP77" s="13">
        <v>45407</v>
      </c>
      <c r="AQ77" s="11">
        <v>627.70000000000005</v>
      </c>
      <c r="AR77" s="2"/>
      <c r="AS77" s="2"/>
      <c r="AT77" s="2"/>
      <c r="AU77" s="11">
        <f t="shared" si="11"/>
        <v>627.70000000000005</v>
      </c>
      <c r="AV77" s="2"/>
      <c r="AW77" s="5">
        <f t="shared" si="19"/>
        <v>-2.2525958366475026E-2</v>
      </c>
      <c r="AX77" s="13">
        <v>45407</v>
      </c>
      <c r="AY77" s="2">
        <v>29.3</v>
      </c>
      <c r="AZ77" s="2"/>
      <c r="BA77" s="2"/>
      <c r="BB77" s="2"/>
      <c r="BC77" s="2">
        <f t="shared" si="12"/>
        <v>29.3</v>
      </c>
      <c r="BD77" s="2"/>
      <c r="BE77" s="5">
        <f t="shared" si="20"/>
        <v>-1.3559529785632251E-2</v>
      </c>
      <c r="BF77" s="13">
        <v>45407</v>
      </c>
      <c r="BG77" s="2">
        <v>143.4</v>
      </c>
      <c r="BH77" s="2"/>
      <c r="BI77" s="2"/>
      <c r="BJ77" s="2"/>
      <c r="BK77" s="2">
        <f t="shared" si="13"/>
        <v>143.4</v>
      </c>
      <c r="BL77" s="2"/>
      <c r="BM77" s="5">
        <f t="shared" si="22"/>
        <v>-2.3433188014895287E-2</v>
      </c>
    </row>
    <row r="78" spans="1:65" ht="15.75" customHeight="1" x14ac:dyDescent="0.35">
      <c r="A78" s="675"/>
      <c r="B78" s="13">
        <v>45410</v>
      </c>
      <c r="C78" s="2">
        <v>10.7</v>
      </c>
      <c r="D78" s="2"/>
      <c r="E78" s="2"/>
      <c r="F78" s="2"/>
      <c r="G78" s="11">
        <f t="shared" si="14"/>
        <v>10.7</v>
      </c>
      <c r="H78" s="2"/>
      <c r="I78" s="5">
        <f t="shared" si="21"/>
        <v>0</v>
      </c>
      <c r="J78" s="13">
        <v>45410</v>
      </c>
      <c r="K78" s="2">
        <v>32.4</v>
      </c>
      <c r="L78" s="2"/>
      <c r="M78" s="2"/>
      <c r="N78" s="2"/>
      <c r="O78" s="11">
        <f t="shared" si="7"/>
        <v>32.4</v>
      </c>
      <c r="P78" s="2"/>
      <c r="Q78" s="5">
        <f t="shared" si="15"/>
        <v>3.7740327982847113E-2</v>
      </c>
      <c r="R78" s="13">
        <v>45410</v>
      </c>
      <c r="S78" s="2">
        <v>240.5</v>
      </c>
      <c r="T78" s="2"/>
      <c r="U78" s="2"/>
      <c r="V78" s="2"/>
      <c r="W78" s="11">
        <f t="shared" si="8"/>
        <v>240.5</v>
      </c>
      <c r="X78" s="2"/>
      <c r="Y78" s="5">
        <f t="shared" si="16"/>
        <v>2.3134575401656889E-2</v>
      </c>
      <c r="Z78" s="13">
        <v>45410</v>
      </c>
      <c r="AA78" s="2">
        <v>979.2</v>
      </c>
      <c r="AB78" s="2"/>
      <c r="AC78" s="2"/>
      <c r="AD78" s="2"/>
      <c r="AE78" s="2">
        <f t="shared" si="9"/>
        <v>979.2</v>
      </c>
      <c r="AF78" s="2"/>
      <c r="AG78" s="5">
        <f t="shared" si="17"/>
        <v>3.9792772172682102E-2</v>
      </c>
      <c r="AH78" s="13">
        <v>45410</v>
      </c>
      <c r="AI78" s="2">
        <v>771.7</v>
      </c>
      <c r="AJ78" s="2"/>
      <c r="AK78" s="2"/>
      <c r="AL78" s="2"/>
      <c r="AM78" s="2">
        <f t="shared" si="10"/>
        <v>771.7</v>
      </c>
      <c r="AN78" s="2"/>
      <c r="AO78" s="5">
        <f t="shared" si="18"/>
        <v>1.5409027787818275E-2</v>
      </c>
      <c r="AP78" s="13">
        <v>45410</v>
      </c>
      <c r="AQ78" s="11">
        <v>634</v>
      </c>
      <c r="AR78" s="2"/>
      <c r="AS78" s="2"/>
      <c r="AT78" s="2"/>
      <c r="AU78" s="11">
        <f t="shared" si="11"/>
        <v>634</v>
      </c>
      <c r="AV78" s="2"/>
      <c r="AW78" s="5">
        <f t="shared" si="19"/>
        <v>9.9866091137398184E-3</v>
      </c>
      <c r="AX78" s="13">
        <v>45410</v>
      </c>
      <c r="AY78" s="2">
        <v>29.8</v>
      </c>
      <c r="AZ78" s="2"/>
      <c r="BA78" s="2"/>
      <c r="BB78" s="2"/>
      <c r="BC78" s="2">
        <f t="shared" si="12"/>
        <v>29.8</v>
      </c>
      <c r="BD78" s="2"/>
      <c r="BE78" s="5">
        <f t="shared" si="20"/>
        <v>1.6920877488337177E-2</v>
      </c>
      <c r="BF78" s="13">
        <v>45410</v>
      </c>
      <c r="BG78" s="2">
        <v>143.9</v>
      </c>
      <c r="BH78" s="2"/>
      <c r="BI78" s="2"/>
      <c r="BJ78" s="2"/>
      <c r="BK78" s="2">
        <f t="shared" si="13"/>
        <v>143.9</v>
      </c>
      <c r="BL78" s="2"/>
      <c r="BM78" s="5">
        <f t="shared" si="22"/>
        <v>3.480685727802186E-3</v>
      </c>
    </row>
    <row r="79" spans="1:65" ht="15.75" customHeight="1" x14ac:dyDescent="0.35">
      <c r="A79" s="675"/>
      <c r="B79" s="13">
        <v>45411</v>
      </c>
      <c r="C79" s="2">
        <v>10.8</v>
      </c>
      <c r="D79" s="2"/>
      <c r="E79" s="2"/>
      <c r="F79" s="2"/>
      <c r="G79" s="11">
        <f t="shared" si="14"/>
        <v>10.8</v>
      </c>
      <c r="H79" s="2"/>
      <c r="I79" s="5">
        <f t="shared" si="21"/>
        <v>9.3023926623136306E-3</v>
      </c>
      <c r="J79" s="13">
        <v>45411</v>
      </c>
      <c r="K79" s="2">
        <v>32.700000000000003</v>
      </c>
      <c r="L79" s="2"/>
      <c r="M79" s="2"/>
      <c r="N79" s="2"/>
      <c r="O79" s="11">
        <f t="shared" si="7"/>
        <v>32.700000000000003</v>
      </c>
      <c r="P79" s="2"/>
      <c r="Q79" s="5">
        <f t="shared" si="15"/>
        <v>9.2166551049240476E-3</v>
      </c>
      <c r="R79" s="13">
        <v>45411</v>
      </c>
      <c r="S79" s="2">
        <v>236.5</v>
      </c>
      <c r="T79" s="2"/>
      <c r="U79" s="2"/>
      <c r="V79" s="2"/>
      <c r="W79" s="11">
        <f t="shared" si="8"/>
        <v>236.5</v>
      </c>
      <c r="X79" s="2"/>
      <c r="Y79" s="5">
        <f t="shared" si="16"/>
        <v>-1.6771881613828213E-2</v>
      </c>
      <c r="Z79" s="13">
        <v>45411</v>
      </c>
      <c r="AA79" s="2">
        <v>975.8</v>
      </c>
      <c r="AB79" s="2"/>
      <c r="AC79" s="2"/>
      <c r="AD79" s="2"/>
      <c r="AE79" s="2">
        <f t="shared" si="9"/>
        <v>975.8</v>
      </c>
      <c r="AF79" s="2"/>
      <c r="AG79" s="5">
        <f t="shared" si="17"/>
        <v>-3.47826437632492E-3</v>
      </c>
      <c r="AH79" s="13">
        <v>45411</v>
      </c>
      <c r="AI79" s="2">
        <v>767.2</v>
      </c>
      <c r="AJ79" s="2"/>
      <c r="AK79" s="2"/>
      <c r="AL79" s="2"/>
      <c r="AM79" s="2">
        <f t="shared" si="10"/>
        <v>767.2</v>
      </c>
      <c r="AN79" s="2"/>
      <c r="AO79" s="5">
        <f t="shared" si="18"/>
        <v>-5.8483498943288793E-3</v>
      </c>
      <c r="AP79" s="13">
        <v>45411</v>
      </c>
      <c r="AQ79" s="11">
        <v>623.70000000000005</v>
      </c>
      <c r="AR79" s="2"/>
      <c r="AS79" s="2"/>
      <c r="AT79" s="2"/>
      <c r="AU79" s="11">
        <f t="shared" si="11"/>
        <v>623.70000000000005</v>
      </c>
      <c r="AV79" s="2"/>
      <c r="AW79" s="5">
        <f t="shared" si="19"/>
        <v>-1.6379470905148869E-2</v>
      </c>
      <c r="AX79" s="13">
        <v>45411</v>
      </c>
      <c r="AY79" s="2">
        <v>29</v>
      </c>
      <c r="AZ79" s="2"/>
      <c r="BA79" s="2"/>
      <c r="BB79" s="2"/>
      <c r="BC79" s="2">
        <f t="shared" si="12"/>
        <v>29</v>
      </c>
      <c r="BD79" s="2"/>
      <c r="BE79" s="5">
        <f t="shared" si="20"/>
        <v>-2.7212563524884815E-2</v>
      </c>
      <c r="BF79" s="13">
        <v>45411</v>
      </c>
      <c r="BG79" s="2">
        <v>142.69999999999999</v>
      </c>
      <c r="BH79" s="2"/>
      <c r="BI79" s="2"/>
      <c r="BJ79" s="2"/>
      <c r="BK79" s="2">
        <f t="shared" si="13"/>
        <v>142.69999999999999</v>
      </c>
      <c r="BL79" s="2"/>
      <c r="BM79" s="5">
        <f t="shared" si="22"/>
        <v>-8.3740894105315111E-3</v>
      </c>
    </row>
    <row r="80" spans="1:65" ht="15.75" customHeight="1" x14ac:dyDescent="0.35">
      <c r="A80" s="675"/>
      <c r="B80" s="13">
        <v>45412</v>
      </c>
      <c r="C80" s="2">
        <v>10.7</v>
      </c>
      <c r="D80" s="2"/>
      <c r="E80" s="2"/>
      <c r="F80" s="2"/>
      <c r="G80" s="11">
        <f t="shared" si="14"/>
        <v>10.7</v>
      </c>
      <c r="H80" s="2"/>
      <c r="I80" s="5">
        <f t="shared" si="21"/>
        <v>-9.302392662313674E-3</v>
      </c>
      <c r="J80" s="13">
        <v>45412</v>
      </c>
      <c r="K80" s="2">
        <v>32.9</v>
      </c>
      <c r="L80" s="2"/>
      <c r="M80" s="2"/>
      <c r="N80" s="2"/>
      <c r="O80" s="11">
        <f t="shared" si="7"/>
        <v>32.9</v>
      </c>
      <c r="P80" s="2"/>
      <c r="Q80" s="5">
        <f t="shared" si="15"/>
        <v>6.0975798681183165E-3</v>
      </c>
      <c r="R80" s="13">
        <v>45412</v>
      </c>
      <c r="S80" s="2">
        <v>235.8</v>
      </c>
      <c r="T80" s="2"/>
      <c r="U80" s="2"/>
      <c r="V80" s="2"/>
      <c r="W80" s="11">
        <f t="shared" si="8"/>
        <v>235.8</v>
      </c>
      <c r="X80" s="2"/>
      <c r="Y80" s="5">
        <f t="shared" si="16"/>
        <v>-2.9642198287170058E-3</v>
      </c>
      <c r="Z80" s="13">
        <v>45412</v>
      </c>
      <c r="AA80" s="2">
        <v>985.7</v>
      </c>
      <c r="AB80" s="2"/>
      <c r="AC80" s="2"/>
      <c r="AD80" s="2"/>
      <c r="AE80" s="2">
        <f t="shared" si="9"/>
        <v>985.7</v>
      </c>
      <c r="AF80" s="2"/>
      <c r="AG80" s="5">
        <f t="shared" si="17"/>
        <v>1.0094401289656539E-2</v>
      </c>
      <c r="AH80" s="13">
        <v>45412</v>
      </c>
      <c r="AI80" s="2">
        <v>768.7</v>
      </c>
      <c r="AJ80" s="2"/>
      <c r="AK80" s="2"/>
      <c r="AL80" s="2"/>
      <c r="AM80" s="2">
        <f t="shared" si="10"/>
        <v>768.7</v>
      </c>
      <c r="AN80" s="2"/>
      <c r="AO80" s="5">
        <f t="shared" si="18"/>
        <v>1.9532527858577647E-3</v>
      </c>
      <c r="AP80" s="13">
        <v>45412</v>
      </c>
      <c r="AQ80" s="11">
        <v>610.6</v>
      </c>
      <c r="AR80" s="2"/>
      <c r="AS80" s="2"/>
      <c r="AT80" s="2"/>
      <c r="AU80" s="11">
        <f t="shared" si="11"/>
        <v>610.6</v>
      </c>
      <c r="AV80" s="2"/>
      <c r="AW80" s="5">
        <f t="shared" si="19"/>
        <v>-2.1227403231299444E-2</v>
      </c>
      <c r="AX80" s="13">
        <v>45412</v>
      </c>
      <c r="AY80" s="2">
        <v>29.8</v>
      </c>
      <c r="AZ80" s="2"/>
      <c r="BA80" s="2"/>
      <c r="BB80" s="2"/>
      <c r="BC80" s="2">
        <f t="shared" si="12"/>
        <v>29.8</v>
      </c>
      <c r="BD80" s="2"/>
      <c r="BE80" s="5">
        <f t="shared" si="20"/>
        <v>2.7212563524884794E-2</v>
      </c>
      <c r="BF80" s="13">
        <v>45412</v>
      </c>
      <c r="BG80" s="2">
        <v>144.1</v>
      </c>
      <c r="BH80" s="2"/>
      <c r="BI80" s="2"/>
      <c r="BJ80" s="2"/>
      <c r="BK80" s="2">
        <f t="shared" si="13"/>
        <v>144.1</v>
      </c>
      <c r="BL80" s="2"/>
      <c r="BM80" s="5">
        <f t="shared" si="22"/>
        <v>9.7629785226856624E-3</v>
      </c>
    </row>
    <row r="81" spans="1:65" ht="15.75" customHeight="1" x14ac:dyDescent="0.35">
      <c r="A81" s="675"/>
      <c r="B81" s="13">
        <v>45414</v>
      </c>
      <c r="C81" s="2">
        <v>10.7</v>
      </c>
      <c r="D81" s="2"/>
      <c r="E81" s="2"/>
      <c r="F81" s="2"/>
      <c r="G81" s="11">
        <f t="shared" si="14"/>
        <v>10.7</v>
      </c>
      <c r="H81" s="2"/>
      <c r="I81" s="5">
        <f t="shared" si="21"/>
        <v>0</v>
      </c>
      <c r="J81" s="13">
        <v>45414</v>
      </c>
      <c r="K81" s="2">
        <v>33</v>
      </c>
      <c r="L81" s="2"/>
      <c r="M81" s="2"/>
      <c r="N81" s="2"/>
      <c r="O81" s="11">
        <f t="shared" si="7"/>
        <v>33</v>
      </c>
      <c r="P81" s="2"/>
      <c r="Q81" s="5">
        <f t="shared" si="15"/>
        <v>3.0349036951541112E-3</v>
      </c>
      <c r="R81" s="13">
        <v>45414</v>
      </c>
      <c r="S81" s="2">
        <v>237.6</v>
      </c>
      <c r="T81" s="2"/>
      <c r="U81" s="2"/>
      <c r="V81" s="2"/>
      <c r="W81" s="11">
        <f t="shared" si="8"/>
        <v>237.6</v>
      </c>
      <c r="X81" s="2"/>
      <c r="Y81" s="5">
        <f t="shared" si="16"/>
        <v>7.6045993852192125E-3</v>
      </c>
      <c r="Z81" s="13">
        <v>45414</v>
      </c>
      <c r="AA81" s="2">
        <v>968.5</v>
      </c>
      <c r="AB81" s="2"/>
      <c r="AC81" s="2"/>
      <c r="AD81" s="2"/>
      <c r="AE81" s="2">
        <f t="shared" si="9"/>
        <v>968.5</v>
      </c>
      <c r="AF81" s="2"/>
      <c r="AG81" s="5">
        <f t="shared" si="17"/>
        <v>-1.7603565824342731E-2</v>
      </c>
      <c r="AH81" s="13">
        <v>45414</v>
      </c>
      <c r="AI81" s="2">
        <v>760.7</v>
      </c>
      <c r="AJ81" s="2"/>
      <c r="AK81" s="2"/>
      <c r="AL81" s="2"/>
      <c r="AM81" s="2">
        <f t="shared" si="10"/>
        <v>760.7</v>
      </c>
      <c r="AN81" s="2"/>
      <c r="AO81" s="5">
        <f t="shared" si="18"/>
        <v>-1.0461714351830778E-2</v>
      </c>
      <c r="AP81" s="13">
        <v>45414</v>
      </c>
      <c r="AQ81" s="11">
        <v>609.29999999999995</v>
      </c>
      <c r="AR81" s="2"/>
      <c r="AS81" s="2"/>
      <c r="AT81" s="2"/>
      <c r="AU81" s="11">
        <f t="shared" si="11"/>
        <v>609.29999999999995</v>
      </c>
      <c r="AV81" s="2"/>
      <c r="AW81" s="5">
        <f t="shared" si="19"/>
        <v>-2.1313230463288479E-3</v>
      </c>
      <c r="AX81" s="13">
        <v>45414</v>
      </c>
      <c r="AY81" s="2">
        <v>29</v>
      </c>
      <c r="AZ81" s="2"/>
      <c r="BA81" s="2"/>
      <c r="BB81" s="2"/>
      <c r="BC81" s="2">
        <f t="shared" si="12"/>
        <v>29</v>
      </c>
      <c r="BD81" s="2"/>
      <c r="BE81" s="5">
        <f t="shared" si="20"/>
        <v>-2.7212563524884815E-2</v>
      </c>
      <c r="BF81" s="13">
        <v>45414</v>
      </c>
      <c r="BG81" s="2">
        <v>141.6</v>
      </c>
      <c r="BH81" s="2"/>
      <c r="BI81" s="2"/>
      <c r="BJ81" s="2"/>
      <c r="BK81" s="2">
        <f t="shared" si="13"/>
        <v>141.6</v>
      </c>
      <c r="BL81" s="2"/>
      <c r="BM81" s="5">
        <f t="shared" si="22"/>
        <v>-1.7501321745856967E-2</v>
      </c>
    </row>
    <row r="82" spans="1:65" ht="15.75" customHeight="1" x14ac:dyDescent="0.35">
      <c r="A82" s="675"/>
      <c r="B82" s="13">
        <v>45417</v>
      </c>
      <c r="C82" s="2">
        <v>10.7</v>
      </c>
      <c r="D82" s="2"/>
      <c r="E82" s="2"/>
      <c r="F82" s="2"/>
      <c r="G82" s="11">
        <f t="shared" si="14"/>
        <v>10.7</v>
      </c>
      <c r="H82" s="2"/>
      <c r="I82" s="5">
        <f t="shared" si="21"/>
        <v>0</v>
      </c>
      <c r="J82" s="13">
        <v>45417</v>
      </c>
      <c r="K82" s="2">
        <v>33.5</v>
      </c>
      <c r="L82" s="2"/>
      <c r="M82" s="2"/>
      <c r="N82" s="2"/>
      <c r="O82" s="11">
        <f t="shared" si="7"/>
        <v>33.5</v>
      </c>
      <c r="P82" s="2"/>
      <c r="Q82" s="5">
        <f t="shared" si="15"/>
        <v>1.5037877364540502E-2</v>
      </c>
      <c r="R82" s="13">
        <v>45417</v>
      </c>
      <c r="S82" s="2">
        <v>239.5</v>
      </c>
      <c r="T82" s="2"/>
      <c r="U82" s="2"/>
      <c r="V82" s="2"/>
      <c r="W82" s="11">
        <f t="shared" si="8"/>
        <v>239.5</v>
      </c>
      <c r="X82" s="2"/>
      <c r="Y82" s="5">
        <f t="shared" si="16"/>
        <v>7.9648293624800682E-3</v>
      </c>
      <c r="Z82" s="13">
        <v>45417</v>
      </c>
      <c r="AA82" s="2">
        <v>965.6</v>
      </c>
      <c r="AB82" s="2"/>
      <c r="AC82" s="2"/>
      <c r="AD82" s="2"/>
      <c r="AE82" s="2">
        <f t="shared" si="9"/>
        <v>965.6</v>
      </c>
      <c r="AF82" s="2"/>
      <c r="AG82" s="5">
        <f t="shared" si="17"/>
        <v>-2.9988130637287678E-3</v>
      </c>
      <c r="AH82" s="13">
        <v>45417</v>
      </c>
      <c r="AI82" s="2">
        <v>769.6</v>
      </c>
      <c r="AJ82" s="2"/>
      <c r="AK82" s="2"/>
      <c r="AL82" s="2"/>
      <c r="AM82" s="2">
        <f t="shared" si="10"/>
        <v>769.6</v>
      </c>
      <c r="AN82" s="2"/>
      <c r="AO82" s="5">
        <f t="shared" si="18"/>
        <v>1.1631837348241298E-2</v>
      </c>
      <c r="AP82" s="13">
        <v>45417</v>
      </c>
      <c r="AQ82" s="11">
        <v>602.79999999999995</v>
      </c>
      <c r="AR82" s="2"/>
      <c r="AS82" s="2"/>
      <c r="AT82" s="2"/>
      <c r="AU82" s="11">
        <f t="shared" si="11"/>
        <v>602.79999999999995</v>
      </c>
      <c r="AV82" s="2"/>
      <c r="AW82" s="5">
        <f t="shared" si="19"/>
        <v>-1.0725290502108317E-2</v>
      </c>
      <c r="AX82" s="13">
        <v>45417</v>
      </c>
      <c r="AY82" s="2">
        <v>29.4</v>
      </c>
      <c r="AZ82" s="2"/>
      <c r="BA82" s="2"/>
      <c r="BB82" s="2"/>
      <c r="BC82" s="2">
        <f t="shared" si="12"/>
        <v>29.4</v>
      </c>
      <c r="BD82" s="2"/>
      <c r="BE82" s="5">
        <f t="shared" si="20"/>
        <v>1.3698844358161927E-2</v>
      </c>
      <c r="BF82" s="13">
        <v>45417</v>
      </c>
      <c r="BG82" s="2">
        <v>142.19999999999999</v>
      </c>
      <c r="BH82" s="2"/>
      <c r="BI82" s="2"/>
      <c r="BJ82" s="2"/>
      <c r="BK82" s="2">
        <f t="shared" si="13"/>
        <v>142.19999999999999</v>
      </c>
      <c r="BL82" s="2"/>
      <c r="BM82" s="5">
        <f t="shared" si="22"/>
        <v>4.2283361095211049E-3</v>
      </c>
    </row>
    <row r="83" spans="1:65" ht="15.75" customHeight="1" x14ac:dyDescent="0.35">
      <c r="A83" s="675"/>
      <c r="B83" s="13">
        <v>45418</v>
      </c>
      <c r="C83" s="2">
        <v>10.5</v>
      </c>
      <c r="D83" s="2"/>
      <c r="E83" s="2"/>
      <c r="F83" s="2"/>
      <c r="G83" s="11">
        <f t="shared" si="14"/>
        <v>10.5</v>
      </c>
      <c r="H83" s="2"/>
      <c r="I83" s="5">
        <f t="shared" si="21"/>
        <v>-1.8868484304382691E-2</v>
      </c>
      <c r="J83" s="13">
        <v>45418</v>
      </c>
      <c r="K83" s="2">
        <v>34.5</v>
      </c>
      <c r="L83" s="2"/>
      <c r="M83" s="2"/>
      <c r="N83" s="2"/>
      <c r="O83" s="11">
        <f t="shared" si="7"/>
        <v>34.5</v>
      </c>
      <c r="P83" s="2"/>
      <c r="Q83" s="5">
        <f t="shared" si="15"/>
        <v>2.9413885206293407E-2</v>
      </c>
      <c r="R83" s="13">
        <v>45418</v>
      </c>
      <c r="S83" s="2">
        <v>239.7</v>
      </c>
      <c r="T83" s="2"/>
      <c r="U83" s="2"/>
      <c r="V83" s="2"/>
      <c r="W83" s="11">
        <f t="shared" si="8"/>
        <v>239.7</v>
      </c>
      <c r="X83" s="2"/>
      <c r="Y83" s="5">
        <f t="shared" si="16"/>
        <v>8.3472458936874208E-4</v>
      </c>
      <c r="Z83" s="13">
        <v>45418</v>
      </c>
      <c r="AA83" s="2">
        <v>981.6</v>
      </c>
      <c r="AB83" s="2"/>
      <c r="AC83" s="2"/>
      <c r="AD83" s="2"/>
      <c r="AE83" s="2">
        <f t="shared" si="9"/>
        <v>981.6</v>
      </c>
      <c r="AF83" s="2"/>
      <c r="AG83" s="5">
        <f t="shared" si="17"/>
        <v>1.6434223613380004E-2</v>
      </c>
      <c r="AH83" s="13">
        <v>45418</v>
      </c>
      <c r="AI83" s="2">
        <v>778.5</v>
      </c>
      <c r="AJ83" s="2"/>
      <c r="AK83" s="2"/>
      <c r="AL83" s="2"/>
      <c r="AM83" s="2">
        <f t="shared" si="10"/>
        <v>778.5</v>
      </c>
      <c r="AN83" s="2"/>
      <c r="AO83" s="5">
        <f t="shared" si="18"/>
        <v>1.1498091922556311E-2</v>
      </c>
      <c r="AP83" s="13">
        <v>45418</v>
      </c>
      <c r="AQ83" s="11">
        <v>598.79999999999995</v>
      </c>
      <c r="AR83" s="2"/>
      <c r="AS83" s="2"/>
      <c r="AT83" s="2"/>
      <c r="AU83" s="11">
        <f t="shared" si="11"/>
        <v>598.79999999999995</v>
      </c>
      <c r="AV83" s="2"/>
      <c r="AW83" s="5">
        <f t="shared" si="19"/>
        <v>-6.6578142068671551E-3</v>
      </c>
      <c r="AX83" s="13">
        <v>45418</v>
      </c>
      <c r="AY83" s="2">
        <v>30.2</v>
      </c>
      <c r="AZ83" s="2"/>
      <c r="BA83" s="2"/>
      <c r="BB83" s="2"/>
      <c r="BC83" s="2">
        <f t="shared" si="12"/>
        <v>30.2</v>
      </c>
      <c r="BD83" s="2"/>
      <c r="BE83" s="5">
        <f t="shared" si="20"/>
        <v>2.6847250036188056E-2</v>
      </c>
      <c r="BF83" s="13">
        <v>45418</v>
      </c>
      <c r="BG83" s="2">
        <v>141</v>
      </c>
      <c r="BH83" s="2"/>
      <c r="BI83" s="2"/>
      <c r="BJ83" s="2"/>
      <c r="BK83" s="2">
        <f t="shared" si="13"/>
        <v>141</v>
      </c>
      <c r="BL83" s="2"/>
      <c r="BM83" s="5">
        <f t="shared" si="22"/>
        <v>-8.4746269909721211E-3</v>
      </c>
    </row>
    <row r="84" spans="1:65" ht="15.75" customHeight="1" x14ac:dyDescent="0.35">
      <c r="A84" s="675"/>
      <c r="B84" s="13">
        <v>45419</v>
      </c>
      <c r="C84" s="2">
        <v>10.8</v>
      </c>
      <c r="D84" s="2"/>
      <c r="E84" s="2"/>
      <c r="F84" s="2"/>
      <c r="G84" s="11">
        <f t="shared" si="14"/>
        <v>10.8</v>
      </c>
      <c r="H84" s="2"/>
      <c r="I84" s="5">
        <f t="shared" si="21"/>
        <v>2.8170876966696439E-2</v>
      </c>
      <c r="J84" s="13">
        <v>45419</v>
      </c>
      <c r="K84" s="2">
        <v>34.1</v>
      </c>
      <c r="L84" s="2"/>
      <c r="M84" s="2"/>
      <c r="N84" s="2"/>
      <c r="O84" s="11">
        <f t="shared" si="7"/>
        <v>34.1</v>
      </c>
      <c r="P84" s="2"/>
      <c r="Q84" s="5">
        <f t="shared" si="15"/>
        <v>-1.1661939747842975E-2</v>
      </c>
      <c r="R84" s="13">
        <v>45419</v>
      </c>
      <c r="S84" s="2">
        <v>239.5</v>
      </c>
      <c r="T84" s="2"/>
      <c r="U84" s="2"/>
      <c r="V84" s="2"/>
      <c r="W84" s="11">
        <f t="shared" si="8"/>
        <v>239.5</v>
      </c>
      <c r="X84" s="2"/>
      <c r="Y84" s="5">
        <f t="shared" si="16"/>
        <v>-8.3472458936874338E-4</v>
      </c>
      <c r="Z84" s="13">
        <v>45419</v>
      </c>
      <c r="AA84" s="2">
        <v>972.9</v>
      </c>
      <c r="AB84" s="2"/>
      <c r="AC84" s="2"/>
      <c r="AD84" s="2"/>
      <c r="AE84" s="2">
        <f t="shared" si="9"/>
        <v>972.9</v>
      </c>
      <c r="AF84" s="2"/>
      <c r="AG84" s="5">
        <f t="shared" si="17"/>
        <v>-8.9025914153197539E-3</v>
      </c>
      <c r="AH84" s="13">
        <v>45419</v>
      </c>
      <c r="AI84" s="2">
        <v>759.4</v>
      </c>
      <c r="AJ84" s="2"/>
      <c r="AK84" s="2"/>
      <c r="AL84" s="2"/>
      <c r="AM84" s="2">
        <f t="shared" si="10"/>
        <v>759.4</v>
      </c>
      <c r="AN84" s="2"/>
      <c r="AO84" s="5">
        <f t="shared" si="18"/>
        <v>-2.4840343476351102E-2</v>
      </c>
      <c r="AP84" s="13">
        <v>45419</v>
      </c>
      <c r="AQ84" s="11">
        <v>603.29999999999995</v>
      </c>
      <c r="AR84" s="2"/>
      <c r="AS84" s="2"/>
      <c r="AT84" s="2"/>
      <c r="AU84" s="11">
        <f t="shared" si="11"/>
        <v>603.29999999999995</v>
      </c>
      <c r="AV84" s="2"/>
      <c r="AW84" s="5">
        <f t="shared" si="19"/>
        <v>7.4869329012428529E-3</v>
      </c>
      <c r="AX84" s="13">
        <v>45419</v>
      </c>
      <c r="AY84" s="2">
        <v>29.8</v>
      </c>
      <c r="AZ84" s="2"/>
      <c r="BA84" s="2"/>
      <c r="BB84" s="2"/>
      <c r="BC84" s="2">
        <f t="shared" si="12"/>
        <v>29.8</v>
      </c>
      <c r="BD84" s="2"/>
      <c r="BE84" s="5">
        <f t="shared" si="20"/>
        <v>-1.3333530869465144E-2</v>
      </c>
      <c r="BF84" s="13">
        <v>45419</v>
      </c>
      <c r="BG84" s="2">
        <v>139.5</v>
      </c>
      <c r="BH84" s="2"/>
      <c r="BI84" s="2"/>
      <c r="BJ84" s="2"/>
      <c r="BK84" s="2">
        <f t="shared" si="13"/>
        <v>139.5</v>
      </c>
      <c r="BL84" s="2"/>
      <c r="BM84" s="5">
        <f t="shared" si="22"/>
        <v>-1.0695289116747919E-2</v>
      </c>
    </row>
    <row r="85" spans="1:65" ht="15.75" customHeight="1" x14ac:dyDescent="0.35">
      <c r="A85" s="675"/>
      <c r="B85" s="13">
        <v>45420</v>
      </c>
      <c r="C85" s="2">
        <v>10.7</v>
      </c>
      <c r="D85" s="2"/>
      <c r="E85" s="2"/>
      <c r="F85" s="2"/>
      <c r="G85" s="11">
        <f t="shared" si="14"/>
        <v>10.7</v>
      </c>
      <c r="H85" s="2"/>
      <c r="I85" s="5">
        <f t="shared" si="21"/>
        <v>-9.302392662313674E-3</v>
      </c>
      <c r="J85" s="13">
        <v>45420</v>
      </c>
      <c r="K85" s="2">
        <v>34.299999999999997</v>
      </c>
      <c r="L85" s="2"/>
      <c r="M85" s="2"/>
      <c r="N85" s="2"/>
      <c r="O85" s="11">
        <f t="shared" si="7"/>
        <v>34.299999999999997</v>
      </c>
      <c r="P85" s="2"/>
      <c r="Q85" s="5">
        <f t="shared" si="15"/>
        <v>5.8479698824228992E-3</v>
      </c>
      <c r="R85" s="13">
        <v>45420</v>
      </c>
      <c r="S85" s="2">
        <v>238.7</v>
      </c>
      <c r="T85" s="2"/>
      <c r="U85" s="2"/>
      <c r="V85" s="2"/>
      <c r="W85" s="11">
        <f t="shared" si="8"/>
        <v>238.7</v>
      </c>
      <c r="X85" s="2"/>
      <c r="Y85" s="5">
        <f t="shared" si="16"/>
        <v>-3.3458835061855991E-3</v>
      </c>
      <c r="Z85" s="13">
        <v>45420</v>
      </c>
      <c r="AA85" s="2">
        <v>977.6</v>
      </c>
      <c r="AB85" s="2"/>
      <c r="AC85" s="2"/>
      <c r="AD85" s="2"/>
      <c r="AE85" s="2">
        <f t="shared" si="9"/>
        <v>977.6</v>
      </c>
      <c r="AF85" s="2"/>
      <c r="AG85" s="5">
        <f t="shared" si="17"/>
        <v>4.8192864359489218E-3</v>
      </c>
      <c r="AH85" s="13">
        <v>45420</v>
      </c>
      <c r="AI85" s="2">
        <v>755</v>
      </c>
      <c r="AJ85" s="2"/>
      <c r="AK85" s="2"/>
      <c r="AL85" s="2"/>
      <c r="AM85" s="2">
        <f t="shared" si="10"/>
        <v>755</v>
      </c>
      <c r="AN85" s="2"/>
      <c r="AO85" s="5">
        <f t="shared" si="18"/>
        <v>-5.8108985486772123E-3</v>
      </c>
      <c r="AP85" s="13">
        <v>45420</v>
      </c>
      <c r="AQ85" s="11">
        <v>604.29999999999995</v>
      </c>
      <c r="AR85" s="2"/>
      <c r="AS85" s="2"/>
      <c r="AT85" s="2"/>
      <c r="AU85" s="11">
        <f t="shared" si="11"/>
        <v>604.29999999999995</v>
      </c>
      <c r="AV85" s="2"/>
      <c r="AW85" s="5">
        <f t="shared" si="19"/>
        <v>1.6561779207967726E-3</v>
      </c>
      <c r="AX85" s="13">
        <v>45420</v>
      </c>
      <c r="AY85" s="2">
        <v>29.2</v>
      </c>
      <c r="AZ85" s="2"/>
      <c r="BA85" s="2"/>
      <c r="BB85" s="2"/>
      <c r="BC85" s="2">
        <f t="shared" si="12"/>
        <v>29.2</v>
      </c>
      <c r="BD85" s="2"/>
      <c r="BE85" s="5">
        <f t="shared" si="20"/>
        <v>-2.0339684237122787E-2</v>
      </c>
      <c r="BF85" s="13">
        <v>45420</v>
      </c>
      <c r="BG85" s="2">
        <v>141</v>
      </c>
      <c r="BH85" s="2"/>
      <c r="BI85" s="2"/>
      <c r="BJ85" s="2"/>
      <c r="BK85" s="2">
        <f t="shared" si="13"/>
        <v>141</v>
      </c>
      <c r="BL85" s="2"/>
      <c r="BM85" s="5">
        <f t="shared" si="22"/>
        <v>1.069528911674795E-2</v>
      </c>
    </row>
    <row r="86" spans="1:65" ht="15.75" customHeight="1" x14ac:dyDescent="0.35">
      <c r="A86" s="675"/>
      <c r="B86" s="13">
        <v>45421</v>
      </c>
      <c r="C86" s="2">
        <v>10.7</v>
      </c>
      <c r="D86" s="2"/>
      <c r="E86" s="2"/>
      <c r="F86" s="2"/>
      <c r="G86" s="11">
        <f t="shared" si="14"/>
        <v>10.7</v>
      </c>
      <c r="H86" s="2"/>
      <c r="I86" s="5">
        <f t="shared" si="21"/>
        <v>0</v>
      </c>
      <c r="J86" s="13">
        <v>45421</v>
      </c>
      <c r="K86" s="2">
        <v>34</v>
      </c>
      <c r="L86" s="2"/>
      <c r="M86" s="2"/>
      <c r="N86" s="2"/>
      <c r="O86" s="11">
        <f t="shared" si="7"/>
        <v>34</v>
      </c>
      <c r="P86" s="2"/>
      <c r="Q86" s="5">
        <f t="shared" si="15"/>
        <v>-8.7848295557328027E-3</v>
      </c>
      <c r="R86" s="13">
        <v>45421</v>
      </c>
      <c r="S86" s="2">
        <v>237.4</v>
      </c>
      <c r="T86" s="2"/>
      <c r="U86" s="2"/>
      <c r="V86" s="2"/>
      <c r="W86" s="11">
        <f t="shared" si="8"/>
        <v>237.4</v>
      </c>
      <c r="X86" s="2"/>
      <c r="Y86" s="5">
        <f t="shared" si="16"/>
        <v>-5.4610511692166639E-3</v>
      </c>
      <c r="Z86" s="13">
        <v>45421</v>
      </c>
      <c r="AA86" s="2">
        <v>965.3</v>
      </c>
      <c r="AB86" s="2"/>
      <c r="AC86" s="2"/>
      <c r="AD86" s="2"/>
      <c r="AE86" s="2">
        <f t="shared" si="9"/>
        <v>965.3</v>
      </c>
      <c r="AF86" s="2"/>
      <c r="AG86" s="5">
        <f t="shared" si="17"/>
        <v>-1.2661654562761471E-2</v>
      </c>
      <c r="AH86" s="13">
        <v>45421</v>
      </c>
      <c r="AI86" s="2">
        <v>753.9</v>
      </c>
      <c r="AJ86" s="2"/>
      <c r="AK86" s="2"/>
      <c r="AL86" s="2"/>
      <c r="AM86" s="2">
        <f t="shared" si="10"/>
        <v>753.9</v>
      </c>
      <c r="AN86" s="2"/>
      <c r="AO86" s="5">
        <f t="shared" si="18"/>
        <v>-1.4580160313685964E-3</v>
      </c>
      <c r="AP86" s="13">
        <v>45421</v>
      </c>
      <c r="AQ86" s="11">
        <v>597</v>
      </c>
      <c r="AR86" s="2"/>
      <c r="AS86" s="2"/>
      <c r="AT86" s="2"/>
      <c r="AU86" s="11">
        <f t="shared" si="11"/>
        <v>597</v>
      </c>
      <c r="AV86" s="2"/>
      <c r="AW86" s="5">
        <f t="shared" si="19"/>
        <v>-1.215364997491067E-2</v>
      </c>
      <c r="AX86" s="13">
        <v>45421</v>
      </c>
      <c r="AY86" s="2">
        <v>28.8</v>
      </c>
      <c r="AZ86" s="2"/>
      <c r="BA86" s="2"/>
      <c r="BB86" s="2"/>
      <c r="BC86" s="2">
        <f t="shared" si="12"/>
        <v>28.8</v>
      </c>
      <c r="BD86" s="2"/>
      <c r="BE86" s="5">
        <f t="shared" si="20"/>
        <v>-1.3793322132335761E-2</v>
      </c>
      <c r="BF86" s="13">
        <v>45421</v>
      </c>
      <c r="BG86" s="2">
        <v>139.4</v>
      </c>
      <c r="BH86" s="2"/>
      <c r="BI86" s="2"/>
      <c r="BJ86" s="2"/>
      <c r="BK86" s="2">
        <f t="shared" si="13"/>
        <v>139.4</v>
      </c>
      <c r="BL86" s="2"/>
      <c r="BM86" s="5">
        <f t="shared" si="22"/>
        <v>-1.1412392051744673E-2</v>
      </c>
    </row>
    <row r="87" spans="1:65" ht="15.75" customHeight="1" x14ac:dyDescent="0.35">
      <c r="A87" s="675"/>
      <c r="B87" s="13">
        <v>45424</v>
      </c>
      <c r="C87" s="2">
        <v>10.8</v>
      </c>
      <c r="D87" s="2"/>
      <c r="E87" s="2"/>
      <c r="F87" s="2"/>
      <c r="G87" s="11">
        <f t="shared" si="14"/>
        <v>10.8</v>
      </c>
      <c r="H87" s="2"/>
      <c r="I87" s="5">
        <f t="shared" si="21"/>
        <v>9.3023926623136306E-3</v>
      </c>
      <c r="J87" s="13">
        <v>45424</v>
      </c>
      <c r="K87" s="2">
        <v>33.5</v>
      </c>
      <c r="L87" s="6"/>
      <c r="M87" s="2"/>
      <c r="N87" s="2"/>
      <c r="O87" s="11">
        <f>K87+K87*L87+K87*M87-N87*M87</f>
        <v>33.5</v>
      </c>
      <c r="P87" s="2"/>
      <c r="Q87" s="5">
        <f t="shared" si="15"/>
        <v>-1.4815085785140587E-2</v>
      </c>
      <c r="R87" s="13">
        <v>45424</v>
      </c>
      <c r="S87" s="2">
        <v>236.9</v>
      </c>
      <c r="T87" s="2"/>
      <c r="U87" s="2"/>
      <c r="V87" s="2"/>
      <c r="W87" s="11">
        <f t="shared" si="8"/>
        <v>236.9</v>
      </c>
      <c r="X87" s="2"/>
      <c r="Y87" s="5">
        <f t="shared" si="16"/>
        <v>-2.1083710108278299E-3</v>
      </c>
      <c r="Z87" s="13">
        <v>45424</v>
      </c>
      <c r="AA87" s="2">
        <v>989.4</v>
      </c>
      <c r="AB87" s="2"/>
      <c r="AC87" s="2"/>
      <c r="AD87" s="2"/>
      <c r="AE87" s="2">
        <f t="shared" si="9"/>
        <v>989.4</v>
      </c>
      <c r="AF87" s="2"/>
      <c r="AG87" s="5">
        <f t="shared" si="17"/>
        <v>2.4659764939038903E-2</v>
      </c>
      <c r="AH87" s="13">
        <v>45424</v>
      </c>
      <c r="AI87" s="2">
        <v>751.2</v>
      </c>
      <c r="AJ87" s="2"/>
      <c r="AK87" s="2"/>
      <c r="AL87" s="2"/>
      <c r="AM87" s="2">
        <f t="shared" si="10"/>
        <v>751.2</v>
      </c>
      <c r="AN87" s="2"/>
      <c r="AO87" s="5">
        <f t="shared" si="18"/>
        <v>-3.5878053236029629E-3</v>
      </c>
      <c r="AP87" s="13">
        <v>45424</v>
      </c>
      <c r="AQ87" s="11">
        <v>597.1</v>
      </c>
      <c r="AR87" s="2"/>
      <c r="AS87" s="2"/>
      <c r="AT87" s="2"/>
      <c r="AU87" s="11">
        <f t="shared" si="11"/>
        <v>597.1</v>
      </c>
      <c r="AV87" s="2"/>
      <c r="AW87" s="5">
        <f t="shared" si="19"/>
        <v>1.6749016034476767E-4</v>
      </c>
      <c r="AX87" s="13">
        <v>45424</v>
      </c>
      <c r="AY87" s="2">
        <v>29.2</v>
      </c>
      <c r="AZ87" s="2"/>
      <c r="BA87" s="2"/>
      <c r="BB87" s="2"/>
      <c r="BC87" s="2">
        <f t="shared" si="12"/>
        <v>29.2</v>
      </c>
      <c r="BD87" s="2"/>
      <c r="BE87" s="5">
        <f t="shared" si="20"/>
        <v>1.3793322132335769E-2</v>
      </c>
      <c r="BF87" s="13">
        <v>45424</v>
      </c>
      <c r="BG87" s="2">
        <v>135.4</v>
      </c>
      <c r="BH87" s="2"/>
      <c r="BI87" s="2"/>
      <c r="BJ87" s="2"/>
      <c r="BK87" s="2">
        <f t="shared" si="13"/>
        <v>135.4</v>
      </c>
      <c r="BL87" s="2"/>
      <c r="BM87" s="5">
        <f t="shared" si="22"/>
        <v>-2.9114137848248883E-2</v>
      </c>
    </row>
    <row r="88" spans="1:65" ht="15.75" customHeight="1" x14ac:dyDescent="0.35">
      <c r="A88" s="675"/>
      <c r="B88" s="13">
        <v>45425</v>
      </c>
      <c r="C88" s="2">
        <v>10.8</v>
      </c>
      <c r="D88" s="2"/>
      <c r="E88" s="2"/>
      <c r="F88" s="2"/>
      <c r="G88" s="11">
        <f t="shared" si="14"/>
        <v>10.8</v>
      </c>
      <c r="H88" s="2"/>
      <c r="I88" s="5">
        <f t="shared" si="21"/>
        <v>0</v>
      </c>
      <c r="J88" s="13">
        <v>45425</v>
      </c>
      <c r="K88" s="2">
        <v>33</v>
      </c>
      <c r="L88" s="2"/>
      <c r="M88" s="2"/>
      <c r="N88" s="2"/>
      <c r="O88" s="11">
        <f t="shared" si="7"/>
        <v>33</v>
      </c>
      <c r="P88" s="2"/>
      <c r="Q88" s="5">
        <f t="shared" si="15"/>
        <v>-1.5037877364540559E-2</v>
      </c>
      <c r="R88" s="13">
        <v>45425</v>
      </c>
      <c r="S88" s="2">
        <v>238.6</v>
      </c>
      <c r="T88" s="2"/>
      <c r="U88" s="2"/>
      <c r="V88" s="2"/>
      <c r="W88" s="11">
        <f t="shared" si="8"/>
        <v>238.6</v>
      </c>
      <c r="X88" s="2"/>
      <c r="Y88" s="5">
        <f t="shared" si="16"/>
        <v>7.1503984990758428E-3</v>
      </c>
      <c r="Z88" s="13">
        <v>45425</v>
      </c>
      <c r="AA88" s="2">
        <v>963.7</v>
      </c>
      <c r="AB88" s="2"/>
      <c r="AC88" s="2"/>
      <c r="AD88" s="2"/>
      <c r="AE88" s="2">
        <f t="shared" si="9"/>
        <v>963.7</v>
      </c>
      <c r="AF88" s="2"/>
      <c r="AG88" s="5">
        <f t="shared" si="17"/>
        <v>-2.6318655936366387E-2</v>
      </c>
      <c r="AH88" s="13">
        <v>45425</v>
      </c>
      <c r="AI88" s="2">
        <v>744</v>
      </c>
      <c r="AJ88" s="2"/>
      <c r="AK88" s="2"/>
      <c r="AL88" s="2"/>
      <c r="AM88" s="2">
        <f t="shared" si="10"/>
        <v>744</v>
      </c>
      <c r="AN88" s="2"/>
      <c r="AO88" s="5">
        <f t="shared" si="18"/>
        <v>-9.6308930609613E-3</v>
      </c>
      <c r="AP88" s="13">
        <v>45425</v>
      </c>
      <c r="AQ88" s="11">
        <v>595.20000000000005</v>
      </c>
      <c r="AR88" s="2"/>
      <c r="AS88" s="2"/>
      <c r="AT88" s="2"/>
      <c r="AU88" s="11">
        <f t="shared" si="11"/>
        <v>595.20000000000005</v>
      </c>
      <c r="AV88" s="2"/>
      <c r="AW88" s="5">
        <f t="shared" si="19"/>
        <v>-3.1871200340645995E-3</v>
      </c>
      <c r="AX88" s="13">
        <v>45425</v>
      </c>
      <c r="AY88" s="2">
        <v>28.8</v>
      </c>
      <c r="AZ88" s="2"/>
      <c r="BA88" s="2"/>
      <c r="BB88" s="2"/>
      <c r="BC88" s="2">
        <f t="shared" si="12"/>
        <v>28.8</v>
      </c>
      <c r="BD88" s="2"/>
      <c r="BE88" s="5">
        <f t="shared" si="20"/>
        <v>-1.3793322132335761E-2</v>
      </c>
      <c r="BF88" s="13">
        <v>45425</v>
      </c>
      <c r="BG88" s="2">
        <v>134</v>
      </c>
      <c r="BH88" s="2"/>
      <c r="BI88" s="2"/>
      <c r="BJ88" s="2"/>
      <c r="BK88" s="2">
        <f t="shared" si="13"/>
        <v>134</v>
      </c>
      <c r="BL88" s="2"/>
      <c r="BM88" s="5">
        <f t="shared" si="22"/>
        <v>-1.0393560527263307E-2</v>
      </c>
    </row>
    <row r="89" spans="1:65" ht="15.75" customHeight="1" x14ac:dyDescent="0.35">
      <c r="A89" s="675"/>
      <c r="B89" s="13">
        <v>45426</v>
      </c>
      <c r="C89" s="2">
        <v>10.5</v>
      </c>
      <c r="D89" s="2"/>
      <c r="E89" s="2"/>
      <c r="F89" s="2"/>
      <c r="G89" s="11">
        <f t="shared" si="14"/>
        <v>10.5</v>
      </c>
      <c r="H89" s="2"/>
      <c r="I89" s="5">
        <f t="shared" si="21"/>
        <v>-2.8170876966696335E-2</v>
      </c>
      <c r="J89" s="13">
        <v>45426</v>
      </c>
      <c r="K89" s="2">
        <v>32.5</v>
      </c>
      <c r="L89" s="2"/>
      <c r="M89" s="2"/>
      <c r="N89" s="2"/>
      <c r="O89" s="11">
        <f t="shared" si="7"/>
        <v>32.5</v>
      </c>
      <c r="P89" s="2"/>
      <c r="Q89" s="5">
        <f t="shared" si="15"/>
        <v>-1.5267472130788421E-2</v>
      </c>
      <c r="R89" s="13">
        <v>45426</v>
      </c>
      <c r="S89" s="2">
        <v>237</v>
      </c>
      <c r="T89" s="2"/>
      <c r="U89" s="2"/>
      <c r="V89" s="2"/>
      <c r="W89" s="11">
        <f t="shared" si="8"/>
        <v>237</v>
      </c>
      <c r="X89" s="2"/>
      <c r="Y89" s="5">
        <f t="shared" si="16"/>
        <v>-6.7283685286845321E-3</v>
      </c>
      <c r="Z89" s="13">
        <v>45426</v>
      </c>
      <c r="AA89" s="2">
        <v>966</v>
      </c>
      <c r="AB89" s="2"/>
      <c r="AC89" s="2"/>
      <c r="AD89" s="2"/>
      <c r="AE89" s="2">
        <f t="shared" si="9"/>
        <v>966</v>
      </c>
      <c r="AF89" s="2"/>
      <c r="AG89" s="5">
        <f t="shared" si="17"/>
        <v>2.3837913552761975E-3</v>
      </c>
      <c r="AH89" s="13">
        <v>45426</v>
      </c>
      <c r="AI89" s="2">
        <v>728.1</v>
      </c>
      <c r="AJ89" s="2"/>
      <c r="AK89" s="2"/>
      <c r="AL89" s="2"/>
      <c r="AM89" s="2">
        <f t="shared" si="10"/>
        <v>728.1</v>
      </c>
      <c r="AN89" s="2"/>
      <c r="AO89" s="5">
        <f t="shared" si="18"/>
        <v>-2.1602633432426469E-2</v>
      </c>
      <c r="AP89" s="13">
        <v>45426</v>
      </c>
      <c r="AQ89" s="11">
        <v>592.5</v>
      </c>
      <c r="AR89" s="2"/>
      <c r="AS89" s="2"/>
      <c r="AT89" s="2"/>
      <c r="AU89" s="11">
        <f t="shared" si="11"/>
        <v>592.5</v>
      </c>
      <c r="AV89" s="2"/>
      <c r="AW89" s="5">
        <f t="shared" si="19"/>
        <v>-4.5466105095959526E-3</v>
      </c>
      <c r="AX89" s="13">
        <v>45426</v>
      </c>
      <c r="AY89" s="2">
        <v>28.5</v>
      </c>
      <c r="AZ89" s="2"/>
      <c r="BA89" s="2"/>
      <c r="BB89" s="2"/>
      <c r="BC89" s="2">
        <f t="shared" si="12"/>
        <v>28.5</v>
      </c>
      <c r="BD89" s="2"/>
      <c r="BE89" s="5">
        <f t="shared" si="20"/>
        <v>-1.0471299867295478E-2</v>
      </c>
      <c r="BF89" s="13">
        <v>45426</v>
      </c>
      <c r="BG89" s="2">
        <v>132.19999999999999</v>
      </c>
      <c r="BH89" s="2"/>
      <c r="BI89" s="2"/>
      <c r="BJ89" s="2"/>
      <c r="BK89" s="2">
        <f t="shared" si="13"/>
        <v>132.19999999999999</v>
      </c>
      <c r="BL89" s="2"/>
      <c r="BM89" s="5">
        <f t="shared" si="22"/>
        <v>-1.3523872533325543E-2</v>
      </c>
    </row>
    <row r="90" spans="1:65" ht="15.75" customHeight="1" x14ac:dyDescent="0.35">
      <c r="A90" s="675"/>
      <c r="B90" s="13">
        <v>45427</v>
      </c>
      <c r="C90" s="2">
        <v>10.5</v>
      </c>
      <c r="D90" s="2"/>
      <c r="E90" s="2"/>
      <c r="F90" s="2"/>
      <c r="G90" s="11">
        <f t="shared" si="14"/>
        <v>10.5</v>
      </c>
      <c r="H90" s="2"/>
      <c r="I90" s="5">
        <f t="shared" si="21"/>
        <v>0</v>
      </c>
      <c r="J90" s="13">
        <v>45427</v>
      </c>
      <c r="K90" s="2">
        <v>32.299999999999997</v>
      </c>
      <c r="L90" s="2"/>
      <c r="M90" s="2"/>
      <c r="N90" s="2"/>
      <c r="O90" s="11">
        <f t="shared" si="7"/>
        <v>32.299999999999997</v>
      </c>
      <c r="P90" s="2"/>
      <c r="Q90" s="5">
        <f t="shared" si="15"/>
        <v>-6.1728591070810794E-3</v>
      </c>
      <c r="R90" s="13">
        <v>45427</v>
      </c>
      <c r="S90" s="2">
        <v>233.6</v>
      </c>
      <c r="T90" s="2"/>
      <c r="U90" s="2"/>
      <c r="V90" s="2"/>
      <c r="W90" s="11">
        <f t="shared" si="8"/>
        <v>233.6</v>
      </c>
      <c r="X90" s="2"/>
      <c r="Y90" s="5">
        <f t="shared" si="16"/>
        <v>-1.4449890181059195E-2</v>
      </c>
      <c r="Z90" s="13">
        <v>45427</v>
      </c>
      <c r="AA90" s="2">
        <v>954.9</v>
      </c>
      <c r="AB90" s="2"/>
      <c r="AC90" s="2"/>
      <c r="AD90" s="2"/>
      <c r="AE90" s="2">
        <f t="shared" si="9"/>
        <v>954.9</v>
      </c>
      <c r="AF90" s="2"/>
      <c r="AG90" s="5">
        <f t="shared" si="17"/>
        <v>-1.1557211256361223E-2</v>
      </c>
      <c r="AH90" s="13">
        <v>45427</v>
      </c>
      <c r="AI90" s="2">
        <v>709.2</v>
      </c>
      <c r="AJ90" s="2"/>
      <c r="AK90" s="2"/>
      <c r="AL90" s="2"/>
      <c r="AM90" s="2">
        <f t="shared" si="10"/>
        <v>709.2</v>
      </c>
      <c r="AN90" s="2"/>
      <c r="AO90" s="5">
        <f t="shared" si="18"/>
        <v>-2.6300827200612574E-2</v>
      </c>
      <c r="AP90" s="13">
        <v>45427</v>
      </c>
      <c r="AQ90" s="11">
        <v>580.5</v>
      </c>
      <c r="AR90" s="2"/>
      <c r="AS90" s="2"/>
      <c r="AT90" s="2"/>
      <c r="AU90" s="11">
        <f t="shared" si="11"/>
        <v>580.5</v>
      </c>
      <c r="AV90" s="2"/>
      <c r="AW90" s="5">
        <f t="shared" si="19"/>
        <v>-2.046107187134006E-2</v>
      </c>
      <c r="AX90" s="13">
        <v>45427</v>
      </c>
      <c r="AY90" s="2">
        <v>27.8</v>
      </c>
      <c r="AZ90" s="2"/>
      <c r="BA90" s="2"/>
      <c r="BB90" s="2"/>
      <c r="BC90" s="2">
        <f t="shared" si="12"/>
        <v>27.8</v>
      </c>
      <c r="BD90" s="2"/>
      <c r="BE90" s="5">
        <f t="shared" si="20"/>
        <v>-2.4868066578013423E-2</v>
      </c>
      <c r="BF90" s="13">
        <v>45427</v>
      </c>
      <c r="BG90" s="2">
        <v>132.69999999999999</v>
      </c>
      <c r="BH90" s="2"/>
      <c r="BI90" s="2"/>
      <c r="BJ90" s="2"/>
      <c r="BK90" s="2">
        <f t="shared" si="13"/>
        <v>132.69999999999999</v>
      </c>
      <c r="BL90" s="2"/>
      <c r="BM90" s="5">
        <f t="shared" si="22"/>
        <v>3.7750139205759508E-3</v>
      </c>
    </row>
    <row r="91" spans="1:65" ht="15.75" customHeight="1" x14ac:dyDescent="0.35">
      <c r="A91" s="675"/>
      <c r="B91" s="13">
        <v>45428</v>
      </c>
      <c r="C91" s="2">
        <v>10.5</v>
      </c>
      <c r="D91" s="2"/>
      <c r="E91" s="2"/>
      <c r="F91" s="2"/>
      <c r="G91" s="11">
        <f t="shared" si="14"/>
        <v>10.5</v>
      </c>
      <c r="H91" s="2"/>
      <c r="I91" s="5">
        <f t="shared" si="21"/>
        <v>0</v>
      </c>
      <c r="J91" s="13">
        <v>45428</v>
      </c>
      <c r="K91" s="2">
        <v>32.1</v>
      </c>
      <c r="L91" s="2"/>
      <c r="M91" s="2"/>
      <c r="N91" s="2"/>
      <c r="O91" s="11">
        <f t="shared" si="7"/>
        <v>32.1</v>
      </c>
      <c r="P91" s="2"/>
      <c r="Q91" s="5">
        <f t="shared" si="15"/>
        <v>-6.2112000926405238E-3</v>
      </c>
      <c r="R91" s="13">
        <v>45428</v>
      </c>
      <c r="S91" s="2">
        <v>232.3</v>
      </c>
      <c r="T91" s="2"/>
      <c r="U91" s="2"/>
      <c r="V91" s="2"/>
      <c r="W91" s="11">
        <f t="shared" si="8"/>
        <v>232.3</v>
      </c>
      <c r="X91" s="2"/>
      <c r="Y91" s="5">
        <f t="shared" si="16"/>
        <v>-5.5806111777084869E-3</v>
      </c>
      <c r="Z91" s="13">
        <v>45428</v>
      </c>
      <c r="AA91" s="2">
        <v>954.9</v>
      </c>
      <c r="AB91" s="2"/>
      <c r="AC91" s="2"/>
      <c r="AD91" s="2"/>
      <c r="AE91" s="2">
        <f t="shared" si="9"/>
        <v>954.9</v>
      </c>
      <c r="AF91" s="2"/>
      <c r="AG91" s="5">
        <f t="shared" si="17"/>
        <v>0</v>
      </c>
      <c r="AH91" s="13">
        <v>45428</v>
      </c>
      <c r="AI91" s="2">
        <v>699.5</v>
      </c>
      <c r="AJ91" s="2"/>
      <c r="AK91" s="2"/>
      <c r="AL91" s="2"/>
      <c r="AM91" s="2">
        <f t="shared" si="10"/>
        <v>699.5</v>
      </c>
      <c r="AN91" s="2"/>
      <c r="AO91" s="5">
        <f t="shared" si="18"/>
        <v>-1.3771780094517053E-2</v>
      </c>
      <c r="AP91" s="13">
        <v>45428</v>
      </c>
      <c r="AQ91" s="11">
        <v>580.1</v>
      </c>
      <c r="AR91" s="2"/>
      <c r="AS91" s="2"/>
      <c r="AT91" s="2"/>
      <c r="AU91" s="11">
        <f t="shared" si="11"/>
        <v>580.1</v>
      </c>
      <c r="AV91" s="2"/>
      <c r="AW91" s="5">
        <f t="shared" si="19"/>
        <v>-6.8929866592755211E-4</v>
      </c>
      <c r="AX91" s="13">
        <v>45428</v>
      </c>
      <c r="AY91" s="2">
        <v>27.8</v>
      </c>
      <c r="AZ91" s="2"/>
      <c r="BA91" s="2"/>
      <c r="BB91" s="2"/>
      <c r="BC91" s="2">
        <f t="shared" si="12"/>
        <v>27.8</v>
      </c>
      <c r="BD91" s="2"/>
      <c r="BE91" s="5">
        <f t="shared" si="20"/>
        <v>0</v>
      </c>
      <c r="BF91" s="13">
        <v>45428</v>
      </c>
      <c r="BG91" s="2">
        <v>131.4</v>
      </c>
      <c r="BH91" s="2"/>
      <c r="BI91" s="2"/>
      <c r="BJ91" s="2"/>
      <c r="BK91" s="2">
        <f t="shared" si="13"/>
        <v>131.4</v>
      </c>
      <c r="BL91" s="2"/>
      <c r="BM91" s="5">
        <f t="shared" si="22"/>
        <v>-9.8448352876515967E-3</v>
      </c>
    </row>
    <row r="92" spans="1:65" ht="15.75" customHeight="1" x14ac:dyDescent="0.35">
      <c r="A92" s="675"/>
      <c r="B92" s="13">
        <v>45431</v>
      </c>
      <c r="C92" s="2">
        <v>10.5</v>
      </c>
      <c r="D92" s="2"/>
      <c r="E92" s="2"/>
      <c r="F92" s="2"/>
      <c r="G92" s="11">
        <f t="shared" si="14"/>
        <v>10.5</v>
      </c>
      <c r="H92" s="2"/>
      <c r="I92" s="5">
        <f t="shared" si="21"/>
        <v>0</v>
      </c>
      <c r="J92" s="13">
        <v>45431</v>
      </c>
      <c r="K92" s="2">
        <v>31.2</v>
      </c>
      <c r="L92" s="2"/>
      <c r="M92" s="2"/>
      <c r="N92" s="2"/>
      <c r="O92" s="11">
        <f t="shared" si="7"/>
        <v>31.2</v>
      </c>
      <c r="P92" s="2"/>
      <c r="Q92" s="5">
        <f t="shared" si="15"/>
        <v>-2.8437935320533625E-2</v>
      </c>
      <c r="R92" s="13">
        <v>45431</v>
      </c>
      <c r="S92" s="2">
        <v>225.8</v>
      </c>
      <c r="T92" s="2"/>
      <c r="U92" s="2"/>
      <c r="V92" s="2"/>
      <c r="W92" s="11">
        <f t="shared" si="8"/>
        <v>225.8</v>
      </c>
      <c r="X92" s="2"/>
      <c r="Y92" s="5">
        <f t="shared" si="16"/>
        <v>-2.837998806080182E-2</v>
      </c>
      <c r="Z92" s="13">
        <v>45431</v>
      </c>
      <c r="AA92" s="2">
        <v>945.9</v>
      </c>
      <c r="AB92" s="2"/>
      <c r="AC92" s="2"/>
      <c r="AD92" s="2"/>
      <c r="AE92" s="2">
        <f t="shared" si="9"/>
        <v>945.9</v>
      </c>
      <c r="AF92" s="2">
        <v>10.5</v>
      </c>
      <c r="AG92" s="5">
        <f t="shared" si="17"/>
        <v>1.5696126280127869E-3</v>
      </c>
      <c r="AH92" s="13">
        <v>45431</v>
      </c>
      <c r="AI92" s="2">
        <v>680.5</v>
      </c>
      <c r="AJ92" s="2"/>
      <c r="AK92" s="2"/>
      <c r="AL92" s="2"/>
      <c r="AM92" s="2">
        <f t="shared" si="10"/>
        <v>680.5</v>
      </c>
      <c r="AN92" s="2"/>
      <c r="AO92" s="5">
        <f t="shared" si="18"/>
        <v>-2.7537972014015078E-2</v>
      </c>
      <c r="AP92" s="13">
        <v>45431</v>
      </c>
      <c r="AQ92" s="11">
        <v>562.70000000000005</v>
      </c>
      <c r="AR92" s="2"/>
      <c r="AS92" s="2"/>
      <c r="AT92" s="2"/>
      <c r="AU92" s="11">
        <f t="shared" si="11"/>
        <v>562.70000000000005</v>
      </c>
      <c r="AV92" s="2"/>
      <c r="AW92" s="5">
        <f t="shared" si="19"/>
        <v>-3.0453876032785321E-2</v>
      </c>
      <c r="AX92" s="13">
        <v>45431</v>
      </c>
      <c r="AY92" s="2">
        <v>27</v>
      </c>
      <c r="AZ92" s="2"/>
      <c r="BA92" s="2"/>
      <c r="BB92" s="2"/>
      <c r="BC92" s="2">
        <f t="shared" si="12"/>
        <v>27</v>
      </c>
      <c r="BD92" s="2"/>
      <c r="BE92" s="5">
        <f t="shared" si="20"/>
        <v>-2.9199154692262353E-2</v>
      </c>
      <c r="BF92" s="13">
        <v>45431</v>
      </c>
      <c r="BG92" s="2">
        <v>130.9</v>
      </c>
      <c r="BH92" s="2"/>
      <c r="BI92" s="2"/>
      <c r="BJ92" s="2"/>
      <c r="BK92" s="2">
        <f t="shared" si="13"/>
        <v>130.9</v>
      </c>
      <c r="BL92" s="2"/>
      <c r="BM92" s="5">
        <f t="shared" si="22"/>
        <v>-3.8124331346559197E-3</v>
      </c>
    </row>
    <row r="93" spans="1:65" ht="15.75" customHeight="1" x14ac:dyDescent="0.35">
      <c r="A93" s="675"/>
      <c r="B93" s="13">
        <v>45432</v>
      </c>
      <c r="C93" s="2">
        <v>10.199999999999999</v>
      </c>
      <c r="D93" s="2"/>
      <c r="E93" s="2"/>
      <c r="F93" s="2"/>
      <c r="G93" s="11">
        <f t="shared" si="14"/>
        <v>10.199999999999999</v>
      </c>
      <c r="H93" s="2"/>
      <c r="I93" s="5">
        <f t="shared" si="21"/>
        <v>-2.8987536873252413E-2</v>
      </c>
      <c r="J93" s="13">
        <v>45432</v>
      </c>
      <c r="K93" s="2">
        <v>31</v>
      </c>
      <c r="L93" s="2"/>
      <c r="M93" s="2"/>
      <c r="N93" s="2"/>
      <c r="O93" s="11">
        <f t="shared" si="7"/>
        <v>31</v>
      </c>
      <c r="P93" s="2"/>
      <c r="Q93" s="5">
        <f t="shared" si="15"/>
        <v>-6.4308903302904025E-3</v>
      </c>
      <c r="R93" s="13">
        <v>45432</v>
      </c>
      <c r="S93" s="2">
        <v>224.4</v>
      </c>
      <c r="T93" s="2"/>
      <c r="U93" s="2"/>
      <c r="V93" s="2"/>
      <c r="W93" s="11">
        <f t="shared" si="8"/>
        <v>224.4</v>
      </c>
      <c r="X93" s="2"/>
      <c r="Y93" s="5">
        <f t="shared" si="16"/>
        <v>-6.2194780670204201E-3</v>
      </c>
      <c r="Z93" s="13">
        <v>45432</v>
      </c>
      <c r="AA93" s="2">
        <v>933</v>
      </c>
      <c r="AB93" s="2"/>
      <c r="AC93" s="2"/>
      <c r="AD93" s="2"/>
      <c r="AE93" s="2">
        <f t="shared" si="9"/>
        <v>933</v>
      </c>
      <c r="AF93" s="2"/>
      <c r="AG93" s="5">
        <f t="shared" si="17"/>
        <v>-1.3731654371781013E-2</v>
      </c>
      <c r="AH93" s="13">
        <v>45432</v>
      </c>
      <c r="AI93" s="2">
        <v>677</v>
      </c>
      <c r="AJ93" s="2"/>
      <c r="AK93" s="2"/>
      <c r="AL93" s="2"/>
      <c r="AM93" s="2">
        <f t="shared" si="10"/>
        <v>677</v>
      </c>
      <c r="AN93" s="2"/>
      <c r="AO93" s="5">
        <f t="shared" si="18"/>
        <v>-5.1565491792458021E-3</v>
      </c>
      <c r="AP93" s="13">
        <v>45432</v>
      </c>
      <c r="AQ93" s="11">
        <v>547.1</v>
      </c>
      <c r="AR93" s="2"/>
      <c r="AS93" s="2"/>
      <c r="AT93" s="2"/>
      <c r="AU93" s="11">
        <f t="shared" si="11"/>
        <v>547.1</v>
      </c>
      <c r="AV93" s="2"/>
      <c r="AW93" s="5">
        <f t="shared" si="19"/>
        <v>-2.8115025369453144E-2</v>
      </c>
      <c r="AX93" s="13">
        <v>45432</v>
      </c>
      <c r="AY93" s="2">
        <v>26.4</v>
      </c>
      <c r="AZ93" s="2"/>
      <c r="BA93" s="2"/>
      <c r="BB93" s="2"/>
      <c r="BC93" s="2">
        <f t="shared" si="12"/>
        <v>26.4</v>
      </c>
      <c r="BD93" s="2"/>
      <c r="BE93" s="5">
        <f t="shared" si="20"/>
        <v>-2.2472855852058628E-2</v>
      </c>
      <c r="BF93" s="13">
        <v>45432</v>
      </c>
      <c r="BG93" s="2">
        <v>128.5</v>
      </c>
      <c r="BH93" s="2"/>
      <c r="BI93" s="2"/>
      <c r="BJ93" s="2"/>
      <c r="BK93" s="2">
        <f t="shared" si="13"/>
        <v>128.5</v>
      </c>
      <c r="BL93" s="2"/>
      <c r="BM93" s="5">
        <f t="shared" si="22"/>
        <v>-1.8504768580579783E-2</v>
      </c>
    </row>
    <row r="94" spans="1:65" ht="15.75" customHeight="1" x14ac:dyDescent="0.35">
      <c r="A94" s="675"/>
      <c r="B94" s="13">
        <v>45433</v>
      </c>
      <c r="C94" s="2">
        <v>10.199999999999999</v>
      </c>
      <c r="D94" s="2"/>
      <c r="E94" s="2"/>
      <c r="F94" s="2"/>
      <c r="G94" s="11">
        <f t="shared" si="14"/>
        <v>10.199999999999999</v>
      </c>
      <c r="H94" s="2"/>
      <c r="I94" s="5">
        <f t="shared" si="21"/>
        <v>0</v>
      </c>
      <c r="J94" s="13">
        <v>45433</v>
      </c>
      <c r="K94" s="2">
        <v>31.2</v>
      </c>
      <c r="L94" s="2"/>
      <c r="M94" s="2"/>
      <c r="N94" s="2"/>
      <c r="O94" s="11">
        <f t="shared" si="7"/>
        <v>31.2</v>
      </c>
      <c r="P94" s="2"/>
      <c r="Q94" s="5">
        <f t="shared" si="15"/>
        <v>6.4308903302903314E-3</v>
      </c>
      <c r="R94" s="13">
        <v>45433</v>
      </c>
      <c r="S94" s="2">
        <v>225.3</v>
      </c>
      <c r="T94" s="2"/>
      <c r="U94" s="2"/>
      <c r="V94" s="2"/>
      <c r="W94" s="11">
        <f t="shared" si="8"/>
        <v>225.3</v>
      </c>
      <c r="X94" s="2"/>
      <c r="Y94" s="5">
        <f t="shared" si="16"/>
        <v>4.0026737896576275E-3</v>
      </c>
      <c r="Z94" s="13">
        <v>45433</v>
      </c>
      <c r="AA94" s="2">
        <v>949</v>
      </c>
      <c r="AB94" s="2"/>
      <c r="AC94" s="2"/>
      <c r="AD94" s="2"/>
      <c r="AE94" s="2">
        <f t="shared" si="9"/>
        <v>949</v>
      </c>
      <c r="AF94" s="2"/>
      <c r="AG94" s="5">
        <f t="shared" si="17"/>
        <v>1.7003597762583943E-2</v>
      </c>
      <c r="AH94" s="13">
        <v>45433</v>
      </c>
      <c r="AI94" s="2">
        <v>670.4</v>
      </c>
      <c r="AJ94" s="2"/>
      <c r="AK94" s="2"/>
      <c r="AL94" s="2"/>
      <c r="AM94" s="2">
        <f t="shared" si="10"/>
        <v>670.4</v>
      </c>
      <c r="AN94" s="2"/>
      <c r="AO94" s="5">
        <f t="shared" si="18"/>
        <v>-9.7967237444017696E-3</v>
      </c>
      <c r="AP94" s="13">
        <v>45433</v>
      </c>
      <c r="AQ94" s="11">
        <v>545.70000000000005</v>
      </c>
      <c r="AR94" s="2"/>
      <c r="AS94" s="2"/>
      <c r="AT94" s="2"/>
      <c r="AU94" s="11">
        <f t="shared" si="11"/>
        <v>545.70000000000005</v>
      </c>
      <c r="AV94" s="2"/>
      <c r="AW94" s="5">
        <f t="shared" si="19"/>
        <v>-2.5622268775939796E-3</v>
      </c>
      <c r="AX94" s="13">
        <v>45433</v>
      </c>
      <c r="AY94" s="2">
        <v>26.4</v>
      </c>
      <c r="AZ94" s="2"/>
      <c r="BA94" s="2"/>
      <c r="BB94" s="2"/>
      <c r="BC94" s="2">
        <f t="shared" si="12"/>
        <v>26.4</v>
      </c>
      <c r="BD94" s="2"/>
      <c r="BE94" s="5">
        <f t="shared" si="20"/>
        <v>0</v>
      </c>
      <c r="BF94" s="13">
        <v>45433</v>
      </c>
      <c r="BG94" s="2">
        <v>127.3</v>
      </c>
      <c r="BH94" s="2"/>
      <c r="BI94" s="2"/>
      <c r="BJ94" s="2"/>
      <c r="BK94" s="2">
        <f t="shared" si="13"/>
        <v>127.3</v>
      </c>
      <c r="BL94" s="2"/>
      <c r="BM94" s="5">
        <f t="shared" si="22"/>
        <v>-9.38239877191362E-3</v>
      </c>
    </row>
    <row r="95" spans="1:65" ht="15.75" customHeight="1" x14ac:dyDescent="0.35">
      <c r="A95" s="675"/>
      <c r="B95" s="13">
        <v>45435</v>
      </c>
      <c r="C95" s="2">
        <v>10.199999999999999</v>
      </c>
      <c r="D95" s="2"/>
      <c r="E95" s="2"/>
      <c r="F95" s="2"/>
      <c r="G95" s="11">
        <f t="shared" si="14"/>
        <v>10.199999999999999</v>
      </c>
      <c r="H95" s="2"/>
      <c r="I95" s="5">
        <f t="shared" si="21"/>
        <v>0</v>
      </c>
      <c r="J95" s="13">
        <v>45435</v>
      </c>
      <c r="K95" s="2">
        <v>30.3</v>
      </c>
      <c r="L95" s="2"/>
      <c r="M95" s="2"/>
      <c r="N95" s="2"/>
      <c r="O95" s="11">
        <f t="shared" si="7"/>
        <v>30.3</v>
      </c>
      <c r="P95" s="2"/>
      <c r="Q95" s="5">
        <f t="shared" si="15"/>
        <v>-2.9270382300113224E-2</v>
      </c>
      <c r="R95" s="13">
        <v>45435</v>
      </c>
      <c r="S95" s="2">
        <v>224.9</v>
      </c>
      <c r="T95" s="2"/>
      <c r="U95" s="2"/>
      <c r="V95" s="2"/>
      <c r="W95" s="11">
        <f t="shared" si="8"/>
        <v>224.9</v>
      </c>
      <c r="X95" s="2"/>
      <c r="Y95" s="5">
        <f t="shared" si="16"/>
        <v>-1.7769884729288018E-3</v>
      </c>
      <c r="Z95" s="13">
        <v>45435</v>
      </c>
      <c r="AA95" s="2">
        <v>940.6</v>
      </c>
      <c r="AB95" s="2"/>
      <c r="AC95" s="2"/>
      <c r="AD95" s="2"/>
      <c r="AE95" s="2">
        <f t="shared" si="9"/>
        <v>940.6</v>
      </c>
      <c r="AF95" s="2"/>
      <c r="AG95" s="5">
        <f t="shared" si="17"/>
        <v>-8.8908290989802401E-3</v>
      </c>
      <c r="AH95" s="13">
        <v>45435</v>
      </c>
      <c r="AI95" s="2">
        <v>650.70000000000005</v>
      </c>
      <c r="AJ95" s="2"/>
      <c r="AK95" s="2"/>
      <c r="AL95" s="2"/>
      <c r="AM95" s="2">
        <f t="shared" si="10"/>
        <v>650.70000000000005</v>
      </c>
      <c r="AN95" s="2"/>
      <c r="AO95" s="5">
        <f t="shared" si="18"/>
        <v>-2.9825842666934749E-2</v>
      </c>
      <c r="AP95" s="13">
        <v>45435</v>
      </c>
      <c r="AQ95" s="11">
        <v>537.4</v>
      </c>
      <c r="AR95" s="2"/>
      <c r="AS95" s="2"/>
      <c r="AT95" s="2"/>
      <c r="AU95" s="11">
        <f t="shared" si="11"/>
        <v>537.4</v>
      </c>
      <c r="AV95" s="2"/>
      <c r="AW95" s="5">
        <f t="shared" si="19"/>
        <v>-1.5326678010795531E-2</v>
      </c>
      <c r="AX95" s="13">
        <v>45435</v>
      </c>
      <c r="AY95" s="2">
        <v>25.8</v>
      </c>
      <c r="AZ95" s="2"/>
      <c r="BA95" s="2"/>
      <c r="BB95" s="2"/>
      <c r="BC95" s="2">
        <f t="shared" si="12"/>
        <v>25.8</v>
      </c>
      <c r="BD95" s="2"/>
      <c r="BE95" s="5">
        <f t="shared" si="20"/>
        <v>-2.2989518224698604E-2</v>
      </c>
      <c r="BF95" s="13">
        <v>45435</v>
      </c>
      <c r="BG95" s="2">
        <v>129.30000000000001</v>
      </c>
      <c r="BH95" s="2"/>
      <c r="BI95" s="2"/>
      <c r="BJ95" s="2"/>
      <c r="BK95" s="2">
        <f t="shared" si="13"/>
        <v>129.30000000000001</v>
      </c>
      <c r="BL95" s="2"/>
      <c r="BM95" s="5">
        <f t="shared" si="22"/>
        <v>1.5588780214451026E-2</v>
      </c>
    </row>
    <row r="96" spans="1:65" ht="15.75" customHeight="1" x14ac:dyDescent="0.35">
      <c r="A96" s="675"/>
      <c r="B96" s="13">
        <v>45438</v>
      </c>
      <c r="C96" s="2">
        <v>9.9</v>
      </c>
      <c r="D96" s="6">
        <v>0.05</v>
      </c>
      <c r="E96" s="2"/>
      <c r="F96" s="2"/>
      <c r="G96" s="11">
        <f t="shared" si="14"/>
        <v>10.395</v>
      </c>
      <c r="H96" s="2">
        <v>0.5</v>
      </c>
      <c r="I96" s="5">
        <f t="shared" si="21"/>
        <v>6.591624810635778E-2</v>
      </c>
      <c r="J96" s="13">
        <v>45438</v>
      </c>
      <c r="K96" s="2">
        <v>29.9</v>
      </c>
      <c r="L96" s="2"/>
      <c r="M96" s="2"/>
      <c r="N96" s="2"/>
      <c r="O96" s="11">
        <f t="shared" si="7"/>
        <v>29.9</v>
      </c>
      <c r="P96" s="2"/>
      <c r="Q96" s="5">
        <f t="shared" si="15"/>
        <v>-1.3289232118682765E-2</v>
      </c>
      <c r="R96" s="13">
        <v>45438</v>
      </c>
      <c r="S96" s="2">
        <v>226</v>
      </c>
      <c r="T96" s="2"/>
      <c r="U96" s="2"/>
      <c r="V96" s="2"/>
      <c r="W96" s="11">
        <f t="shared" si="8"/>
        <v>226</v>
      </c>
      <c r="X96" s="2"/>
      <c r="Y96" s="5">
        <f t="shared" si="16"/>
        <v>4.8791403070158551E-3</v>
      </c>
      <c r="Z96" s="13">
        <v>45438</v>
      </c>
      <c r="AA96" s="2">
        <v>938.1</v>
      </c>
      <c r="AB96" s="2"/>
      <c r="AC96" s="2"/>
      <c r="AD96" s="2"/>
      <c r="AE96" s="2">
        <f t="shared" si="9"/>
        <v>938.1</v>
      </c>
      <c r="AF96" s="2"/>
      <c r="AG96" s="5">
        <f t="shared" si="17"/>
        <v>-2.6614163790423138E-3</v>
      </c>
      <c r="AH96" s="13">
        <v>45438</v>
      </c>
      <c r="AI96" s="2">
        <v>631.5</v>
      </c>
      <c r="AJ96" s="2"/>
      <c r="AK96" s="2"/>
      <c r="AL96" s="2"/>
      <c r="AM96" s="2">
        <f t="shared" si="10"/>
        <v>631.5</v>
      </c>
      <c r="AN96" s="2"/>
      <c r="AO96" s="5">
        <f t="shared" si="18"/>
        <v>-2.9950764710392708E-2</v>
      </c>
      <c r="AP96" s="13">
        <v>45438</v>
      </c>
      <c r="AQ96" s="11">
        <v>522.4</v>
      </c>
      <c r="AR96" s="2"/>
      <c r="AS96" s="2"/>
      <c r="AT96" s="2"/>
      <c r="AU96" s="11">
        <f t="shared" si="11"/>
        <v>522.4</v>
      </c>
      <c r="AV96" s="2"/>
      <c r="AW96" s="5">
        <f t="shared" si="19"/>
        <v>-2.8309118219169597E-2</v>
      </c>
      <c r="AX96" s="13">
        <v>45438</v>
      </c>
      <c r="AY96" s="2">
        <v>25.4</v>
      </c>
      <c r="AZ96" s="2"/>
      <c r="BA96" s="2"/>
      <c r="BB96" s="2"/>
      <c r="BC96" s="2">
        <f t="shared" si="12"/>
        <v>25.4</v>
      </c>
      <c r="BD96" s="2"/>
      <c r="BE96" s="5">
        <f t="shared" si="20"/>
        <v>-1.562531790308087E-2</v>
      </c>
      <c r="BF96" s="13">
        <v>45438</v>
      </c>
      <c r="BG96" s="2">
        <v>129.5</v>
      </c>
      <c r="BH96" s="2"/>
      <c r="BI96" s="2"/>
      <c r="BJ96" s="2"/>
      <c r="BK96" s="2">
        <f t="shared" si="13"/>
        <v>129.5</v>
      </c>
      <c r="BL96" s="2"/>
      <c r="BM96" s="5">
        <f t="shared" si="22"/>
        <v>1.5455953617805433E-3</v>
      </c>
    </row>
    <row r="97" spans="1:65" ht="15.75" customHeight="1" x14ac:dyDescent="0.35">
      <c r="A97" s="675"/>
      <c r="B97" s="13">
        <v>45439</v>
      </c>
      <c r="C97" s="2">
        <v>9.6999999999999993</v>
      </c>
      <c r="D97" s="6"/>
      <c r="E97" s="2"/>
      <c r="F97" s="2"/>
      <c r="G97" s="11">
        <f t="shared" si="14"/>
        <v>9.6999999999999993</v>
      </c>
      <c r="H97" s="2"/>
      <c r="I97" s="5">
        <f t="shared" si="21"/>
        <v>-6.9199035800639089E-2</v>
      </c>
      <c r="J97" s="13">
        <v>45439</v>
      </c>
      <c r="K97" s="2">
        <v>31</v>
      </c>
      <c r="L97" s="2"/>
      <c r="M97" s="2"/>
      <c r="N97" s="2"/>
      <c r="O97" s="11">
        <f t="shared" si="7"/>
        <v>31</v>
      </c>
      <c r="P97" s="2"/>
      <c r="Q97" s="5">
        <f t="shared" si="15"/>
        <v>3.6128724088505482E-2</v>
      </c>
      <c r="R97" s="13">
        <v>45439</v>
      </c>
      <c r="S97" s="2">
        <v>229.3</v>
      </c>
      <c r="T97" s="2"/>
      <c r="U97" s="2"/>
      <c r="V97" s="2"/>
      <c r="W97" s="11">
        <f t="shared" si="8"/>
        <v>229.3</v>
      </c>
      <c r="X97" s="2"/>
      <c r="Y97" s="5">
        <f t="shared" si="16"/>
        <v>1.4496190591572868E-2</v>
      </c>
      <c r="Z97" s="13">
        <v>45439</v>
      </c>
      <c r="AA97" s="2">
        <v>963.7</v>
      </c>
      <c r="AB97" s="2"/>
      <c r="AC97" s="2"/>
      <c r="AD97" s="2"/>
      <c r="AE97" s="2">
        <f t="shared" si="9"/>
        <v>963.7</v>
      </c>
      <c r="AF97" s="2"/>
      <c r="AG97" s="5">
        <f t="shared" si="17"/>
        <v>2.692348972533639E-2</v>
      </c>
      <c r="AH97" s="13">
        <v>45439</v>
      </c>
      <c r="AI97" s="2">
        <v>634.9</v>
      </c>
      <c r="AJ97" s="2"/>
      <c r="AK97" s="2"/>
      <c r="AL97" s="2"/>
      <c r="AM97" s="2">
        <f t="shared" si="10"/>
        <v>634.9</v>
      </c>
      <c r="AN97" s="2"/>
      <c r="AO97" s="5">
        <f t="shared" si="18"/>
        <v>5.3695643858583837E-3</v>
      </c>
      <c r="AP97" s="13">
        <v>45439</v>
      </c>
      <c r="AQ97" s="11">
        <v>521.4</v>
      </c>
      <c r="AR97" s="2"/>
      <c r="AS97" s="2"/>
      <c r="AT97" s="2"/>
      <c r="AU97" s="11">
        <f t="shared" si="11"/>
        <v>521.4</v>
      </c>
      <c r="AV97" s="2"/>
      <c r="AW97" s="5">
        <f t="shared" si="19"/>
        <v>-1.9160764628199324E-3</v>
      </c>
      <c r="AX97" s="13">
        <v>45439</v>
      </c>
      <c r="AY97" s="2">
        <v>26.1</v>
      </c>
      <c r="AZ97" s="2"/>
      <c r="BA97" s="2"/>
      <c r="BB97" s="2"/>
      <c r="BC97" s="2">
        <f t="shared" si="12"/>
        <v>26.1</v>
      </c>
      <c r="BD97" s="2"/>
      <c r="BE97" s="5">
        <f t="shared" si="20"/>
        <v>2.7186140304156996E-2</v>
      </c>
      <c r="BF97" s="13">
        <v>45439</v>
      </c>
      <c r="BG97" s="2">
        <v>129.6</v>
      </c>
      <c r="BH97" s="2"/>
      <c r="BI97" s="2"/>
      <c r="BJ97" s="2"/>
      <c r="BK97" s="2">
        <f t="shared" si="13"/>
        <v>129.6</v>
      </c>
      <c r="BL97" s="2"/>
      <c r="BM97" s="5">
        <f t="shared" si="22"/>
        <v>7.7190277858174452E-4</v>
      </c>
    </row>
    <row r="98" spans="1:65" ht="15.75" customHeight="1" x14ac:dyDescent="0.35">
      <c r="A98" s="675"/>
      <c r="B98" s="13">
        <v>45440</v>
      </c>
      <c r="C98" s="2">
        <v>9.5</v>
      </c>
      <c r="D98" s="2"/>
      <c r="E98" s="2"/>
      <c r="F98" s="2"/>
      <c r="G98" s="11">
        <f t="shared" si="14"/>
        <v>9.5</v>
      </c>
      <c r="H98" s="2"/>
      <c r="I98" s="5">
        <f t="shared" si="21"/>
        <v>-2.0834086902841914E-2</v>
      </c>
      <c r="J98" s="13">
        <v>45440</v>
      </c>
      <c r="K98" s="2">
        <v>30.2</v>
      </c>
      <c r="L98" s="2"/>
      <c r="M98" s="2"/>
      <c r="N98" s="2"/>
      <c r="O98" s="11">
        <f t="shared" si="7"/>
        <v>30.2</v>
      </c>
      <c r="P98" s="2"/>
      <c r="Q98" s="5">
        <f t="shared" si="15"/>
        <v>-2.614528010432236E-2</v>
      </c>
      <c r="R98" s="13">
        <v>45440</v>
      </c>
      <c r="S98" s="2">
        <v>225.5</v>
      </c>
      <c r="T98" s="2"/>
      <c r="U98" s="2"/>
      <c r="V98" s="2"/>
      <c r="W98" s="11">
        <f t="shared" si="8"/>
        <v>225.5</v>
      </c>
      <c r="X98" s="2"/>
      <c r="Y98" s="5">
        <f t="shared" si="16"/>
        <v>-1.6711030921125809E-2</v>
      </c>
      <c r="Z98" s="13">
        <v>45440</v>
      </c>
      <c r="AA98" s="2">
        <v>954.1</v>
      </c>
      <c r="AB98" s="2"/>
      <c r="AC98" s="2"/>
      <c r="AD98" s="2"/>
      <c r="AE98" s="2">
        <f t="shared" si="9"/>
        <v>954.1</v>
      </c>
      <c r="AF98" s="2"/>
      <c r="AG98" s="5">
        <f t="shared" si="17"/>
        <v>-1.0011555099441497E-2</v>
      </c>
      <c r="AH98" s="13">
        <v>45440</v>
      </c>
      <c r="AI98" s="2">
        <v>636.5</v>
      </c>
      <c r="AJ98" s="2"/>
      <c r="AK98" s="2"/>
      <c r="AL98" s="2"/>
      <c r="AM98" s="2">
        <f t="shared" si="10"/>
        <v>636.5</v>
      </c>
      <c r="AN98" s="2"/>
      <c r="AO98" s="5">
        <f t="shared" si="18"/>
        <v>2.5169118210569912E-3</v>
      </c>
      <c r="AP98" s="13">
        <v>45440</v>
      </c>
      <c r="AQ98" s="11">
        <v>526.4</v>
      </c>
      <c r="AR98" s="2"/>
      <c r="AS98" s="2"/>
      <c r="AT98" s="2"/>
      <c r="AU98" s="11">
        <f t="shared" si="11"/>
        <v>526.4</v>
      </c>
      <c r="AV98" s="2"/>
      <c r="AW98" s="5">
        <f t="shared" si="19"/>
        <v>9.5438785117061553E-3</v>
      </c>
      <c r="AX98" s="13">
        <v>45440</v>
      </c>
      <c r="AY98" s="2">
        <v>26.2</v>
      </c>
      <c r="AZ98" s="2"/>
      <c r="BA98" s="2"/>
      <c r="BB98" s="2"/>
      <c r="BC98" s="2">
        <f t="shared" si="12"/>
        <v>26.2</v>
      </c>
      <c r="BD98" s="2"/>
      <c r="BE98" s="5">
        <f t="shared" si="20"/>
        <v>3.8240964384032546E-3</v>
      </c>
      <c r="BF98" s="13">
        <v>45440</v>
      </c>
      <c r="BG98" s="2">
        <v>132</v>
      </c>
      <c r="BH98" s="2"/>
      <c r="BI98" s="2"/>
      <c r="BJ98" s="2"/>
      <c r="BK98" s="2">
        <f t="shared" si="13"/>
        <v>132</v>
      </c>
      <c r="BL98" s="2"/>
      <c r="BM98" s="5">
        <f t="shared" si="22"/>
        <v>1.8349138668196617E-2</v>
      </c>
    </row>
    <row r="99" spans="1:65" ht="15.75" customHeight="1" x14ac:dyDescent="0.35">
      <c r="A99" s="675"/>
      <c r="B99" s="13">
        <v>45441</v>
      </c>
      <c r="C99" s="2">
        <v>9.5</v>
      </c>
      <c r="D99" s="2"/>
      <c r="E99" s="2"/>
      <c r="F99" s="2"/>
      <c r="G99" s="11">
        <f t="shared" si="14"/>
        <v>9.5</v>
      </c>
      <c r="H99" s="2"/>
      <c r="I99" s="5">
        <f t="shared" si="21"/>
        <v>0</v>
      </c>
      <c r="J99" s="13">
        <v>45441</v>
      </c>
      <c r="K99" s="2">
        <v>29.5</v>
      </c>
      <c r="L99" s="2"/>
      <c r="M99" s="2"/>
      <c r="N99" s="2"/>
      <c r="O99" s="11">
        <f t="shared" si="7"/>
        <v>29.5</v>
      </c>
      <c r="P99" s="2"/>
      <c r="Q99" s="5">
        <f t="shared" si="15"/>
        <v>-2.3451661035049819E-2</v>
      </c>
      <c r="R99" s="13">
        <v>45441</v>
      </c>
      <c r="S99" s="2">
        <v>227.7</v>
      </c>
      <c r="T99" s="2"/>
      <c r="U99" s="2"/>
      <c r="V99" s="2"/>
      <c r="W99" s="11">
        <f t="shared" si="8"/>
        <v>227.7</v>
      </c>
      <c r="X99" s="2"/>
      <c r="Y99" s="5">
        <f t="shared" si="16"/>
        <v>9.7088141269609032E-3</v>
      </c>
      <c r="Z99" s="13">
        <v>45441</v>
      </c>
      <c r="AA99" s="2">
        <v>968.9</v>
      </c>
      <c r="AB99" s="2"/>
      <c r="AC99" s="2"/>
      <c r="AD99" s="2"/>
      <c r="AE99" s="2">
        <f t="shared" si="9"/>
        <v>968.9</v>
      </c>
      <c r="AF99" s="2"/>
      <c r="AG99" s="5">
        <f t="shared" si="17"/>
        <v>1.5392919633158256E-2</v>
      </c>
      <c r="AH99" s="13">
        <v>45441</v>
      </c>
      <c r="AI99" s="2">
        <v>635.6</v>
      </c>
      <c r="AJ99" s="2"/>
      <c r="AK99" s="2"/>
      <c r="AL99" s="2"/>
      <c r="AM99" s="2">
        <f t="shared" si="10"/>
        <v>635.6</v>
      </c>
      <c r="AN99" s="2"/>
      <c r="AO99" s="5">
        <f t="shared" si="18"/>
        <v>-1.4149833349002749E-3</v>
      </c>
      <c r="AP99" s="13">
        <v>45441</v>
      </c>
      <c r="AQ99" s="11">
        <v>512.4</v>
      </c>
      <c r="AR99" s="2"/>
      <c r="AS99" s="2"/>
      <c r="AT99" s="2"/>
      <c r="AU99" s="11">
        <f t="shared" si="11"/>
        <v>512.4</v>
      </c>
      <c r="AV99" s="2"/>
      <c r="AW99" s="5">
        <f t="shared" si="19"/>
        <v>-2.6955809988528218E-2</v>
      </c>
      <c r="AX99" s="13">
        <v>45441</v>
      </c>
      <c r="AY99" s="2">
        <v>25.5</v>
      </c>
      <c r="AZ99" s="2"/>
      <c r="BA99" s="2"/>
      <c r="BB99" s="2"/>
      <c r="BC99" s="2">
        <f t="shared" si="12"/>
        <v>25.5</v>
      </c>
      <c r="BD99" s="2"/>
      <c r="BE99" s="5">
        <f t="shared" si="20"/>
        <v>-2.7080958602670697E-2</v>
      </c>
      <c r="BF99" s="13">
        <v>45441</v>
      </c>
      <c r="BG99" s="2">
        <v>129.30000000000001</v>
      </c>
      <c r="BH99" s="2"/>
      <c r="BI99" s="2"/>
      <c r="BJ99" s="2"/>
      <c r="BK99" s="2">
        <f t="shared" si="13"/>
        <v>129.30000000000001</v>
      </c>
      <c r="BL99" s="2"/>
      <c r="BM99" s="5">
        <f t="shared" si="22"/>
        <v>-2.0666636808558996E-2</v>
      </c>
    </row>
    <row r="100" spans="1:65" ht="15.75" customHeight="1" x14ac:dyDescent="0.35">
      <c r="A100" s="675"/>
      <c r="B100" s="13">
        <v>45442</v>
      </c>
      <c r="C100" s="2">
        <v>9.4</v>
      </c>
      <c r="D100" s="2"/>
      <c r="E100" s="2"/>
      <c r="F100" s="2"/>
      <c r="G100" s="11">
        <f t="shared" si="14"/>
        <v>9.4</v>
      </c>
      <c r="H100" s="2"/>
      <c r="I100" s="5">
        <f t="shared" si="21"/>
        <v>-1.0582109330536859E-2</v>
      </c>
      <c r="J100" s="13">
        <v>45442</v>
      </c>
      <c r="K100" s="2">
        <v>30.6</v>
      </c>
      <c r="L100" s="2"/>
      <c r="M100" s="2"/>
      <c r="N100" s="2"/>
      <c r="O100" s="11">
        <f t="shared" si="7"/>
        <v>30.6</v>
      </c>
      <c r="P100" s="2"/>
      <c r="Q100" s="5">
        <f t="shared" si="15"/>
        <v>3.6609745612561022E-2</v>
      </c>
      <c r="R100" s="13">
        <v>45442</v>
      </c>
      <c r="S100" s="2">
        <v>223.5</v>
      </c>
      <c r="T100" s="2"/>
      <c r="U100" s="2"/>
      <c r="V100" s="2"/>
      <c r="W100" s="11">
        <f t="shared" si="8"/>
        <v>223.5</v>
      </c>
      <c r="X100" s="2"/>
      <c r="Y100" s="5">
        <f t="shared" si="16"/>
        <v>-1.8617559016070338E-2</v>
      </c>
      <c r="Z100" s="13">
        <v>45442</v>
      </c>
      <c r="AA100" s="2">
        <v>939.9</v>
      </c>
      <c r="AB100" s="2"/>
      <c r="AC100" s="2"/>
      <c r="AD100" s="2"/>
      <c r="AE100" s="2">
        <f t="shared" si="9"/>
        <v>939.9</v>
      </c>
      <c r="AF100" s="2"/>
      <c r="AG100" s="5">
        <f t="shared" si="17"/>
        <v>-3.0387920764702741E-2</v>
      </c>
      <c r="AH100" s="13">
        <v>45442</v>
      </c>
      <c r="AI100" s="2">
        <v>634.20000000000005</v>
      </c>
      <c r="AJ100" s="2"/>
      <c r="AK100" s="2"/>
      <c r="AL100" s="2"/>
      <c r="AM100" s="2">
        <f t="shared" si="10"/>
        <v>634.20000000000005</v>
      </c>
      <c r="AN100" s="2"/>
      <c r="AO100" s="5">
        <f t="shared" si="18"/>
        <v>-2.2050725583139812E-3</v>
      </c>
      <c r="AP100" s="13">
        <v>45442</v>
      </c>
      <c r="AQ100" s="11">
        <v>514.29999999999995</v>
      </c>
      <c r="AR100" s="2"/>
      <c r="AS100" s="2"/>
      <c r="AT100" s="2"/>
      <c r="AU100" s="11">
        <f t="shared" si="11"/>
        <v>514.29999999999995</v>
      </c>
      <c r="AV100" s="2"/>
      <c r="AW100" s="5">
        <f t="shared" si="19"/>
        <v>3.701182758291397E-3</v>
      </c>
      <c r="AX100" s="13">
        <v>45442</v>
      </c>
      <c r="AY100" s="2">
        <v>25.9</v>
      </c>
      <c r="AZ100" s="2"/>
      <c r="BA100" s="2"/>
      <c r="BB100" s="2"/>
      <c r="BC100" s="2">
        <f t="shared" si="12"/>
        <v>25.9</v>
      </c>
      <c r="BD100" s="2"/>
      <c r="BE100" s="5">
        <f t="shared" si="20"/>
        <v>1.5564516541111548E-2</v>
      </c>
      <c r="BF100" s="13">
        <v>45442</v>
      </c>
      <c r="BG100" s="2">
        <v>131.80000000000001</v>
      </c>
      <c r="BH100" s="2"/>
      <c r="BI100" s="2"/>
      <c r="BJ100" s="2"/>
      <c r="BK100" s="2">
        <f t="shared" si="13"/>
        <v>131.80000000000001</v>
      </c>
      <c r="BL100" s="2"/>
      <c r="BM100" s="5">
        <f t="shared" si="22"/>
        <v>1.9150336290595E-2</v>
      </c>
    </row>
    <row r="101" spans="1:65" ht="15.75" customHeight="1" x14ac:dyDescent="0.35">
      <c r="A101" s="675"/>
      <c r="B101" s="13">
        <v>45445</v>
      </c>
      <c r="C101" s="2">
        <v>9.5</v>
      </c>
      <c r="D101" s="2"/>
      <c r="E101" s="2"/>
      <c r="F101" s="2"/>
      <c r="G101" s="11">
        <f t="shared" si="14"/>
        <v>9.5</v>
      </c>
      <c r="H101" s="2"/>
      <c r="I101" s="5">
        <f t="shared" si="21"/>
        <v>1.0582109330537008E-2</v>
      </c>
      <c r="J101" s="13">
        <v>45445</v>
      </c>
      <c r="K101" s="2">
        <v>29.7</v>
      </c>
      <c r="L101" s="2"/>
      <c r="M101" s="2"/>
      <c r="N101" s="2"/>
      <c r="O101" s="11">
        <f t="shared" si="7"/>
        <v>29.7</v>
      </c>
      <c r="P101" s="2"/>
      <c r="Q101" s="5">
        <f t="shared" si="15"/>
        <v>-2.9852963149681274E-2</v>
      </c>
      <c r="R101" s="13">
        <v>45445</v>
      </c>
      <c r="S101" s="2">
        <v>225.4</v>
      </c>
      <c r="T101" s="2"/>
      <c r="U101" s="2"/>
      <c r="V101" s="2"/>
      <c r="W101" s="11">
        <f t="shared" si="8"/>
        <v>225.4</v>
      </c>
      <c r="X101" s="2"/>
      <c r="Y101" s="5">
        <f t="shared" si="16"/>
        <v>8.4651875520523993E-3</v>
      </c>
      <c r="Z101" s="13">
        <v>45445</v>
      </c>
      <c r="AA101" s="2">
        <v>951.7</v>
      </c>
      <c r="AB101" s="2"/>
      <c r="AC101" s="2"/>
      <c r="AD101" s="2"/>
      <c r="AE101" s="2">
        <f t="shared" si="9"/>
        <v>951.7</v>
      </c>
      <c r="AF101" s="2"/>
      <c r="AG101" s="5">
        <f t="shared" si="17"/>
        <v>1.2476372452042151E-2</v>
      </c>
      <c r="AH101" s="13">
        <v>45445</v>
      </c>
      <c r="AI101" s="2">
        <v>638.5</v>
      </c>
      <c r="AJ101" s="2"/>
      <c r="AK101" s="2"/>
      <c r="AL101" s="2"/>
      <c r="AM101" s="2">
        <f t="shared" si="10"/>
        <v>638.5</v>
      </c>
      <c r="AN101" s="2"/>
      <c r="AO101" s="5">
        <f t="shared" si="18"/>
        <v>6.7573133683469866E-3</v>
      </c>
      <c r="AP101" s="13">
        <v>45445</v>
      </c>
      <c r="AQ101" s="11">
        <v>511.1</v>
      </c>
      <c r="AR101" s="2"/>
      <c r="AS101" s="2"/>
      <c r="AT101" s="2"/>
      <c r="AU101" s="11">
        <f t="shared" si="11"/>
        <v>511.1</v>
      </c>
      <c r="AV101" s="2"/>
      <c r="AW101" s="5">
        <f t="shared" si="19"/>
        <v>-6.2414870066365364E-3</v>
      </c>
      <c r="AX101" s="13">
        <v>45445</v>
      </c>
      <c r="AY101" s="2">
        <v>25.6</v>
      </c>
      <c r="AZ101" s="2"/>
      <c r="BA101" s="2"/>
      <c r="BB101" s="2"/>
      <c r="BC101" s="2">
        <f t="shared" si="12"/>
        <v>25.6</v>
      </c>
      <c r="BD101" s="2"/>
      <c r="BE101" s="5">
        <f t="shared" si="20"/>
        <v>-1.1650617219975139E-2</v>
      </c>
      <c r="BF101" s="13">
        <v>45445</v>
      </c>
      <c r="BG101" s="2">
        <v>131.80000000000001</v>
      </c>
      <c r="BH101" s="2"/>
      <c r="BI101" s="2"/>
      <c r="BJ101" s="2"/>
      <c r="BK101" s="2">
        <f t="shared" si="13"/>
        <v>131.80000000000001</v>
      </c>
      <c r="BL101" s="2"/>
      <c r="BM101" s="5">
        <f t="shared" si="22"/>
        <v>0</v>
      </c>
    </row>
    <row r="102" spans="1:65" ht="15.75" customHeight="1" x14ac:dyDescent="0.35">
      <c r="A102" s="675"/>
      <c r="B102" s="13">
        <v>45446</v>
      </c>
      <c r="C102" s="2">
        <v>9.5</v>
      </c>
      <c r="D102" s="2"/>
      <c r="E102" s="2"/>
      <c r="F102" s="2"/>
      <c r="G102" s="11">
        <f t="shared" si="14"/>
        <v>9.5</v>
      </c>
      <c r="H102" s="2"/>
      <c r="I102" s="5">
        <f t="shared" si="21"/>
        <v>0</v>
      </c>
      <c r="J102" s="13">
        <v>45446</v>
      </c>
      <c r="K102" s="2">
        <v>29.6</v>
      </c>
      <c r="L102" s="2"/>
      <c r="M102" s="2"/>
      <c r="N102" s="2"/>
      <c r="O102" s="11">
        <f t="shared" si="7"/>
        <v>29.6</v>
      </c>
      <c r="P102" s="2"/>
      <c r="Q102" s="5">
        <f t="shared" si="15"/>
        <v>-3.3726844786391187E-3</v>
      </c>
      <c r="R102" s="13">
        <v>45446</v>
      </c>
      <c r="S102" s="2">
        <v>225.7</v>
      </c>
      <c r="T102" s="2"/>
      <c r="U102" s="2"/>
      <c r="V102" s="2"/>
      <c r="W102" s="11">
        <f t="shared" si="8"/>
        <v>225.7</v>
      </c>
      <c r="X102" s="2"/>
      <c r="Y102" s="5">
        <f t="shared" si="16"/>
        <v>1.3300822178139346E-3</v>
      </c>
      <c r="Z102" s="13">
        <v>45446</v>
      </c>
      <c r="AA102" s="2">
        <v>926.6</v>
      </c>
      <c r="AB102" s="2"/>
      <c r="AC102" s="2"/>
      <c r="AD102" s="2"/>
      <c r="AE102" s="2">
        <f t="shared" si="9"/>
        <v>926.6</v>
      </c>
      <c r="AF102" s="2"/>
      <c r="AG102" s="5">
        <f t="shared" si="17"/>
        <v>-2.6727886095749775E-2</v>
      </c>
      <c r="AH102" s="13">
        <v>45446</v>
      </c>
      <c r="AI102" s="2">
        <v>639.79999999999995</v>
      </c>
      <c r="AJ102" s="2"/>
      <c r="AK102" s="2"/>
      <c r="AL102" s="2"/>
      <c r="AM102" s="2">
        <f t="shared" si="10"/>
        <v>639.79999999999995</v>
      </c>
      <c r="AN102" s="2"/>
      <c r="AO102" s="5">
        <f t="shared" si="18"/>
        <v>2.0339520428236352E-3</v>
      </c>
      <c r="AP102" s="13">
        <v>45446</v>
      </c>
      <c r="AQ102" s="11">
        <v>500.2</v>
      </c>
      <c r="AR102" s="2"/>
      <c r="AS102" s="2"/>
      <c r="AT102" s="2"/>
      <c r="AU102" s="11">
        <f t="shared" si="11"/>
        <v>500.2</v>
      </c>
      <c r="AV102" s="2"/>
      <c r="AW102" s="5">
        <f t="shared" si="19"/>
        <v>-2.1557247330715321E-2</v>
      </c>
      <c r="AX102" s="13">
        <v>45446</v>
      </c>
      <c r="AY102" s="2">
        <v>26</v>
      </c>
      <c r="AZ102" s="2"/>
      <c r="BA102" s="2"/>
      <c r="BB102" s="2"/>
      <c r="BC102" s="2">
        <f t="shared" si="12"/>
        <v>26</v>
      </c>
      <c r="BD102" s="2"/>
      <c r="BE102" s="5">
        <f t="shared" si="20"/>
        <v>1.5504186535965254E-2</v>
      </c>
      <c r="BF102" s="13">
        <v>45446</v>
      </c>
      <c r="BG102" s="2">
        <v>132.1</v>
      </c>
      <c r="BH102" s="2"/>
      <c r="BI102" s="2"/>
      <c r="BJ102" s="2"/>
      <c r="BK102" s="2">
        <f t="shared" si="13"/>
        <v>132.1</v>
      </c>
      <c r="BL102" s="2"/>
      <c r="BM102" s="5">
        <f t="shared" si="22"/>
        <v>2.2735894598726767E-3</v>
      </c>
    </row>
    <row r="103" spans="1:65" ht="15.75" customHeight="1" x14ac:dyDescent="0.35">
      <c r="A103" s="675"/>
      <c r="B103" s="13">
        <v>45447</v>
      </c>
      <c r="C103" s="2">
        <v>9</v>
      </c>
      <c r="D103" s="2"/>
      <c r="E103" s="2"/>
      <c r="F103" s="2"/>
      <c r="G103" s="11">
        <f t="shared" si="14"/>
        <v>9</v>
      </c>
      <c r="H103" s="2"/>
      <c r="I103" s="5">
        <f t="shared" si="21"/>
        <v>-5.4067221270275821E-2</v>
      </c>
      <c r="J103" s="13">
        <v>45447</v>
      </c>
      <c r="K103" s="2">
        <v>29.9</v>
      </c>
      <c r="L103" s="2"/>
      <c r="M103" s="2"/>
      <c r="N103" s="2"/>
      <c r="O103" s="11">
        <f t="shared" si="7"/>
        <v>29.9</v>
      </c>
      <c r="P103" s="2"/>
      <c r="Q103" s="5">
        <f t="shared" si="15"/>
        <v>1.0084119066626008E-2</v>
      </c>
      <c r="R103" s="13">
        <v>45447</v>
      </c>
      <c r="S103" s="2">
        <v>227.5</v>
      </c>
      <c r="T103" s="2"/>
      <c r="U103" s="2"/>
      <c r="V103" s="2"/>
      <c r="W103" s="11">
        <f t="shared" si="8"/>
        <v>227.5</v>
      </c>
      <c r="X103" s="2"/>
      <c r="Y103" s="5">
        <f t="shared" si="16"/>
        <v>7.9435545675151532E-3</v>
      </c>
      <c r="Z103" s="13">
        <v>45447</v>
      </c>
      <c r="AA103" s="2">
        <v>931.9</v>
      </c>
      <c r="AB103" s="2"/>
      <c r="AC103" s="2"/>
      <c r="AD103" s="2"/>
      <c r="AE103" s="2">
        <f t="shared" si="9"/>
        <v>931.9</v>
      </c>
      <c r="AF103" s="2"/>
      <c r="AG103" s="5">
        <f t="shared" si="17"/>
        <v>5.7035398090617582E-3</v>
      </c>
      <c r="AH103" s="13">
        <v>45447</v>
      </c>
      <c r="AI103" s="2">
        <v>643.79999999999995</v>
      </c>
      <c r="AJ103" s="2"/>
      <c r="AK103" s="2"/>
      <c r="AL103" s="2"/>
      <c r="AM103" s="2">
        <f t="shared" si="10"/>
        <v>643.79999999999995</v>
      </c>
      <c r="AN103" s="2"/>
      <c r="AO103" s="5">
        <f t="shared" si="18"/>
        <v>6.2324913492901278E-3</v>
      </c>
      <c r="AP103" s="13">
        <v>45447</v>
      </c>
      <c r="AQ103" s="11">
        <v>499.1</v>
      </c>
      <c r="AR103" s="2"/>
      <c r="AS103" s="2"/>
      <c r="AT103" s="2"/>
      <c r="AU103" s="11">
        <f t="shared" si="11"/>
        <v>499.1</v>
      </c>
      <c r="AV103" s="2"/>
      <c r="AW103" s="5">
        <f t="shared" si="19"/>
        <v>-2.2015419679550711E-3</v>
      </c>
      <c r="AX103" s="13">
        <v>45447</v>
      </c>
      <c r="AY103" s="2">
        <v>26.5</v>
      </c>
      <c r="AZ103" s="2"/>
      <c r="BA103" s="2"/>
      <c r="BB103" s="2"/>
      <c r="BC103" s="2">
        <f t="shared" si="12"/>
        <v>26.5</v>
      </c>
      <c r="BD103" s="2"/>
      <c r="BE103" s="5">
        <f t="shared" si="20"/>
        <v>1.9048194970694411E-2</v>
      </c>
      <c r="BF103" s="13">
        <v>45447</v>
      </c>
      <c r="BG103" s="2">
        <v>132</v>
      </c>
      <c r="BH103" s="2"/>
      <c r="BI103" s="2"/>
      <c r="BJ103" s="2"/>
      <c r="BK103" s="2">
        <f t="shared" si="13"/>
        <v>132</v>
      </c>
      <c r="BL103" s="2"/>
      <c r="BM103" s="5">
        <f t="shared" si="22"/>
        <v>-7.5728894190869108E-4</v>
      </c>
    </row>
    <row r="104" spans="1:65" ht="15.75" customHeight="1" x14ac:dyDescent="0.35">
      <c r="A104" s="675"/>
      <c r="B104" s="13">
        <v>45448</v>
      </c>
      <c r="C104" s="2">
        <v>9</v>
      </c>
      <c r="D104" s="2"/>
      <c r="E104" s="2"/>
      <c r="F104" s="2"/>
      <c r="G104" s="11">
        <f t="shared" si="14"/>
        <v>9</v>
      </c>
      <c r="H104" s="2"/>
      <c r="I104" s="5">
        <f t="shared" si="21"/>
        <v>0</v>
      </c>
      <c r="J104" s="13">
        <v>45448</v>
      </c>
      <c r="K104" s="2">
        <v>29.4</v>
      </c>
      <c r="L104" s="2"/>
      <c r="M104" s="2"/>
      <c r="N104" s="2"/>
      <c r="O104" s="11">
        <f t="shared" si="7"/>
        <v>29.4</v>
      </c>
      <c r="P104" s="2"/>
      <c r="Q104" s="5">
        <f t="shared" si="15"/>
        <v>-1.6863806052004805E-2</v>
      </c>
      <c r="R104" s="13">
        <v>45448</v>
      </c>
      <c r="S104" s="2">
        <v>226.2</v>
      </c>
      <c r="T104" s="2"/>
      <c r="U104" s="2"/>
      <c r="V104" s="2"/>
      <c r="W104" s="11">
        <f t="shared" si="8"/>
        <v>226.2</v>
      </c>
      <c r="X104" s="2"/>
      <c r="Y104" s="5">
        <f t="shared" si="16"/>
        <v>-5.7306747089850953E-3</v>
      </c>
      <c r="Z104" s="13">
        <v>45448</v>
      </c>
      <c r="AA104" s="2">
        <v>936.4</v>
      </c>
      <c r="AB104" s="2"/>
      <c r="AC104" s="2"/>
      <c r="AD104" s="2"/>
      <c r="AE104" s="2">
        <f t="shared" si="9"/>
        <v>936.4</v>
      </c>
      <c r="AF104" s="2"/>
      <c r="AG104" s="5">
        <f t="shared" si="17"/>
        <v>4.8172228251457949E-3</v>
      </c>
      <c r="AH104" s="13">
        <v>45448</v>
      </c>
      <c r="AI104" s="2">
        <v>639.79999999999995</v>
      </c>
      <c r="AJ104" s="2"/>
      <c r="AK104" s="2"/>
      <c r="AL104" s="2"/>
      <c r="AM104" s="2">
        <f t="shared" si="10"/>
        <v>639.79999999999995</v>
      </c>
      <c r="AN104" s="2"/>
      <c r="AO104" s="5">
        <f t="shared" si="18"/>
        <v>-6.2324913492901876E-3</v>
      </c>
      <c r="AP104" s="13">
        <v>45448</v>
      </c>
      <c r="AQ104" s="11">
        <v>490.4</v>
      </c>
      <c r="AR104" s="2"/>
      <c r="AS104" s="2"/>
      <c r="AT104" s="2"/>
      <c r="AU104" s="11">
        <f t="shared" si="11"/>
        <v>490.4</v>
      </c>
      <c r="AV104" s="2"/>
      <c r="AW104" s="5">
        <f t="shared" si="19"/>
        <v>-1.7585091853562038E-2</v>
      </c>
      <c r="AX104" s="13">
        <v>45448</v>
      </c>
      <c r="AY104" s="2">
        <v>25.8</v>
      </c>
      <c r="AZ104" s="2"/>
      <c r="BA104" s="2"/>
      <c r="BB104" s="2"/>
      <c r="BC104" s="2">
        <f t="shared" si="12"/>
        <v>25.8</v>
      </c>
      <c r="BD104" s="2"/>
      <c r="BE104" s="5">
        <f t="shared" si="20"/>
        <v>-2.677024106460478E-2</v>
      </c>
      <c r="BF104" s="13">
        <v>45448</v>
      </c>
      <c r="BG104" s="2">
        <v>129.30000000000001</v>
      </c>
      <c r="BH104" s="2"/>
      <c r="BI104" s="2"/>
      <c r="BJ104" s="2"/>
      <c r="BK104" s="2">
        <f t="shared" si="13"/>
        <v>129.30000000000001</v>
      </c>
      <c r="BL104" s="2"/>
      <c r="BM104" s="5">
        <f t="shared" si="22"/>
        <v>-2.0666636808558996E-2</v>
      </c>
    </row>
    <row r="105" spans="1:65" ht="15.75" customHeight="1" x14ac:dyDescent="0.35">
      <c r="A105" s="675"/>
      <c r="B105" s="13">
        <v>45449</v>
      </c>
      <c r="C105" s="2">
        <v>8.9</v>
      </c>
      <c r="D105" s="2"/>
      <c r="E105" s="2"/>
      <c r="F105" s="2"/>
      <c r="G105" s="11">
        <f t="shared" si="14"/>
        <v>8.9</v>
      </c>
      <c r="H105" s="2"/>
      <c r="I105" s="5">
        <f t="shared" si="21"/>
        <v>-1.1173300598125189E-2</v>
      </c>
      <c r="J105" s="13">
        <v>45449</v>
      </c>
      <c r="K105" s="2">
        <v>29.4</v>
      </c>
      <c r="L105" s="2"/>
      <c r="M105" s="2"/>
      <c r="N105" s="2"/>
      <c r="O105" s="11">
        <f t="shared" si="7"/>
        <v>29.4</v>
      </c>
      <c r="P105" s="2"/>
      <c r="Q105" s="5">
        <f t="shared" si="15"/>
        <v>0</v>
      </c>
      <c r="R105" s="13">
        <v>45449</v>
      </c>
      <c r="S105" s="2">
        <v>227.6</v>
      </c>
      <c r="T105" s="2"/>
      <c r="U105" s="2"/>
      <c r="V105" s="2"/>
      <c r="W105" s="11">
        <f t="shared" si="8"/>
        <v>227.6</v>
      </c>
      <c r="X105" s="2"/>
      <c r="Y105" s="5">
        <f t="shared" si="16"/>
        <v>6.1701385701557771E-3</v>
      </c>
      <c r="Z105" s="13">
        <v>45449</v>
      </c>
      <c r="AA105" s="2">
        <v>926.5</v>
      </c>
      <c r="AB105" s="2"/>
      <c r="AC105" s="2"/>
      <c r="AD105" s="2"/>
      <c r="AE105" s="2">
        <f t="shared" si="9"/>
        <v>926.5</v>
      </c>
      <c r="AF105" s="2"/>
      <c r="AG105" s="5">
        <f t="shared" si="17"/>
        <v>-1.0628689891341185E-2</v>
      </c>
      <c r="AH105" s="13">
        <v>45449</v>
      </c>
      <c r="AI105" s="2">
        <v>635</v>
      </c>
      <c r="AJ105" s="2"/>
      <c r="AK105" s="2"/>
      <c r="AL105" s="2"/>
      <c r="AM105" s="2">
        <f t="shared" si="10"/>
        <v>635</v>
      </c>
      <c r="AN105" s="2"/>
      <c r="AO105" s="5">
        <f t="shared" si="18"/>
        <v>-7.5306286227258996E-3</v>
      </c>
      <c r="AP105" s="13">
        <v>45449</v>
      </c>
      <c r="AQ105" s="11">
        <v>478.1</v>
      </c>
      <c r="AR105" s="2"/>
      <c r="AS105" s="2"/>
      <c r="AT105" s="2"/>
      <c r="AU105" s="11">
        <f t="shared" si="11"/>
        <v>478.1</v>
      </c>
      <c r="AV105" s="2"/>
      <c r="AW105" s="5">
        <f t="shared" si="19"/>
        <v>-2.5401468989943873E-2</v>
      </c>
      <c r="AX105" s="13">
        <v>45449</v>
      </c>
      <c r="AY105" s="2">
        <v>25.8</v>
      </c>
      <c r="AZ105" s="2"/>
      <c r="BA105" s="2"/>
      <c r="BB105" s="2"/>
      <c r="BC105" s="2">
        <f t="shared" si="12"/>
        <v>25.8</v>
      </c>
      <c r="BD105" s="2"/>
      <c r="BE105" s="5">
        <f t="shared" si="20"/>
        <v>0</v>
      </c>
      <c r="BF105" s="13">
        <v>45449</v>
      </c>
      <c r="BG105" s="2">
        <v>127.1</v>
      </c>
      <c r="BH105" s="2"/>
      <c r="BI105" s="2"/>
      <c r="BJ105" s="2"/>
      <c r="BK105" s="2">
        <f t="shared" si="13"/>
        <v>127.1</v>
      </c>
      <c r="BL105" s="2"/>
      <c r="BM105" s="5">
        <f t="shared" si="22"/>
        <v>-1.7161107582403533E-2</v>
      </c>
    </row>
    <row r="106" spans="1:65" ht="15.75" customHeight="1" x14ac:dyDescent="0.35">
      <c r="A106" s="675"/>
      <c r="B106" s="13">
        <v>45452</v>
      </c>
      <c r="C106" s="2">
        <v>8.6999999999999993</v>
      </c>
      <c r="D106" s="2"/>
      <c r="E106" s="2"/>
      <c r="F106" s="2"/>
      <c r="G106" s="11">
        <f t="shared" si="14"/>
        <v>8.6999999999999993</v>
      </c>
      <c r="H106" s="2"/>
      <c r="I106" s="5">
        <f t="shared" si="21"/>
        <v>-2.2728251077556289E-2</v>
      </c>
      <c r="J106" s="13">
        <v>45452</v>
      </c>
      <c r="K106" s="2">
        <v>29.1</v>
      </c>
      <c r="L106" s="2"/>
      <c r="M106" s="2"/>
      <c r="N106" s="2"/>
      <c r="O106" s="11">
        <f t="shared" si="7"/>
        <v>29.1</v>
      </c>
      <c r="P106" s="2"/>
      <c r="Q106" s="5">
        <f t="shared" si="15"/>
        <v>-1.0256500167188997E-2</v>
      </c>
      <c r="R106" s="13">
        <v>45452</v>
      </c>
      <c r="S106" s="2">
        <v>229.1</v>
      </c>
      <c r="T106" s="2"/>
      <c r="U106" s="2"/>
      <c r="V106" s="2"/>
      <c r="W106" s="11">
        <f t="shared" si="8"/>
        <v>229.1</v>
      </c>
      <c r="X106" s="2"/>
      <c r="Y106" s="5">
        <f t="shared" si="16"/>
        <v>6.5688872072739071E-3</v>
      </c>
      <c r="Z106" s="13">
        <v>45452</v>
      </c>
      <c r="AA106" s="2">
        <v>931.4</v>
      </c>
      <c r="AB106" s="2"/>
      <c r="AC106" s="2"/>
      <c r="AD106" s="2"/>
      <c r="AE106" s="2">
        <f t="shared" si="9"/>
        <v>931.4</v>
      </c>
      <c r="AF106" s="2"/>
      <c r="AG106" s="5">
        <f t="shared" si="17"/>
        <v>5.2747848228624009E-3</v>
      </c>
      <c r="AH106" s="13">
        <v>45452</v>
      </c>
      <c r="AI106" s="2">
        <v>629.79999999999995</v>
      </c>
      <c r="AJ106" s="2"/>
      <c r="AK106" s="2"/>
      <c r="AL106" s="2"/>
      <c r="AM106" s="2">
        <f t="shared" si="10"/>
        <v>629.79999999999995</v>
      </c>
      <c r="AN106" s="2"/>
      <c r="AO106" s="5">
        <f t="shared" si="18"/>
        <v>-8.2226902257674147E-3</v>
      </c>
      <c r="AP106" s="13">
        <v>45452</v>
      </c>
      <c r="AQ106" s="11">
        <v>465.3</v>
      </c>
      <c r="AR106" s="2"/>
      <c r="AS106" s="2"/>
      <c r="AT106" s="2"/>
      <c r="AU106" s="11">
        <f t="shared" si="11"/>
        <v>465.3</v>
      </c>
      <c r="AV106" s="2"/>
      <c r="AW106" s="5">
        <f t="shared" si="19"/>
        <v>-2.7137556781454922E-2</v>
      </c>
      <c r="AX106" s="13">
        <v>45452</v>
      </c>
      <c r="AY106" s="2">
        <v>25.2</v>
      </c>
      <c r="AZ106" s="2"/>
      <c r="BA106" s="2"/>
      <c r="BB106" s="2"/>
      <c r="BC106" s="2">
        <f t="shared" si="12"/>
        <v>25.2</v>
      </c>
      <c r="BD106" s="2"/>
      <c r="BE106" s="5">
        <f t="shared" si="20"/>
        <v>-2.3530497410194161E-2</v>
      </c>
      <c r="BF106" s="13">
        <v>45452</v>
      </c>
      <c r="BG106" s="2">
        <v>123.4</v>
      </c>
      <c r="BH106" s="2"/>
      <c r="BI106" s="2"/>
      <c r="BJ106" s="2"/>
      <c r="BK106" s="2">
        <f t="shared" si="13"/>
        <v>123.4</v>
      </c>
      <c r="BL106" s="2"/>
      <c r="BM106" s="5">
        <f t="shared" si="22"/>
        <v>-2.9543066724120871E-2</v>
      </c>
    </row>
    <row r="107" spans="1:65" ht="15.75" customHeight="1" x14ac:dyDescent="0.35">
      <c r="A107" s="675"/>
      <c r="B107" s="13">
        <v>45453</v>
      </c>
      <c r="C107" s="2">
        <v>8.6999999999999993</v>
      </c>
      <c r="D107" s="2"/>
      <c r="E107" s="2"/>
      <c r="F107" s="2"/>
      <c r="G107" s="11">
        <f t="shared" si="14"/>
        <v>8.6999999999999993</v>
      </c>
      <c r="H107" s="2"/>
      <c r="I107" s="5">
        <f t="shared" si="21"/>
        <v>0</v>
      </c>
      <c r="J107" s="13">
        <v>45453</v>
      </c>
      <c r="K107" s="2">
        <v>28.5</v>
      </c>
      <c r="L107" s="2"/>
      <c r="M107" s="2"/>
      <c r="N107" s="2"/>
      <c r="O107" s="11">
        <f t="shared" si="7"/>
        <v>28.5</v>
      </c>
      <c r="P107" s="2"/>
      <c r="Q107" s="5">
        <f t="shared" si="15"/>
        <v>-2.0834086902842025E-2</v>
      </c>
      <c r="R107" s="13">
        <v>45453</v>
      </c>
      <c r="S107" s="2">
        <v>225.4</v>
      </c>
      <c r="T107" s="2"/>
      <c r="U107" s="2"/>
      <c r="V107" s="2"/>
      <c r="W107" s="11">
        <f t="shared" si="8"/>
        <v>225.4</v>
      </c>
      <c r="X107" s="2"/>
      <c r="Y107" s="5">
        <f t="shared" si="16"/>
        <v>-1.628198785377389E-2</v>
      </c>
      <c r="Z107" s="13">
        <v>45453</v>
      </c>
      <c r="AA107" s="2">
        <v>910.2</v>
      </c>
      <c r="AB107" s="2"/>
      <c r="AC107" s="2"/>
      <c r="AD107" s="2"/>
      <c r="AE107" s="2">
        <f t="shared" si="9"/>
        <v>910.2</v>
      </c>
      <c r="AF107" s="2"/>
      <c r="AG107" s="5">
        <f t="shared" si="17"/>
        <v>-2.3024474965735193E-2</v>
      </c>
      <c r="AH107" s="13">
        <v>45453</v>
      </c>
      <c r="AI107" s="2">
        <v>613.79999999999995</v>
      </c>
      <c r="AJ107" s="2"/>
      <c r="AK107" s="2"/>
      <c r="AL107" s="2"/>
      <c r="AM107" s="2">
        <f t="shared" si="10"/>
        <v>613.79999999999995</v>
      </c>
      <c r="AN107" s="2"/>
      <c r="AO107" s="5">
        <f t="shared" si="18"/>
        <v>-2.5733166481288424E-2</v>
      </c>
      <c r="AP107" s="13">
        <v>45453</v>
      </c>
      <c r="AQ107" s="11">
        <v>451.9</v>
      </c>
      <c r="AR107" s="2"/>
      <c r="AS107" s="2"/>
      <c r="AT107" s="2"/>
      <c r="AU107" s="11">
        <f t="shared" si="11"/>
        <v>451.9</v>
      </c>
      <c r="AV107" s="2"/>
      <c r="AW107" s="5">
        <f t="shared" si="19"/>
        <v>-2.9221442433368945E-2</v>
      </c>
      <c r="AX107" s="13">
        <v>45453</v>
      </c>
      <c r="AY107" s="2">
        <v>24.6</v>
      </c>
      <c r="AZ107" s="2"/>
      <c r="BA107" s="2"/>
      <c r="BB107" s="2"/>
      <c r="BC107" s="2">
        <f t="shared" si="12"/>
        <v>24.6</v>
      </c>
      <c r="BD107" s="2"/>
      <c r="BE107" s="5">
        <f t="shared" si="20"/>
        <v>-2.4097551579060416E-2</v>
      </c>
      <c r="BF107" s="13">
        <v>45453</v>
      </c>
      <c r="BG107" s="2">
        <v>120</v>
      </c>
      <c r="BH107" s="2"/>
      <c r="BI107" s="2"/>
      <c r="BJ107" s="2"/>
      <c r="BK107" s="2">
        <f t="shared" si="13"/>
        <v>120</v>
      </c>
      <c r="BL107" s="2"/>
      <c r="BM107" s="5">
        <f t="shared" si="22"/>
        <v>-2.7939368689241538E-2</v>
      </c>
    </row>
    <row r="108" spans="1:65" ht="15.75" customHeight="1" x14ac:dyDescent="0.35">
      <c r="A108" s="675"/>
      <c r="B108" s="13">
        <v>45454</v>
      </c>
      <c r="C108" s="2">
        <v>8.8000000000000007</v>
      </c>
      <c r="D108" s="2"/>
      <c r="E108" s="2"/>
      <c r="F108" s="2"/>
      <c r="G108" s="11">
        <f t="shared" si="14"/>
        <v>8.8000000000000007</v>
      </c>
      <c r="H108" s="2"/>
      <c r="I108" s="5">
        <f t="shared" si="21"/>
        <v>1.142869582362285E-2</v>
      </c>
      <c r="J108" s="13">
        <v>45454</v>
      </c>
      <c r="K108" s="2">
        <v>27.9</v>
      </c>
      <c r="L108" s="2"/>
      <c r="M108" s="2"/>
      <c r="N108" s="2"/>
      <c r="O108" s="11">
        <f t="shared" si="7"/>
        <v>27.9</v>
      </c>
      <c r="P108" s="2"/>
      <c r="Q108" s="5">
        <f t="shared" si="15"/>
        <v>-2.1277398447284965E-2</v>
      </c>
      <c r="R108" s="13">
        <v>45454</v>
      </c>
      <c r="S108" s="2">
        <v>223.5</v>
      </c>
      <c r="T108" s="2"/>
      <c r="U108" s="2"/>
      <c r="V108" s="2"/>
      <c r="W108" s="11">
        <f t="shared" si="8"/>
        <v>223.5</v>
      </c>
      <c r="X108" s="2"/>
      <c r="Y108" s="5">
        <f t="shared" si="16"/>
        <v>-8.4651875520524271E-3</v>
      </c>
      <c r="Z108" s="13">
        <v>45454</v>
      </c>
      <c r="AA108" s="2">
        <v>901.7</v>
      </c>
      <c r="AB108" s="2"/>
      <c r="AC108" s="2"/>
      <c r="AD108" s="2"/>
      <c r="AE108" s="2">
        <f t="shared" si="9"/>
        <v>901.7</v>
      </c>
      <c r="AF108" s="2"/>
      <c r="AG108" s="5">
        <f t="shared" si="17"/>
        <v>-9.3824850766805919E-3</v>
      </c>
      <c r="AH108" s="13">
        <v>45454</v>
      </c>
      <c r="AI108" s="2">
        <v>610.5</v>
      </c>
      <c r="AJ108" s="2"/>
      <c r="AK108" s="2"/>
      <c r="AL108" s="2"/>
      <c r="AM108" s="2">
        <f t="shared" si="10"/>
        <v>610.5</v>
      </c>
      <c r="AN108" s="2"/>
      <c r="AO108" s="5">
        <f t="shared" si="18"/>
        <v>-5.3908486348763114E-3</v>
      </c>
      <c r="AP108" s="13">
        <v>45454</v>
      </c>
      <c r="AQ108" s="11">
        <v>439.9</v>
      </c>
      <c r="AR108" s="2"/>
      <c r="AS108" s="2"/>
      <c r="AT108" s="2"/>
      <c r="AU108" s="11">
        <f t="shared" si="11"/>
        <v>439.9</v>
      </c>
      <c r="AV108" s="2"/>
      <c r="AW108" s="5">
        <f t="shared" si="19"/>
        <v>-2.691348806255996E-2</v>
      </c>
      <c r="AX108" s="13">
        <v>45454</v>
      </c>
      <c r="AY108" s="2">
        <v>24.1</v>
      </c>
      <c r="AZ108" s="2"/>
      <c r="BA108" s="2"/>
      <c r="BB108" s="2"/>
      <c r="BC108" s="2">
        <f t="shared" si="12"/>
        <v>24.1</v>
      </c>
      <c r="BD108" s="2"/>
      <c r="BE108" s="5">
        <f t="shared" si="20"/>
        <v>-2.0534602441707753E-2</v>
      </c>
      <c r="BF108" s="13">
        <v>45454</v>
      </c>
      <c r="BG108" s="2">
        <v>118.2</v>
      </c>
      <c r="BH108" s="2"/>
      <c r="BI108" s="2"/>
      <c r="BJ108" s="2"/>
      <c r="BK108" s="2">
        <f t="shared" si="13"/>
        <v>118.2</v>
      </c>
      <c r="BL108" s="2"/>
      <c r="BM108" s="5">
        <f t="shared" si="22"/>
        <v>-1.5113637810048184E-2</v>
      </c>
    </row>
    <row r="109" spans="1:65" ht="15.75" customHeight="1" x14ac:dyDescent="0.35">
      <c r="A109" s="675"/>
      <c r="B109" s="13">
        <v>45455</v>
      </c>
      <c r="C109" s="2">
        <v>8.6</v>
      </c>
      <c r="D109" s="2"/>
      <c r="E109" s="2"/>
      <c r="F109" s="2"/>
      <c r="G109" s="11">
        <f t="shared" si="14"/>
        <v>8.6</v>
      </c>
      <c r="H109" s="2"/>
      <c r="I109" s="5">
        <f t="shared" si="21"/>
        <v>-2.2989518224698833E-2</v>
      </c>
      <c r="J109" s="13">
        <v>45455</v>
      </c>
      <c r="K109" s="2">
        <v>27.5</v>
      </c>
      <c r="L109" s="2"/>
      <c r="M109" s="2"/>
      <c r="N109" s="2"/>
      <c r="O109" s="11">
        <f t="shared" si="7"/>
        <v>27.5</v>
      </c>
      <c r="P109" s="2"/>
      <c r="Q109" s="5">
        <f t="shared" si="15"/>
        <v>-1.4440684154794247E-2</v>
      </c>
      <c r="R109" s="13">
        <v>45455</v>
      </c>
      <c r="S109" s="2">
        <v>223</v>
      </c>
      <c r="T109" s="2"/>
      <c r="U109" s="2"/>
      <c r="V109" s="2"/>
      <c r="W109" s="11">
        <f t="shared" si="8"/>
        <v>223</v>
      </c>
      <c r="X109" s="2"/>
      <c r="Y109" s="5">
        <f t="shared" si="16"/>
        <v>-2.2396425935047983E-3</v>
      </c>
      <c r="Z109" s="13">
        <v>45455</v>
      </c>
      <c r="AA109" s="2">
        <v>903.7</v>
      </c>
      <c r="AB109" s="2"/>
      <c r="AC109" s="2"/>
      <c r="AD109" s="2"/>
      <c r="AE109" s="2">
        <f t="shared" si="9"/>
        <v>903.7</v>
      </c>
      <c r="AF109" s="2"/>
      <c r="AG109" s="5">
        <f t="shared" si="17"/>
        <v>2.2155764020491721E-3</v>
      </c>
      <c r="AH109" s="13">
        <v>45455</v>
      </c>
      <c r="AI109" s="2">
        <v>622.9</v>
      </c>
      <c r="AJ109" s="2"/>
      <c r="AK109" s="2"/>
      <c r="AL109" s="2"/>
      <c r="AM109" s="2">
        <f t="shared" si="10"/>
        <v>622.9</v>
      </c>
      <c r="AN109" s="2"/>
      <c r="AO109" s="5">
        <f t="shared" si="18"/>
        <v>2.0107698709340503E-2</v>
      </c>
      <c r="AP109" s="13">
        <v>45455</v>
      </c>
      <c r="AQ109" s="11">
        <v>442.1</v>
      </c>
      <c r="AR109" s="2"/>
      <c r="AS109" s="2"/>
      <c r="AT109" s="2"/>
      <c r="AU109" s="11">
        <f t="shared" si="11"/>
        <v>442.1</v>
      </c>
      <c r="AV109" s="2"/>
      <c r="AW109" s="5">
        <f t="shared" si="19"/>
        <v>4.9886724775234674E-3</v>
      </c>
      <c r="AX109" s="13">
        <v>45455</v>
      </c>
      <c r="AY109" s="2">
        <v>24.4</v>
      </c>
      <c r="AZ109" s="2"/>
      <c r="BA109" s="2"/>
      <c r="BB109" s="2"/>
      <c r="BC109" s="2">
        <f t="shared" si="12"/>
        <v>24.4</v>
      </c>
      <c r="BD109" s="2"/>
      <c r="BE109" s="5">
        <f t="shared" si="20"/>
        <v>1.2371291802546829E-2</v>
      </c>
      <c r="BF109" s="13">
        <v>45455</v>
      </c>
      <c r="BG109" s="2">
        <v>120.3</v>
      </c>
      <c r="BH109" s="2"/>
      <c r="BI109" s="2"/>
      <c r="BJ109" s="2"/>
      <c r="BK109" s="2">
        <f t="shared" si="13"/>
        <v>120.3</v>
      </c>
      <c r="BL109" s="2"/>
      <c r="BM109" s="5">
        <f t="shared" si="22"/>
        <v>1.7610518008635369E-2</v>
      </c>
    </row>
    <row r="110" spans="1:65" ht="15.75" customHeight="1" x14ac:dyDescent="0.35">
      <c r="A110" s="675"/>
      <c r="B110" s="13">
        <v>45456</v>
      </c>
      <c r="C110" s="2">
        <v>8.6999999999999993</v>
      </c>
      <c r="D110" s="2"/>
      <c r="E110" s="2"/>
      <c r="F110" s="2"/>
      <c r="G110" s="11">
        <f t="shared" si="14"/>
        <v>8.6999999999999993</v>
      </c>
      <c r="H110" s="2"/>
      <c r="I110" s="5">
        <f t="shared" si="21"/>
        <v>1.1560822401076006E-2</v>
      </c>
      <c r="J110" s="13">
        <v>45456</v>
      </c>
      <c r="K110" s="2">
        <v>27.2</v>
      </c>
      <c r="L110" s="2"/>
      <c r="M110" s="2"/>
      <c r="N110" s="2"/>
      <c r="O110" s="11">
        <f t="shared" si="7"/>
        <v>27.2</v>
      </c>
      <c r="P110" s="2"/>
      <c r="Q110" s="5">
        <f t="shared" si="15"/>
        <v>-1.0969031370574046E-2</v>
      </c>
      <c r="R110" s="13">
        <v>45456</v>
      </c>
      <c r="S110" s="2">
        <v>224.1</v>
      </c>
      <c r="T110" s="2"/>
      <c r="U110" s="2"/>
      <c r="V110" s="2"/>
      <c r="W110" s="11">
        <f t="shared" si="8"/>
        <v>224.1</v>
      </c>
      <c r="X110" s="2"/>
      <c r="Y110" s="5">
        <f t="shared" si="16"/>
        <v>4.9206093467625027E-3</v>
      </c>
      <c r="Z110" s="13">
        <v>45456</v>
      </c>
      <c r="AA110" s="2">
        <v>911.4</v>
      </c>
      <c r="AB110" s="2"/>
      <c r="AC110" s="2"/>
      <c r="AD110" s="2"/>
      <c r="AE110" s="2">
        <f t="shared" si="9"/>
        <v>911.4</v>
      </c>
      <c r="AF110" s="2"/>
      <c r="AG110" s="5">
        <f t="shared" si="17"/>
        <v>8.4844319218719093E-3</v>
      </c>
      <c r="AH110" s="13">
        <v>45456</v>
      </c>
      <c r="AI110" s="2">
        <v>618</v>
      </c>
      <c r="AJ110" s="2"/>
      <c r="AK110" s="2"/>
      <c r="AL110" s="2"/>
      <c r="AM110" s="2">
        <f t="shared" si="10"/>
        <v>618</v>
      </c>
      <c r="AN110" s="2"/>
      <c r="AO110" s="5">
        <f t="shared" si="18"/>
        <v>-7.8975348024090623E-3</v>
      </c>
      <c r="AP110" s="13">
        <v>45456</v>
      </c>
      <c r="AQ110" s="11">
        <v>446.3</v>
      </c>
      <c r="AR110" s="2"/>
      <c r="AS110" s="2"/>
      <c r="AT110" s="2"/>
      <c r="AU110" s="11">
        <f t="shared" si="11"/>
        <v>446.3</v>
      </c>
      <c r="AV110" s="2"/>
      <c r="AW110" s="5">
        <f t="shared" si="19"/>
        <v>9.4552708030266035E-3</v>
      </c>
      <c r="AX110" s="13">
        <v>45456</v>
      </c>
      <c r="AY110" s="2">
        <v>24.4</v>
      </c>
      <c r="AZ110" s="2"/>
      <c r="BA110" s="2"/>
      <c r="BB110" s="2"/>
      <c r="BC110" s="2">
        <f t="shared" si="12"/>
        <v>24.4</v>
      </c>
      <c r="BD110" s="2"/>
      <c r="BE110" s="5">
        <f t="shared" si="20"/>
        <v>0</v>
      </c>
      <c r="BF110" s="13">
        <v>45456</v>
      </c>
      <c r="BG110" s="2">
        <v>119.9</v>
      </c>
      <c r="BH110" s="2"/>
      <c r="BI110" s="2"/>
      <c r="BJ110" s="2"/>
      <c r="BK110" s="2">
        <f t="shared" si="13"/>
        <v>119.9</v>
      </c>
      <c r="BL110" s="2"/>
      <c r="BM110" s="5">
        <f t="shared" si="22"/>
        <v>-3.3305609471646108E-3</v>
      </c>
    </row>
    <row r="111" spans="1:65" ht="15.75" customHeight="1" x14ac:dyDescent="0.35">
      <c r="A111" s="675"/>
      <c r="B111" s="13">
        <v>45462</v>
      </c>
      <c r="C111" s="2">
        <v>8.5</v>
      </c>
      <c r="D111" s="2"/>
      <c r="E111" s="2"/>
      <c r="F111" s="2"/>
      <c r="G111" s="11">
        <f t="shared" si="14"/>
        <v>8.5</v>
      </c>
      <c r="H111" s="2"/>
      <c r="I111" s="5">
        <f t="shared" si="21"/>
        <v>-2.3256862164267235E-2</v>
      </c>
      <c r="J111" s="13">
        <v>45462</v>
      </c>
      <c r="K111" s="2">
        <v>27.5</v>
      </c>
      <c r="L111" s="2"/>
      <c r="M111" s="2"/>
      <c r="N111" s="2"/>
      <c r="O111" s="11">
        <f t="shared" si="7"/>
        <v>27.5</v>
      </c>
      <c r="P111" s="2"/>
      <c r="Q111" s="5">
        <f t="shared" si="15"/>
        <v>1.0969031370573937E-2</v>
      </c>
      <c r="R111" s="13">
        <v>45462</v>
      </c>
      <c r="S111" s="2">
        <v>222.2</v>
      </c>
      <c r="T111" s="2"/>
      <c r="U111" s="2"/>
      <c r="V111" s="2"/>
      <c r="W111" s="11">
        <f t="shared" si="8"/>
        <v>222.2</v>
      </c>
      <c r="X111" s="2"/>
      <c r="Y111" s="5">
        <f t="shared" si="16"/>
        <v>-8.5145036013517614E-3</v>
      </c>
      <c r="Z111" s="13">
        <v>45462</v>
      </c>
      <c r="AA111" s="2">
        <v>906.6</v>
      </c>
      <c r="AB111" s="2"/>
      <c r="AC111" s="2"/>
      <c r="AD111" s="2"/>
      <c r="AE111" s="2">
        <f t="shared" si="9"/>
        <v>906.6</v>
      </c>
      <c r="AF111" s="2"/>
      <c r="AG111" s="5">
        <f t="shared" si="17"/>
        <v>-5.2805403230332636E-3</v>
      </c>
      <c r="AH111" s="13">
        <v>45462</v>
      </c>
      <c r="AI111" s="2">
        <v>626.5</v>
      </c>
      <c r="AJ111" s="2"/>
      <c r="AK111" s="2"/>
      <c r="AL111" s="2"/>
      <c r="AM111" s="2">
        <f t="shared" si="10"/>
        <v>626.5</v>
      </c>
      <c r="AN111" s="2"/>
      <c r="AO111" s="5">
        <f t="shared" si="18"/>
        <v>1.3660316878432251E-2</v>
      </c>
      <c r="AP111" s="13">
        <v>45462</v>
      </c>
      <c r="AQ111" s="11">
        <v>485.3</v>
      </c>
      <c r="AR111" s="2"/>
      <c r="AS111" s="2"/>
      <c r="AT111" s="2"/>
      <c r="AU111" s="11">
        <f t="shared" si="11"/>
        <v>485.3</v>
      </c>
      <c r="AV111" s="2"/>
      <c r="AW111" s="5">
        <f t="shared" si="19"/>
        <v>8.3775884775946191E-2</v>
      </c>
      <c r="AX111" s="13">
        <v>45462</v>
      </c>
      <c r="AY111" s="2">
        <v>24.6</v>
      </c>
      <c r="AZ111" s="2"/>
      <c r="BA111" s="2"/>
      <c r="BB111" s="2"/>
      <c r="BC111" s="2">
        <f t="shared" si="12"/>
        <v>24.6</v>
      </c>
      <c r="BD111" s="2"/>
      <c r="BE111" s="5">
        <f t="shared" si="20"/>
        <v>8.1633106391610557E-3</v>
      </c>
      <c r="BF111" s="13">
        <v>45462</v>
      </c>
      <c r="BG111" s="2">
        <v>118.5</v>
      </c>
      <c r="BH111" s="2"/>
      <c r="BI111" s="2"/>
      <c r="BJ111" s="2"/>
      <c r="BK111" s="2">
        <f t="shared" si="13"/>
        <v>118.5</v>
      </c>
      <c r="BL111" s="2"/>
      <c r="BM111" s="5">
        <f t="shared" si="22"/>
        <v>-1.1745101458282777E-2</v>
      </c>
    </row>
    <row r="112" spans="1:65" ht="15.75" customHeight="1" x14ac:dyDescent="0.35">
      <c r="A112" s="675"/>
      <c r="B112" s="13">
        <v>45463</v>
      </c>
      <c r="C112" s="2">
        <v>8.6999999999999993</v>
      </c>
      <c r="D112" s="2"/>
      <c r="E112" s="2"/>
      <c r="F112" s="2"/>
      <c r="G112" s="11">
        <f t="shared" si="14"/>
        <v>8.6999999999999993</v>
      </c>
      <c r="H112" s="2"/>
      <c r="I112" s="5">
        <f t="shared" si="21"/>
        <v>2.3256862164267183E-2</v>
      </c>
      <c r="J112" s="13">
        <v>45463</v>
      </c>
      <c r="K112" s="2">
        <v>28.5</v>
      </c>
      <c r="L112" s="2"/>
      <c r="M112" s="2"/>
      <c r="N112" s="2"/>
      <c r="O112" s="11">
        <f t="shared" si="7"/>
        <v>28.5</v>
      </c>
      <c r="P112" s="2"/>
      <c r="Q112" s="5">
        <f t="shared" si="15"/>
        <v>3.5718082602079246E-2</v>
      </c>
      <c r="R112" s="13">
        <v>45463</v>
      </c>
      <c r="S112" s="2">
        <v>224.9</v>
      </c>
      <c r="T112" s="2"/>
      <c r="U112" s="2"/>
      <c r="V112" s="2"/>
      <c r="W112" s="11">
        <f t="shared" si="8"/>
        <v>224.9</v>
      </c>
      <c r="X112" s="2"/>
      <c r="Y112" s="5">
        <f t="shared" si="16"/>
        <v>1.2077981759740409E-2</v>
      </c>
      <c r="Z112" s="13">
        <v>45463</v>
      </c>
      <c r="AA112" s="2">
        <v>912</v>
      </c>
      <c r="AB112" s="2"/>
      <c r="AC112" s="2"/>
      <c r="AD112" s="2"/>
      <c r="AE112" s="2">
        <f t="shared" si="9"/>
        <v>912</v>
      </c>
      <c r="AF112" s="2"/>
      <c r="AG112" s="5">
        <f t="shared" si="17"/>
        <v>5.9386515675825466E-3</v>
      </c>
      <c r="AH112" s="13">
        <v>45463</v>
      </c>
      <c r="AI112" s="2">
        <v>673.4</v>
      </c>
      <c r="AJ112" s="2"/>
      <c r="AK112" s="2"/>
      <c r="AL112" s="2"/>
      <c r="AM112" s="2">
        <f t="shared" si="10"/>
        <v>673.4</v>
      </c>
      <c r="AN112" s="2"/>
      <c r="AO112" s="5">
        <f t="shared" si="18"/>
        <v>7.2190732390850998E-2</v>
      </c>
      <c r="AP112" s="13">
        <v>45463</v>
      </c>
      <c r="AQ112" s="11">
        <v>527.70000000000005</v>
      </c>
      <c r="AR112" s="2"/>
      <c r="AS112" s="2"/>
      <c r="AT112" s="2"/>
      <c r="AU112" s="11">
        <f t="shared" si="11"/>
        <v>527.70000000000005</v>
      </c>
      <c r="AV112" s="2"/>
      <c r="AW112" s="5">
        <f t="shared" si="19"/>
        <v>8.3760684000451655E-2</v>
      </c>
      <c r="AX112" s="13">
        <v>45463</v>
      </c>
      <c r="AY112" s="2">
        <v>24.7</v>
      </c>
      <c r="AZ112" s="2"/>
      <c r="BA112" s="2"/>
      <c r="BB112" s="2"/>
      <c r="BC112" s="2">
        <f t="shared" si="12"/>
        <v>24.7</v>
      </c>
      <c r="BD112" s="2"/>
      <c r="BE112" s="5">
        <f t="shared" si="20"/>
        <v>4.0568006956142478E-3</v>
      </c>
      <c r="BF112" s="13">
        <v>45463</v>
      </c>
      <c r="BG112" s="2">
        <v>121.8</v>
      </c>
      <c r="BH112" s="2"/>
      <c r="BI112" s="2"/>
      <c r="BJ112" s="2"/>
      <c r="BK112" s="2">
        <f t="shared" si="13"/>
        <v>121.8</v>
      </c>
      <c r="BL112" s="2"/>
      <c r="BM112" s="5">
        <f t="shared" si="22"/>
        <v>2.7467394700610701E-2</v>
      </c>
    </row>
    <row r="113" spans="1:65" ht="15.75" customHeight="1" x14ac:dyDescent="0.35">
      <c r="A113" s="675"/>
      <c r="B113" s="13">
        <v>45466</v>
      </c>
      <c r="C113" s="2">
        <v>8.5</v>
      </c>
      <c r="D113" s="2"/>
      <c r="E113" s="2"/>
      <c r="F113" s="2"/>
      <c r="G113" s="11">
        <f t="shared" si="14"/>
        <v>8.5</v>
      </c>
      <c r="H113" s="2"/>
      <c r="I113" s="5">
        <f t="shared" si="21"/>
        <v>-2.3256862164267235E-2</v>
      </c>
      <c r="J113" s="13">
        <v>45466</v>
      </c>
      <c r="K113" s="2">
        <v>29.2</v>
      </c>
      <c r="L113" s="2"/>
      <c r="M113" s="2"/>
      <c r="N113" s="2"/>
      <c r="O113" s="11">
        <f t="shared" si="7"/>
        <v>29.2</v>
      </c>
      <c r="P113" s="2"/>
      <c r="Q113" s="5">
        <f t="shared" si="15"/>
        <v>2.4264621999631298E-2</v>
      </c>
      <c r="R113" s="13">
        <v>45466</v>
      </c>
      <c r="S113" s="2">
        <v>226.9</v>
      </c>
      <c r="T113" s="2"/>
      <c r="U113" s="2"/>
      <c r="V113" s="2"/>
      <c r="W113" s="11">
        <f t="shared" si="8"/>
        <v>226.9</v>
      </c>
      <c r="X113" s="2"/>
      <c r="Y113" s="5">
        <f t="shared" si="16"/>
        <v>8.8535328205261409E-3</v>
      </c>
      <c r="Z113" s="13">
        <v>45466</v>
      </c>
      <c r="AA113" s="2">
        <v>948.2</v>
      </c>
      <c r="AB113" s="2"/>
      <c r="AC113" s="2"/>
      <c r="AD113" s="2"/>
      <c r="AE113" s="2">
        <f t="shared" si="9"/>
        <v>948.2</v>
      </c>
      <c r="AF113" s="2"/>
      <c r="AG113" s="5">
        <f t="shared" si="17"/>
        <v>3.892546039368671E-2</v>
      </c>
      <c r="AH113" s="13">
        <v>45466</v>
      </c>
      <c r="AI113" s="2">
        <v>723.5</v>
      </c>
      <c r="AJ113" s="2"/>
      <c r="AK113" s="2"/>
      <c r="AL113" s="2"/>
      <c r="AM113" s="2">
        <f t="shared" si="10"/>
        <v>723.5</v>
      </c>
      <c r="AN113" s="2"/>
      <c r="AO113" s="5">
        <f t="shared" si="18"/>
        <v>7.1761039344564487E-2</v>
      </c>
      <c r="AP113" s="13">
        <v>45466</v>
      </c>
      <c r="AQ113" s="11">
        <v>567.20000000000005</v>
      </c>
      <c r="AR113" s="2"/>
      <c r="AS113" s="2"/>
      <c r="AT113" s="2"/>
      <c r="AU113" s="11">
        <f t="shared" si="11"/>
        <v>567.20000000000005</v>
      </c>
      <c r="AV113" s="2"/>
      <c r="AW113" s="5">
        <f t="shared" si="19"/>
        <v>7.2184034806295663E-2</v>
      </c>
      <c r="AX113" s="13">
        <v>45466</v>
      </c>
      <c r="AY113" s="2">
        <v>25.3</v>
      </c>
      <c r="AZ113" s="2"/>
      <c r="BA113" s="2"/>
      <c r="BB113" s="2"/>
      <c r="BC113" s="2">
        <f t="shared" si="12"/>
        <v>25.3</v>
      </c>
      <c r="BD113" s="2"/>
      <c r="BE113" s="5">
        <f t="shared" si="20"/>
        <v>2.4001152099543045E-2</v>
      </c>
      <c r="BF113" s="13">
        <v>45466</v>
      </c>
      <c r="BG113" s="2">
        <v>123.6</v>
      </c>
      <c r="BH113" s="2"/>
      <c r="BI113" s="2"/>
      <c r="BJ113" s="2"/>
      <c r="BK113" s="2">
        <f t="shared" si="13"/>
        <v>123.6</v>
      </c>
      <c r="BL113" s="2"/>
      <c r="BM113" s="5">
        <f t="shared" si="22"/>
        <v>1.4670189747793621E-2</v>
      </c>
    </row>
    <row r="114" spans="1:65" ht="15.75" customHeight="1" x14ac:dyDescent="0.35">
      <c r="A114" s="675"/>
      <c r="B114" s="13">
        <v>45467</v>
      </c>
      <c r="C114" s="2">
        <v>8.5</v>
      </c>
      <c r="D114" s="2"/>
      <c r="E114" s="2"/>
      <c r="F114" s="2"/>
      <c r="G114" s="11">
        <f t="shared" si="14"/>
        <v>8.5</v>
      </c>
      <c r="H114" s="2"/>
      <c r="I114" s="5">
        <f t="shared" si="21"/>
        <v>0</v>
      </c>
      <c r="J114" s="13">
        <v>45467</v>
      </c>
      <c r="K114" s="2">
        <v>29.5</v>
      </c>
      <c r="L114" s="2"/>
      <c r="M114" s="2"/>
      <c r="N114" s="2"/>
      <c r="O114" s="11">
        <f t="shared" si="7"/>
        <v>29.5</v>
      </c>
      <c r="P114" s="2"/>
      <c r="Q114" s="5">
        <f t="shared" si="15"/>
        <v>1.0221554071538009E-2</v>
      </c>
      <c r="R114" s="13">
        <v>45467</v>
      </c>
      <c r="S114" s="2">
        <v>228.2</v>
      </c>
      <c r="T114" s="2"/>
      <c r="U114" s="2"/>
      <c r="V114" s="2"/>
      <c r="W114" s="11">
        <f t="shared" si="8"/>
        <v>228.2</v>
      </c>
      <c r="X114" s="2"/>
      <c r="Y114" s="5">
        <f t="shared" si="16"/>
        <v>5.7130456421791414E-3</v>
      </c>
      <c r="Z114" s="13">
        <v>45467</v>
      </c>
      <c r="AA114" s="2">
        <v>932.1</v>
      </c>
      <c r="AB114" s="2"/>
      <c r="AC114" s="2"/>
      <c r="AD114" s="2"/>
      <c r="AE114" s="2">
        <f t="shared" si="9"/>
        <v>932.1</v>
      </c>
      <c r="AF114" s="2"/>
      <c r="AG114" s="5">
        <f t="shared" si="17"/>
        <v>-1.7125345400906575E-2</v>
      </c>
      <c r="AH114" s="13">
        <v>45467</v>
      </c>
      <c r="AI114" s="2">
        <v>722</v>
      </c>
      <c r="AJ114" s="2"/>
      <c r="AK114" s="2"/>
      <c r="AL114" s="2"/>
      <c r="AM114" s="2">
        <f t="shared" si="10"/>
        <v>722</v>
      </c>
      <c r="AN114" s="2"/>
      <c r="AO114" s="5">
        <f t="shared" si="18"/>
        <v>-2.0754071787123067E-3</v>
      </c>
      <c r="AP114" s="13">
        <v>45467</v>
      </c>
      <c r="AQ114" s="11">
        <v>581.29999999999995</v>
      </c>
      <c r="AR114" s="2"/>
      <c r="AS114" s="2"/>
      <c r="AT114" s="2"/>
      <c r="AU114" s="11">
        <f t="shared" si="11"/>
        <v>581.29999999999995</v>
      </c>
      <c r="AV114" s="2"/>
      <c r="AW114" s="5">
        <f t="shared" si="19"/>
        <v>2.4554999489387073E-2</v>
      </c>
      <c r="AX114" s="13">
        <v>45467</v>
      </c>
      <c r="AY114" s="2">
        <v>25.2</v>
      </c>
      <c r="AZ114" s="2"/>
      <c r="BA114" s="2"/>
      <c r="BB114" s="2"/>
      <c r="BC114" s="2">
        <f t="shared" si="12"/>
        <v>25.2</v>
      </c>
      <c r="BD114" s="2"/>
      <c r="BE114" s="5">
        <f t="shared" si="20"/>
        <v>-3.9604012160970167E-3</v>
      </c>
      <c r="BF114" s="13">
        <v>45467</v>
      </c>
      <c r="BG114" s="2">
        <v>123.7</v>
      </c>
      <c r="BH114" s="2"/>
      <c r="BI114" s="2"/>
      <c r="BJ114" s="2"/>
      <c r="BK114" s="2">
        <f t="shared" si="13"/>
        <v>123.7</v>
      </c>
      <c r="BL114" s="2"/>
      <c r="BM114" s="5">
        <f t="shared" si="22"/>
        <v>8.087343748517811E-4</v>
      </c>
    </row>
    <row r="115" spans="1:65" ht="15.75" customHeight="1" x14ac:dyDescent="0.35">
      <c r="A115" s="675"/>
      <c r="B115" s="13">
        <v>45468</v>
      </c>
      <c r="C115" s="2">
        <v>8.4</v>
      </c>
      <c r="D115" s="2"/>
      <c r="E115" s="2"/>
      <c r="F115" s="2"/>
      <c r="G115" s="11">
        <f t="shared" si="14"/>
        <v>8.4</v>
      </c>
      <c r="H115" s="2"/>
      <c r="I115" s="5">
        <f t="shared" si="21"/>
        <v>-1.1834457647002796E-2</v>
      </c>
      <c r="J115" s="13">
        <v>45468</v>
      </c>
      <c r="K115" s="2">
        <v>29.8</v>
      </c>
      <c r="L115" s="2"/>
      <c r="M115" s="2"/>
      <c r="N115" s="2"/>
      <c r="O115" s="11">
        <f t="shared" si="7"/>
        <v>29.8</v>
      </c>
      <c r="P115" s="2"/>
      <c r="Q115" s="5">
        <f t="shared" si="15"/>
        <v>1.0118130165584686E-2</v>
      </c>
      <c r="R115" s="13">
        <v>45468</v>
      </c>
      <c r="S115" s="2">
        <v>228.7</v>
      </c>
      <c r="T115" s="2"/>
      <c r="U115" s="2"/>
      <c r="V115" s="2"/>
      <c r="W115" s="11">
        <f t="shared" si="8"/>
        <v>228.7</v>
      </c>
      <c r="X115" s="2"/>
      <c r="Y115" s="5">
        <f t="shared" si="16"/>
        <v>2.1886636007602414E-3</v>
      </c>
      <c r="Z115" s="13">
        <v>45468</v>
      </c>
      <c r="AA115" s="2">
        <v>915</v>
      </c>
      <c r="AB115" s="2"/>
      <c r="AC115" s="2"/>
      <c r="AD115" s="2"/>
      <c r="AE115" s="2">
        <f t="shared" si="9"/>
        <v>915</v>
      </c>
      <c r="AF115" s="2"/>
      <c r="AG115" s="5">
        <f t="shared" si="17"/>
        <v>-1.8516039791590114E-2</v>
      </c>
      <c r="AH115" s="13">
        <v>45468</v>
      </c>
      <c r="AI115" s="2">
        <v>724.5</v>
      </c>
      <c r="AJ115" s="2"/>
      <c r="AK115" s="2"/>
      <c r="AL115" s="2"/>
      <c r="AM115" s="2">
        <f t="shared" si="10"/>
        <v>724.5</v>
      </c>
      <c r="AN115" s="2"/>
      <c r="AO115" s="5">
        <f t="shared" si="18"/>
        <v>3.4566228679107514E-3</v>
      </c>
      <c r="AP115" s="13">
        <v>45468</v>
      </c>
      <c r="AQ115" s="11">
        <v>564.70000000000005</v>
      </c>
      <c r="AR115" s="2"/>
      <c r="AS115" s="2"/>
      <c r="AT115" s="2"/>
      <c r="AU115" s="11">
        <f t="shared" si="11"/>
        <v>564.70000000000005</v>
      </c>
      <c r="AV115" s="2"/>
      <c r="AW115" s="5">
        <f t="shared" si="19"/>
        <v>-2.897235802851374E-2</v>
      </c>
      <c r="AX115" s="13">
        <v>45468</v>
      </c>
      <c r="AY115" s="2">
        <v>25.1</v>
      </c>
      <c r="AZ115" s="2"/>
      <c r="BA115" s="2"/>
      <c r="BB115" s="2"/>
      <c r="BC115" s="2">
        <f t="shared" si="12"/>
        <v>25.1</v>
      </c>
      <c r="BD115" s="2"/>
      <c r="BE115" s="5">
        <f t="shared" si="20"/>
        <v>-3.9761483796392945E-3</v>
      </c>
      <c r="BF115" s="13">
        <v>45468</v>
      </c>
      <c r="BG115" s="2">
        <v>125.4</v>
      </c>
      <c r="BH115" s="2"/>
      <c r="BI115" s="2"/>
      <c r="BJ115" s="2"/>
      <c r="BK115" s="2">
        <f t="shared" si="13"/>
        <v>125.4</v>
      </c>
      <c r="BL115" s="2"/>
      <c r="BM115" s="5">
        <f t="shared" si="22"/>
        <v>1.3649348800378047E-2</v>
      </c>
    </row>
    <row r="116" spans="1:65" ht="15.75" customHeight="1" x14ac:dyDescent="0.35">
      <c r="A116" s="675"/>
      <c r="B116" s="13">
        <v>45469</v>
      </c>
      <c r="C116" s="2">
        <v>8.4</v>
      </c>
      <c r="D116" s="2"/>
      <c r="E116" s="2"/>
      <c r="F116" s="2"/>
      <c r="G116" s="11">
        <f t="shared" si="14"/>
        <v>8.4</v>
      </c>
      <c r="H116" s="2"/>
      <c r="I116" s="5">
        <f t="shared" si="21"/>
        <v>0</v>
      </c>
      <c r="J116" s="13">
        <v>45469</v>
      </c>
      <c r="K116" s="2">
        <v>30.4</v>
      </c>
      <c r="L116" s="2"/>
      <c r="M116" s="2"/>
      <c r="N116" s="2"/>
      <c r="O116" s="11">
        <f t="shared" si="7"/>
        <v>30.4</v>
      </c>
      <c r="P116" s="2"/>
      <c r="Q116" s="5">
        <f t="shared" si="15"/>
        <v>1.9934214900817111E-2</v>
      </c>
      <c r="R116" s="13">
        <v>45469</v>
      </c>
      <c r="S116" s="2">
        <v>236.2</v>
      </c>
      <c r="T116" s="2"/>
      <c r="U116" s="2"/>
      <c r="V116" s="2"/>
      <c r="W116" s="11">
        <f t="shared" si="8"/>
        <v>236.2</v>
      </c>
      <c r="X116" s="2"/>
      <c r="Y116" s="5">
        <f t="shared" si="16"/>
        <v>3.2267802734526556E-2</v>
      </c>
      <c r="Z116" s="13">
        <v>45469</v>
      </c>
      <c r="AA116" s="2">
        <v>936.8</v>
      </c>
      <c r="AB116" s="2"/>
      <c r="AC116" s="2"/>
      <c r="AD116" s="2"/>
      <c r="AE116" s="2">
        <f t="shared" si="9"/>
        <v>936.8</v>
      </c>
      <c r="AF116" s="2"/>
      <c r="AG116" s="5">
        <f t="shared" si="17"/>
        <v>2.3545747007986315E-2</v>
      </c>
      <c r="AH116" s="13">
        <v>45469</v>
      </c>
      <c r="AI116" s="2">
        <v>727</v>
      </c>
      <c r="AJ116" s="2"/>
      <c r="AK116" s="2"/>
      <c r="AL116" s="2"/>
      <c r="AM116" s="2">
        <f t="shared" si="10"/>
        <v>727</v>
      </c>
      <c r="AN116" s="2"/>
      <c r="AO116" s="5">
        <f t="shared" si="18"/>
        <v>3.4447157727822172E-3</v>
      </c>
      <c r="AP116" s="13">
        <v>45469</v>
      </c>
      <c r="AQ116" s="11">
        <v>607</v>
      </c>
      <c r="AR116" s="2"/>
      <c r="AS116" s="2"/>
      <c r="AT116" s="2"/>
      <c r="AU116" s="11">
        <f t="shared" si="11"/>
        <v>607</v>
      </c>
      <c r="AV116" s="2"/>
      <c r="AW116" s="5">
        <f t="shared" si="19"/>
        <v>7.2234174380707145E-2</v>
      </c>
      <c r="AX116" s="13">
        <v>45469</v>
      </c>
      <c r="AY116" s="2">
        <v>25.3</v>
      </c>
      <c r="AZ116" s="2"/>
      <c r="BA116" s="2"/>
      <c r="BB116" s="2"/>
      <c r="BC116" s="2">
        <f t="shared" si="12"/>
        <v>25.3</v>
      </c>
      <c r="BD116" s="2"/>
      <c r="BE116" s="5">
        <f t="shared" si="20"/>
        <v>7.9365495957363415E-3</v>
      </c>
      <c r="BF116" s="13">
        <v>45469</v>
      </c>
      <c r="BG116" s="2">
        <v>128.80000000000001</v>
      </c>
      <c r="BH116" s="2"/>
      <c r="BI116" s="2"/>
      <c r="BJ116" s="2"/>
      <c r="BK116" s="2">
        <f t="shared" si="13"/>
        <v>128.80000000000001</v>
      </c>
      <c r="BL116" s="2"/>
      <c r="BM116" s="5">
        <f t="shared" si="22"/>
        <v>2.6752185471433022E-2</v>
      </c>
    </row>
    <row r="117" spans="1:65" ht="15.75" customHeight="1" x14ac:dyDescent="0.35">
      <c r="A117" s="675"/>
      <c r="B117" s="13">
        <v>45470</v>
      </c>
      <c r="C117" s="2">
        <v>8.5</v>
      </c>
      <c r="D117" s="2"/>
      <c r="E117" s="2"/>
      <c r="F117" s="2"/>
      <c r="G117" s="11">
        <f t="shared" si="14"/>
        <v>8.5</v>
      </c>
      <c r="H117" s="2"/>
      <c r="I117" s="5">
        <f t="shared" si="21"/>
        <v>1.1834457647002798E-2</v>
      </c>
      <c r="J117" s="13">
        <v>45470</v>
      </c>
      <c r="K117" s="2">
        <v>30.1</v>
      </c>
      <c r="L117" s="2"/>
      <c r="M117" s="2"/>
      <c r="N117" s="2"/>
      <c r="O117" s="11">
        <f t="shared" si="7"/>
        <v>30.1</v>
      </c>
      <c r="P117" s="2"/>
      <c r="Q117" s="5">
        <f t="shared" si="15"/>
        <v>-9.9174366573459155E-3</v>
      </c>
      <c r="R117" s="13">
        <v>45470</v>
      </c>
      <c r="S117" s="2">
        <v>241.4</v>
      </c>
      <c r="T117" s="2"/>
      <c r="U117" s="2"/>
      <c r="V117" s="2"/>
      <c r="W117" s="11">
        <f t="shared" si="8"/>
        <v>241.4</v>
      </c>
      <c r="X117" s="2"/>
      <c r="Y117" s="5">
        <f t="shared" si="16"/>
        <v>2.1776404900169199E-2</v>
      </c>
      <c r="Z117" s="13">
        <v>45470</v>
      </c>
      <c r="AA117" s="2">
        <v>958.5</v>
      </c>
      <c r="AB117" s="2"/>
      <c r="AC117" s="2"/>
      <c r="AD117" s="2"/>
      <c r="AE117" s="2">
        <f t="shared" si="9"/>
        <v>958.5</v>
      </c>
      <c r="AF117" s="2"/>
      <c r="AG117" s="5">
        <f t="shared" si="17"/>
        <v>2.2899750202191579E-2</v>
      </c>
      <c r="AH117" s="13">
        <v>45470</v>
      </c>
      <c r="AI117" s="2">
        <v>765.9</v>
      </c>
      <c r="AJ117" s="2"/>
      <c r="AK117" s="2"/>
      <c r="AL117" s="2"/>
      <c r="AM117" s="2">
        <f t="shared" si="10"/>
        <v>765.9</v>
      </c>
      <c r="AN117" s="2"/>
      <c r="AO117" s="5">
        <f t="shared" si="18"/>
        <v>5.2125135382028495E-2</v>
      </c>
      <c r="AP117" s="13">
        <v>45470</v>
      </c>
      <c r="AQ117" s="11">
        <v>652.5</v>
      </c>
      <c r="AR117" s="2"/>
      <c r="AS117" s="2"/>
      <c r="AT117" s="2"/>
      <c r="AU117" s="11">
        <f t="shared" si="11"/>
        <v>652.5</v>
      </c>
      <c r="AV117" s="2"/>
      <c r="AW117" s="5">
        <f t="shared" si="19"/>
        <v>7.2282348137350155E-2</v>
      </c>
      <c r="AX117" s="13">
        <v>45470</v>
      </c>
      <c r="AY117" s="2">
        <v>26.6</v>
      </c>
      <c r="AZ117" s="2"/>
      <c r="BA117" s="2"/>
      <c r="BB117" s="2"/>
      <c r="BC117" s="2">
        <f t="shared" si="12"/>
        <v>26.6</v>
      </c>
      <c r="BD117" s="2"/>
      <c r="BE117" s="5">
        <f t="shared" si="20"/>
        <v>5.0106820054178769E-2</v>
      </c>
      <c r="BF117" s="13">
        <v>45470</v>
      </c>
      <c r="BG117" s="2">
        <v>133.19999999999999</v>
      </c>
      <c r="BH117" s="2"/>
      <c r="BI117" s="2"/>
      <c r="BJ117" s="2"/>
      <c r="BK117" s="2">
        <f t="shared" si="13"/>
        <v>133.19999999999999</v>
      </c>
      <c r="BL117" s="2"/>
      <c r="BM117" s="5">
        <f t="shared" si="22"/>
        <v>3.3590944436035421E-2</v>
      </c>
    </row>
    <row r="118" spans="1:65" ht="15.75" customHeight="1" x14ac:dyDescent="0.35">
      <c r="A118" s="675"/>
      <c r="B118" s="13">
        <v>45473</v>
      </c>
      <c r="C118" s="2">
        <v>8.3000000000000007</v>
      </c>
      <c r="D118" s="2"/>
      <c r="E118" s="2"/>
      <c r="F118" s="2"/>
      <c r="G118" s="11">
        <f t="shared" si="14"/>
        <v>8.3000000000000007</v>
      </c>
      <c r="H118" s="2"/>
      <c r="I118" s="5">
        <f t="shared" si="21"/>
        <v>-2.3810648693718447E-2</v>
      </c>
      <c r="J118" s="13">
        <v>45473</v>
      </c>
      <c r="K118" s="2">
        <v>29.5</v>
      </c>
      <c r="L118" s="2"/>
      <c r="M118" s="2"/>
      <c r="N118" s="2"/>
      <c r="O118" s="11">
        <f t="shared" si="7"/>
        <v>29.5</v>
      </c>
      <c r="P118" s="2"/>
      <c r="Q118" s="5">
        <f t="shared" si="15"/>
        <v>-2.0134908409055925E-2</v>
      </c>
      <c r="R118" s="13">
        <v>45473</v>
      </c>
      <c r="S118" s="2">
        <v>247.7</v>
      </c>
      <c r="T118" s="2"/>
      <c r="U118" s="2"/>
      <c r="V118" s="2"/>
      <c r="W118" s="11">
        <f t="shared" si="8"/>
        <v>247.7</v>
      </c>
      <c r="X118" s="2"/>
      <c r="Y118" s="5">
        <f t="shared" si="16"/>
        <v>2.5763027831882675E-2</v>
      </c>
      <c r="Z118" s="13">
        <v>45473</v>
      </c>
      <c r="AA118" s="2">
        <v>977.2</v>
      </c>
      <c r="AB118" s="2"/>
      <c r="AC118" s="2"/>
      <c r="AD118" s="2"/>
      <c r="AE118" s="2">
        <f t="shared" si="9"/>
        <v>977.2</v>
      </c>
      <c r="AF118" s="2"/>
      <c r="AG118" s="5">
        <f t="shared" si="17"/>
        <v>1.9321776897886306E-2</v>
      </c>
      <c r="AH118" s="13">
        <v>45473</v>
      </c>
      <c r="AI118" s="2">
        <v>770.1</v>
      </c>
      <c r="AJ118" s="2"/>
      <c r="AK118" s="2"/>
      <c r="AL118" s="2"/>
      <c r="AM118" s="2">
        <f t="shared" si="10"/>
        <v>770.1</v>
      </c>
      <c r="AN118" s="2"/>
      <c r="AO118" s="5">
        <f t="shared" si="18"/>
        <v>5.468763629656738E-3</v>
      </c>
      <c r="AP118" s="13">
        <v>45473</v>
      </c>
      <c r="AQ118" s="11">
        <v>649.4</v>
      </c>
      <c r="AR118" s="2"/>
      <c r="AS118" s="2"/>
      <c r="AT118" s="2"/>
      <c r="AU118" s="11">
        <f t="shared" si="11"/>
        <v>649.4</v>
      </c>
      <c r="AV118" s="2"/>
      <c r="AW118" s="5">
        <f t="shared" si="19"/>
        <v>-4.7622795281029237E-3</v>
      </c>
      <c r="AX118" s="13">
        <v>45473</v>
      </c>
      <c r="AY118" s="2">
        <v>26.2</v>
      </c>
      <c r="AZ118" s="2"/>
      <c r="BA118" s="2"/>
      <c r="BB118" s="2"/>
      <c r="BC118" s="2">
        <f t="shared" si="12"/>
        <v>26.2</v>
      </c>
      <c r="BD118" s="2"/>
      <c r="BE118" s="5">
        <f t="shared" si="20"/>
        <v>-1.5151805020602333E-2</v>
      </c>
      <c r="BF118" s="13">
        <v>45473</v>
      </c>
      <c r="BG118" s="2">
        <v>132.4</v>
      </c>
      <c r="BH118" s="2"/>
      <c r="BI118" s="2"/>
      <c r="BJ118" s="2"/>
      <c r="BK118" s="2">
        <f t="shared" si="13"/>
        <v>132.4</v>
      </c>
      <c r="BL118" s="2"/>
      <c r="BM118" s="5">
        <f t="shared" si="22"/>
        <v>-6.0241146033807903E-3</v>
      </c>
    </row>
    <row r="119" spans="1:65" ht="15.75" customHeight="1" x14ac:dyDescent="0.35">
      <c r="A119" s="675" t="s">
        <v>67</v>
      </c>
      <c r="B119" s="13">
        <v>45475</v>
      </c>
      <c r="C119" s="2">
        <v>8.3000000000000007</v>
      </c>
      <c r="D119" s="2"/>
      <c r="E119" s="2"/>
      <c r="F119" s="2"/>
      <c r="G119" s="11">
        <f t="shared" si="14"/>
        <v>8.3000000000000007</v>
      </c>
      <c r="H119" s="2"/>
      <c r="I119" s="5">
        <f t="shared" si="21"/>
        <v>0</v>
      </c>
      <c r="J119" s="13">
        <v>45475</v>
      </c>
      <c r="K119" s="2">
        <v>29.4</v>
      </c>
      <c r="L119" s="2"/>
      <c r="M119" s="2"/>
      <c r="N119" s="2"/>
      <c r="O119" s="11">
        <f t="shared" si="7"/>
        <v>29.4</v>
      </c>
      <c r="P119" s="2"/>
      <c r="Q119" s="5">
        <f t="shared" si="15"/>
        <v>-3.3955890011382718E-3</v>
      </c>
      <c r="R119" s="13">
        <v>45475</v>
      </c>
      <c r="S119" s="2">
        <v>244</v>
      </c>
      <c r="T119" s="2"/>
      <c r="U119" s="2"/>
      <c r="V119" s="2"/>
      <c r="W119" s="11">
        <f t="shared" si="8"/>
        <v>244</v>
      </c>
      <c r="X119" s="2"/>
      <c r="Y119" s="5">
        <f t="shared" si="16"/>
        <v>-1.5050111202111966E-2</v>
      </c>
      <c r="Z119" s="13">
        <v>45475</v>
      </c>
      <c r="AA119" s="2">
        <v>955.2</v>
      </c>
      <c r="AB119" s="2"/>
      <c r="AC119" s="2"/>
      <c r="AD119" s="2"/>
      <c r="AE119" s="2">
        <f t="shared" si="9"/>
        <v>955.2</v>
      </c>
      <c r="AF119" s="2"/>
      <c r="AG119" s="5">
        <f t="shared" si="17"/>
        <v>-2.2770596745247718E-2</v>
      </c>
      <c r="AH119" s="13">
        <v>45475</v>
      </c>
      <c r="AI119" s="2">
        <v>756.6</v>
      </c>
      <c r="AJ119" s="2"/>
      <c r="AK119" s="2"/>
      <c r="AL119" s="2"/>
      <c r="AM119" s="2">
        <f t="shared" si="10"/>
        <v>756.6</v>
      </c>
      <c r="AN119" s="2"/>
      <c r="AO119" s="5">
        <f t="shared" si="18"/>
        <v>-1.7685664346275547E-2</v>
      </c>
      <c r="AP119" s="13">
        <v>45475</v>
      </c>
      <c r="AQ119" s="11">
        <v>648.4</v>
      </c>
      <c r="AR119" s="2"/>
      <c r="AS119" s="2"/>
      <c r="AT119" s="2"/>
      <c r="AU119" s="11">
        <f t="shared" si="11"/>
        <v>648.4</v>
      </c>
      <c r="AV119" s="2"/>
      <c r="AW119" s="5">
        <f t="shared" si="19"/>
        <v>-1.5410698072245788E-3</v>
      </c>
      <c r="AX119" s="13">
        <v>45475</v>
      </c>
      <c r="AY119" s="2">
        <v>25.9</v>
      </c>
      <c r="AZ119" s="2"/>
      <c r="BA119" s="2"/>
      <c r="BB119" s="2"/>
      <c r="BC119" s="2">
        <f t="shared" si="12"/>
        <v>25.9</v>
      </c>
      <c r="BD119" s="2"/>
      <c r="BE119" s="5">
        <f t="shared" si="20"/>
        <v>-1.151644206155918E-2</v>
      </c>
      <c r="BF119" s="13">
        <v>45475</v>
      </c>
      <c r="BG119" s="2">
        <v>129.80000000000001</v>
      </c>
      <c r="BH119" s="2"/>
      <c r="BI119" s="2"/>
      <c r="BJ119" s="2"/>
      <c r="BK119" s="2">
        <f t="shared" si="13"/>
        <v>129.80000000000001</v>
      </c>
      <c r="BL119" s="2"/>
      <c r="BM119" s="5">
        <f t="shared" si="22"/>
        <v>-1.9832839232918217E-2</v>
      </c>
    </row>
    <row r="120" spans="1:65" ht="15.75" customHeight="1" x14ac:dyDescent="0.35">
      <c r="A120" s="675"/>
      <c r="B120" s="13">
        <v>45476</v>
      </c>
      <c r="C120" s="2">
        <v>8.5</v>
      </c>
      <c r="D120" s="2"/>
      <c r="E120" s="2"/>
      <c r="F120" s="2"/>
      <c r="G120" s="11">
        <f t="shared" si="14"/>
        <v>8.5</v>
      </c>
      <c r="H120" s="2"/>
      <c r="I120" s="5">
        <f t="shared" si="21"/>
        <v>2.3810648693718392E-2</v>
      </c>
      <c r="J120" s="13">
        <v>45476</v>
      </c>
      <c r="K120" s="2">
        <v>30.4</v>
      </c>
      <c r="L120" s="2"/>
      <c r="M120" s="2"/>
      <c r="N120" s="2"/>
      <c r="O120" s="11">
        <f t="shared" si="7"/>
        <v>30.4</v>
      </c>
      <c r="P120" s="2"/>
      <c r="Q120" s="5">
        <f t="shared" si="15"/>
        <v>3.3447934067540125E-2</v>
      </c>
      <c r="R120" s="13">
        <v>45476</v>
      </c>
      <c r="S120" s="2">
        <v>240.2</v>
      </c>
      <c r="T120" s="2"/>
      <c r="U120" s="2"/>
      <c r="V120" s="2"/>
      <c r="W120" s="11">
        <f t="shared" si="8"/>
        <v>240.2</v>
      </c>
      <c r="X120" s="2"/>
      <c r="Y120" s="5">
        <f t="shared" si="16"/>
        <v>-1.5696315647318729E-2</v>
      </c>
      <c r="Z120" s="13">
        <v>45476</v>
      </c>
      <c r="AA120" s="2">
        <v>955.6</v>
      </c>
      <c r="AB120" s="2"/>
      <c r="AC120" s="2"/>
      <c r="AD120" s="2"/>
      <c r="AE120" s="2">
        <f t="shared" si="9"/>
        <v>955.6</v>
      </c>
      <c r="AF120" s="2"/>
      <c r="AG120" s="5">
        <f t="shared" si="17"/>
        <v>4.1867281331689455E-4</v>
      </c>
      <c r="AH120" s="13">
        <v>45476</v>
      </c>
      <c r="AI120" s="2">
        <v>743.5</v>
      </c>
      <c r="AJ120" s="2"/>
      <c r="AK120" s="2"/>
      <c r="AL120" s="2"/>
      <c r="AM120" s="2">
        <f t="shared" si="10"/>
        <v>743.5</v>
      </c>
      <c r="AN120" s="2"/>
      <c r="AO120" s="5">
        <f t="shared" si="18"/>
        <v>-1.746594629871916E-2</v>
      </c>
      <c r="AP120" s="13">
        <v>45476</v>
      </c>
      <c r="AQ120" s="11">
        <v>655.5</v>
      </c>
      <c r="AR120" s="2"/>
      <c r="AS120" s="2"/>
      <c r="AT120" s="2"/>
      <c r="AU120" s="11">
        <f t="shared" si="11"/>
        <v>655.5</v>
      </c>
      <c r="AV120" s="2"/>
      <c r="AW120" s="5">
        <f t="shared" si="19"/>
        <v>1.0890513342233517E-2</v>
      </c>
      <c r="AX120" s="13">
        <v>45476</v>
      </c>
      <c r="AY120" s="2">
        <v>26.5</v>
      </c>
      <c r="AZ120" s="2"/>
      <c r="BA120" s="2"/>
      <c r="BB120" s="2"/>
      <c r="BC120" s="2">
        <f t="shared" si="12"/>
        <v>26.5</v>
      </c>
      <c r="BD120" s="2"/>
      <c r="BE120" s="5">
        <f t="shared" si="20"/>
        <v>2.2901764286684414E-2</v>
      </c>
      <c r="BF120" s="13">
        <v>45476</v>
      </c>
      <c r="BG120" s="2">
        <v>129.1</v>
      </c>
      <c r="BH120" s="2"/>
      <c r="BI120" s="2"/>
      <c r="BJ120" s="2"/>
      <c r="BK120" s="2">
        <f t="shared" si="13"/>
        <v>129.1</v>
      </c>
      <c r="BL120" s="2"/>
      <c r="BM120" s="5">
        <f t="shared" si="22"/>
        <v>-5.4075064173929321E-3</v>
      </c>
    </row>
    <row r="121" spans="1:65" ht="15.75" customHeight="1" x14ac:dyDescent="0.35">
      <c r="A121" s="675"/>
      <c r="B121" s="13">
        <v>45477</v>
      </c>
      <c r="C121" s="2">
        <v>8.8000000000000007</v>
      </c>
      <c r="D121" s="2"/>
      <c r="E121" s="2"/>
      <c r="F121" s="2"/>
      <c r="G121" s="11">
        <f t="shared" si="14"/>
        <v>8.8000000000000007</v>
      </c>
      <c r="H121" s="2"/>
      <c r="I121" s="5">
        <f t="shared" si="21"/>
        <v>3.4685557987890109E-2</v>
      </c>
      <c r="J121" s="13">
        <v>45477</v>
      </c>
      <c r="K121" s="2">
        <v>32.5</v>
      </c>
      <c r="L121" s="2"/>
      <c r="M121" s="2"/>
      <c r="N121" s="2"/>
      <c r="O121" s="11">
        <f t="shared" si="7"/>
        <v>32.5</v>
      </c>
      <c r="P121" s="2"/>
      <c r="Q121" s="5">
        <f t="shared" si="15"/>
        <v>6.6797480923515756E-2</v>
      </c>
      <c r="R121" s="13">
        <v>45477</v>
      </c>
      <c r="S121" s="2">
        <v>245.6</v>
      </c>
      <c r="T121" s="2"/>
      <c r="U121" s="2"/>
      <c r="V121" s="2"/>
      <c r="W121" s="11">
        <f t="shared" si="8"/>
        <v>245.6</v>
      </c>
      <c r="X121" s="2"/>
      <c r="Y121" s="5">
        <f t="shared" si="16"/>
        <v>2.2232286627104157E-2</v>
      </c>
      <c r="Z121" s="13">
        <v>45477</v>
      </c>
      <c r="AA121" s="2">
        <v>971.3</v>
      </c>
      <c r="AB121" s="2"/>
      <c r="AC121" s="2"/>
      <c r="AD121" s="2"/>
      <c r="AE121" s="2">
        <f t="shared" si="9"/>
        <v>971.3</v>
      </c>
      <c r="AF121" s="2"/>
      <c r="AG121" s="5">
        <f t="shared" si="17"/>
        <v>1.6295964956630344E-2</v>
      </c>
      <c r="AH121" s="13">
        <v>45477</v>
      </c>
      <c r="AI121" s="2">
        <v>759.6</v>
      </c>
      <c r="AJ121" s="2"/>
      <c r="AK121" s="2"/>
      <c r="AL121" s="2"/>
      <c r="AM121" s="2">
        <f t="shared" si="10"/>
        <v>759.6</v>
      </c>
      <c r="AN121" s="2"/>
      <c r="AO121" s="5">
        <f t="shared" si="18"/>
        <v>2.1423213037921034E-2</v>
      </c>
      <c r="AP121" s="13">
        <v>45477</v>
      </c>
      <c r="AQ121" s="11">
        <v>658.1</v>
      </c>
      <c r="AR121" s="2"/>
      <c r="AS121" s="2"/>
      <c r="AT121" s="2"/>
      <c r="AU121" s="11">
        <f t="shared" si="11"/>
        <v>658.1</v>
      </c>
      <c r="AV121" s="2"/>
      <c r="AW121" s="5">
        <f t="shared" si="19"/>
        <v>3.9585922583189378E-3</v>
      </c>
      <c r="AX121" s="13">
        <v>45477</v>
      </c>
      <c r="AY121" s="2">
        <v>27.5</v>
      </c>
      <c r="AZ121" s="2"/>
      <c r="BA121" s="2"/>
      <c r="BB121" s="2"/>
      <c r="BC121" s="2">
        <f t="shared" si="12"/>
        <v>27.5</v>
      </c>
      <c r="BD121" s="2"/>
      <c r="BE121" s="5">
        <f t="shared" si="20"/>
        <v>3.7041271680349076E-2</v>
      </c>
      <c r="BF121" s="13">
        <v>45477</v>
      </c>
      <c r="BG121" s="2">
        <v>132.9</v>
      </c>
      <c r="BH121" s="2"/>
      <c r="BI121" s="2"/>
      <c r="BJ121" s="2"/>
      <c r="BK121" s="2">
        <f t="shared" si="13"/>
        <v>132.9</v>
      </c>
      <c r="BL121" s="2"/>
      <c r="BM121" s="5">
        <f t="shared" si="22"/>
        <v>2.9009667866602994E-2</v>
      </c>
    </row>
    <row r="122" spans="1:65" ht="15.75" customHeight="1" x14ac:dyDescent="0.35">
      <c r="A122" s="675"/>
      <c r="B122" s="13">
        <v>45480</v>
      </c>
      <c r="C122" s="2">
        <v>9.1999999999999993</v>
      </c>
      <c r="D122" s="2"/>
      <c r="E122" s="2"/>
      <c r="F122" s="2"/>
      <c r="G122" s="11">
        <f t="shared" si="14"/>
        <v>9.1999999999999993</v>
      </c>
      <c r="H122" s="2"/>
      <c r="I122" s="5">
        <f t="shared" si="21"/>
        <v>4.4451762570833588E-2</v>
      </c>
      <c r="J122" s="13">
        <v>45480</v>
      </c>
      <c r="K122" s="2">
        <v>33.799999999999997</v>
      </c>
      <c r="L122" s="2"/>
      <c r="M122" s="2"/>
      <c r="N122" s="2"/>
      <c r="O122" s="11">
        <f t="shared" si="7"/>
        <v>33.799999999999997</v>
      </c>
      <c r="P122" s="2"/>
      <c r="Q122" s="5">
        <f t="shared" si="15"/>
        <v>3.9220713153281114E-2</v>
      </c>
      <c r="R122" s="13">
        <v>45480</v>
      </c>
      <c r="S122" s="2">
        <v>251.2</v>
      </c>
      <c r="T122" s="2"/>
      <c r="U122" s="2"/>
      <c r="V122" s="2"/>
      <c r="W122" s="11">
        <f t="shared" si="8"/>
        <v>251.2</v>
      </c>
      <c r="X122" s="2"/>
      <c r="Y122" s="5">
        <f t="shared" si="16"/>
        <v>2.2545238321056222E-2</v>
      </c>
      <c r="Z122" s="13">
        <v>45480</v>
      </c>
      <c r="AA122" s="2">
        <v>977.7</v>
      </c>
      <c r="AB122" s="2"/>
      <c r="AC122" s="2"/>
      <c r="AD122" s="2"/>
      <c r="AE122" s="2">
        <f t="shared" si="9"/>
        <v>977.7</v>
      </c>
      <c r="AF122" s="2"/>
      <c r="AG122" s="5">
        <f t="shared" si="17"/>
        <v>6.5674941033406729E-3</v>
      </c>
      <c r="AH122" s="13">
        <v>45480</v>
      </c>
      <c r="AI122" s="2">
        <v>754.3</v>
      </c>
      <c r="AJ122" s="2"/>
      <c r="AK122" s="2"/>
      <c r="AL122" s="2"/>
      <c r="AM122" s="2">
        <f t="shared" si="10"/>
        <v>754.3</v>
      </c>
      <c r="AN122" s="2"/>
      <c r="AO122" s="5">
        <f t="shared" si="18"/>
        <v>-7.0018120785456748E-3</v>
      </c>
      <c r="AP122" s="13">
        <v>45480</v>
      </c>
      <c r="AQ122" s="11">
        <v>638.5</v>
      </c>
      <c r="AR122" s="2"/>
      <c r="AS122" s="2"/>
      <c r="AT122" s="2"/>
      <c r="AU122" s="11">
        <f t="shared" si="11"/>
        <v>638.5</v>
      </c>
      <c r="AV122" s="2"/>
      <c r="AW122" s="5">
        <f t="shared" si="19"/>
        <v>-3.0235219989479444E-2</v>
      </c>
      <c r="AX122" s="13">
        <v>45480</v>
      </c>
      <c r="AY122" s="2">
        <v>28.1</v>
      </c>
      <c r="AZ122" s="2"/>
      <c r="BA122" s="2"/>
      <c r="BB122" s="2"/>
      <c r="BC122" s="2">
        <f t="shared" si="12"/>
        <v>28.1</v>
      </c>
      <c r="BD122" s="2"/>
      <c r="BE122" s="5">
        <f t="shared" si="20"/>
        <v>2.158357166717461E-2</v>
      </c>
      <c r="BF122" s="13">
        <v>45480</v>
      </c>
      <c r="BG122" s="2">
        <v>134.1</v>
      </c>
      <c r="BH122" s="2"/>
      <c r="BI122" s="2"/>
      <c r="BJ122" s="2"/>
      <c r="BK122" s="2">
        <f t="shared" si="13"/>
        <v>134.1</v>
      </c>
      <c r="BL122" s="2"/>
      <c r="BM122" s="5">
        <f t="shared" si="22"/>
        <v>8.9888245684330605E-3</v>
      </c>
    </row>
    <row r="123" spans="1:65" ht="15.75" customHeight="1" x14ac:dyDescent="0.35">
      <c r="A123" s="675"/>
      <c r="B123" s="13">
        <v>45481</v>
      </c>
      <c r="C123" s="2">
        <v>9.1999999999999993</v>
      </c>
      <c r="D123" s="2"/>
      <c r="E123" s="2"/>
      <c r="F123" s="2"/>
      <c r="G123" s="11">
        <f t="shared" si="14"/>
        <v>9.1999999999999993</v>
      </c>
      <c r="H123" s="2"/>
      <c r="I123" s="5">
        <f t="shared" si="21"/>
        <v>0</v>
      </c>
      <c r="J123" s="13">
        <v>45481</v>
      </c>
      <c r="K123" s="2">
        <v>33.200000000000003</v>
      </c>
      <c r="L123" s="2"/>
      <c r="M123" s="2"/>
      <c r="N123" s="2"/>
      <c r="O123" s="11">
        <f t="shared" si="7"/>
        <v>33.200000000000003</v>
      </c>
      <c r="P123" s="2"/>
      <c r="Q123" s="5">
        <f t="shared" si="15"/>
        <v>-1.7910926566530105E-2</v>
      </c>
      <c r="R123" s="13">
        <v>45481</v>
      </c>
      <c r="S123" s="2">
        <v>248.8</v>
      </c>
      <c r="T123" s="2"/>
      <c r="U123" s="2"/>
      <c r="V123" s="2"/>
      <c r="W123" s="11">
        <f t="shared" si="8"/>
        <v>248.8</v>
      </c>
      <c r="X123" s="2"/>
      <c r="Y123" s="5">
        <f t="shared" si="16"/>
        <v>-9.6000737290191183E-3</v>
      </c>
      <c r="Z123" s="13">
        <v>45481</v>
      </c>
      <c r="AA123" s="2">
        <v>960.1</v>
      </c>
      <c r="AB123" s="2"/>
      <c r="AC123" s="2"/>
      <c r="AD123" s="2"/>
      <c r="AE123" s="2">
        <f t="shared" si="9"/>
        <v>960.1</v>
      </c>
      <c r="AF123" s="2"/>
      <c r="AG123" s="5">
        <f t="shared" si="17"/>
        <v>-1.8165428808047421E-2</v>
      </c>
      <c r="AH123" s="13">
        <v>45481</v>
      </c>
      <c r="AI123" s="2">
        <v>751.7</v>
      </c>
      <c r="AJ123" s="2"/>
      <c r="AK123" s="2"/>
      <c r="AL123" s="2"/>
      <c r="AM123" s="2">
        <f t="shared" si="10"/>
        <v>751.7</v>
      </c>
      <c r="AN123" s="2"/>
      <c r="AO123" s="5">
        <f t="shared" si="18"/>
        <v>-3.4528586761618518E-3</v>
      </c>
      <c r="AP123" s="13">
        <v>45481</v>
      </c>
      <c r="AQ123" s="11">
        <v>621.6</v>
      </c>
      <c r="AR123" s="2"/>
      <c r="AS123" s="2"/>
      <c r="AT123" s="2"/>
      <c r="AU123" s="11">
        <f t="shared" si="11"/>
        <v>621.6</v>
      </c>
      <c r="AV123" s="2"/>
      <c r="AW123" s="5">
        <f t="shared" si="19"/>
        <v>-2.6824876419156238E-2</v>
      </c>
      <c r="AX123" s="13">
        <v>45481</v>
      </c>
      <c r="AY123" s="2">
        <v>27.7</v>
      </c>
      <c r="AZ123" s="2"/>
      <c r="BA123" s="2"/>
      <c r="BB123" s="2"/>
      <c r="BC123" s="2">
        <f t="shared" si="12"/>
        <v>27.7</v>
      </c>
      <c r="BD123" s="2"/>
      <c r="BE123" s="5">
        <f t="shared" si="20"/>
        <v>-1.4337163146407331E-2</v>
      </c>
      <c r="BF123" s="13">
        <v>45481</v>
      </c>
      <c r="BG123" s="2">
        <v>133.69999999999999</v>
      </c>
      <c r="BH123" s="2"/>
      <c r="BI123" s="2"/>
      <c r="BJ123" s="2"/>
      <c r="BK123" s="2">
        <f t="shared" si="13"/>
        <v>133.69999999999999</v>
      </c>
      <c r="BL123" s="2"/>
      <c r="BM123" s="5">
        <f t="shared" si="22"/>
        <v>-2.9873061797353537E-3</v>
      </c>
    </row>
    <row r="124" spans="1:65" ht="15.75" customHeight="1" x14ac:dyDescent="0.35">
      <c r="A124" s="675"/>
      <c r="B124" s="13">
        <v>45482</v>
      </c>
      <c r="C124" s="2">
        <v>9.1</v>
      </c>
      <c r="D124" s="2"/>
      <c r="E124" s="2"/>
      <c r="F124" s="2"/>
      <c r="G124" s="11">
        <f t="shared" si="14"/>
        <v>9.1</v>
      </c>
      <c r="H124" s="2"/>
      <c r="I124" s="5">
        <f t="shared" si="21"/>
        <v>-1.0929070532190206E-2</v>
      </c>
      <c r="J124" s="13">
        <v>45482</v>
      </c>
      <c r="K124" s="2">
        <v>32.4</v>
      </c>
      <c r="L124" s="2"/>
      <c r="M124" s="2"/>
      <c r="N124" s="2"/>
      <c r="O124" s="11">
        <f t="shared" si="7"/>
        <v>32.4</v>
      </c>
      <c r="P124" s="2"/>
      <c r="Q124" s="5">
        <f t="shared" si="15"/>
        <v>-2.4391453124159239E-2</v>
      </c>
      <c r="R124" s="13">
        <v>45482</v>
      </c>
      <c r="S124" s="2">
        <v>245.1</v>
      </c>
      <c r="T124" s="2"/>
      <c r="U124" s="2"/>
      <c r="V124" s="2"/>
      <c r="W124" s="11">
        <f t="shared" si="8"/>
        <v>245.1</v>
      </c>
      <c r="X124" s="2"/>
      <c r="Y124" s="5">
        <f t="shared" si="16"/>
        <v>-1.4983070330957533E-2</v>
      </c>
      <c r="Z124" s="13">
        <v>45482</v>
      </c>
      <c r="AA124" s="2">
        <v>947.4</v>
      </c>
      <c r="AB124" s="2"/>
      <c r="AC124" s="2"/>
      <c r="AD124" s="2"/>
      <c r="AE124" s="2">
        <f t="shared" si="9"/>
        <v>947.4</v>
      </c>
      <c r="AF124" s="2"/>
      <c r="AG124" s="5">
        <f t="shared" si="17"/>
        <v>-1.3316055213926698E-2</v>
      </c>
      <c r="AH124" s="13">
        <v>45482</v>
      </c>
      <c r="AI124" s="2">
        <v>749.7</v>
      </c>
      <c r="AJ124" s="2"/>
      <c r="AK124" s="2"/>
      <c r="AL124" s="2"/>
      <c r="AM124" s="2">
        <f t="shared" si="10"/>
        <v>749.7</v>
      </c>
      <c r="AN124" s="2"/>
      <c r="AO124" s="5">
        <f t="shared" si="18"/>
        <v>-2.6641816744068076E-3</v>
      </c>
      <c r="AP124" s="13">
        <v>45482</v>
      </c>
      <c r="AQ124" s="11">
        <v>620.29999999999995</v>
      </c>
      <c r="AR124" s="2"/>
      <c r="AS124" s="2"/>
      <c r="AT124" s="2"/>
      <c r="AU124" s="11">
        <f t="shared" si="11"/>
        <v>620.29999999999995</v>
      </c>
      <c r="AV124" s="2"/>
      <c r="AW124" s="5">
        <f t="shared" si="19"/>
        <v>-2.0935670743659359E-3</v>
      </c>
      <c r="AX124" s="13">
        <v>45482</v>
      </c>
      <c r="AY124" s="2">
        <v>28.6</v>
      </c>
      <c r="AZ124" s="2"/>
      <c r="BA124" s="2"/>
      <c r="BB124" s="2"/>
      <c r="BC124" s="2">
        <f t="shared" si="12"/>
        <v>28.6</v>
      </c>
      <c r="BD124" s="2"/>
      <c r="BE124" s="5">
        <f t="shared" si="20"/>
        <v>3.1974304632514106E-2</v>
      </c>
      <c r="BF124" s="13">
        <v>45482</v>
      </c>
      <c r="BG124" s="2">
        <v>133.30000000000001</v>
      </c>
      <c r="BH124" s="2"/>
      <c r="BI124" s="2"/>
      <c r="BJ124" s="2"/>
      <c r="BK124" s="2">
        <f t="shared" si="13"/>
        <v>133.30000000000001</v>
      </c>
      <c r="BL124" s="2"/>
      <c r="BM124" s="5">
        <f t="shared" si="22"/>
        <v>-2.9962569232343051E-3</v>
      </c>
    </row>
    <row r="125" spans="1:65" ht="15.75" customHeight="1" x14ac:dyDescent="0.35">
      <c r="A125" s="675"/>
      <c r="B125" s="13">
        <v>45483</v>
      </c>
      <c r="C125" s="2">
        <v>9.3000000000000007</v>
      </c>
      <c r="D125" s="2"/>
      <c r="E125" s="2"/>
      <c r="F125" s="2"/>
      <c r="G125" s="11">
        <f t="shared" si="14"/>
        <v>9.3000000000000007</v>
      </c>
      <c r="H125" s="2"/>
      <c r="I125" s="5">
        <f t="shared" si="21"/>
        <v>2.1739986636406038E-2</v>
      </c>
      <c r="J125" s="13">
        <v>45483</v>
      </c>
      <c r="K125" s="2">
        <v>33.200000000000003</v>
      </c>
      <c r="L125" s="2"/>
      <c r="M125" s="2"/>
      <c r="N125" s="2"/>
      <c r="O125" s="11">
        <f t="shared" si="7"/>
        <v>33.200000000000003</v>
      </c>
      <c r="P125" s="2"/>
      <c r="Q125" s="5">
        <f t="shared" si="15"/>
        <v>2.4391453124159263E-2</v>
      </c>
      <c r="R125" s="13">
        <v>45483</v>
      </c>
      <c r="S125" s="2">
        <v>244.7</v>
      </c>
      <c r="T125" s="2"/>
      <c r="U125" s="2"/>
      <c r="V125" s="2"/>
      <c r="W125" s="11">
        <f t="shared" si="8"/>
        <v>244.7</v>
      </c>
      <c r="X125" s="2"/>
      <c r="Y125" s="5">
        <f t="shared" si="16"/>
        <v>-1.6333200854409561E-3</v>
      </c>
      <c r="Z125" s="13">
        <v>45483</v>
      </c>
      <c r="AA125" s="2">
        <v>952.3</v>
      </c>
      <c r="AB125" s="2"/>
      <c r="AC125" s="2"/>
      <c r="AD125" s="2"/>
      <c r="AE125" s="2">
        <f t="shared" si="9"/>
        <v>952.3</v>
      </c>
      <c r="AF125" s="2"/>
      <c r="AG125" s="5">
        <f t="shared" si="17"/>
        <v>5.1587207103487923E-3</v>
      </c>
      <c r="AH125" s="13">
        <v>45483</v>
      </c>
      <c r="AI125" s="2">
        <v>742.8</v>
      </c>
      <c r="AJ125" s="2"/>
      <c r="AK125" s="2"/>
      <c r="AL125" s="2"/>
      <c r="AM125" s="2">
        <f t="shared" si="10"/>
        <v>742.8</v>
      </c>
      <c r="AN125" s="2"/>
      <c r="AO125" s="5">
        <f t="shared" si="18"/>
        <v>-9.2462970304658353E-3</v>
      </c>
      <c r="AP125" s="13">
        <v>45483</v>
      </c>
      <c r="AQ125" s="11">
        <v>611.29999999999995</v>
      </c>
      <c r="AR125" s="2"/>
      <c r="AS125" s="2"/>
      <c r="AT125" s="2"/>
      <c r="AU125" s="11">
        <f t="shared" si="11"/>
        <v>611.29999999999995</v>
      </c>
      <c r="AV125" s="2"/>
      <c r="AW125" s="5">
        <f t="shared" si="19"/>
        <v>-1.4615394944392089E-2</v>
      </c>
      <c r="AX125" s="13">
        <v>45483</v>
      </c>
      <c r="AY125" s="2">
        <v>28.5</v>
      </c>
      <c r="AZ125" s="2"/>
      <c r="BA125" s="2"/>
      <c r="BB125" s="2"/>
      <c r="BC125" s="2">
        <f t="shared" si="12"/>
        <v>28.5</v>
      </c>
      <c r="BD125" s="2"/>
      <c r="BE125" s="5">
        <f t="shared" si="20"/>
        <v>-3.5026305512021118E-3</v>
      </c>
      <c r="BF125" s="13">
        <v>45483</v>
      </c>
      <c r="BG125" s="2">
        <v>136.4</v>
      </c>
      <c r="BH125" s="2"/>
      <c r="BI125" s="2"/>
      <c r="BJ125" s="2"/>
      <c r="BK125" s="2">
        <f t="shared" si="13"/>
        <v>136.4</v>
      </c>
      <c r="BL125" s="2"/>
      <c r="BM125" s="5">
        <f t="shared" si="22"/>
        <v>2.2989518224698781E-2</v>
      </c>
    </row>
    <row r="126" spans="1:65" ht="15.75" customHeight="1" x14ac:dyDescent="0.35">
      <c r="A126" s="675"/>
      <c r="B126" s="13">
        <v>45484</v>
      </c>
      <c r="C126" s="2">
        <v>9.1</v>
      </c>
      <c r="D126" s="2"/>
      <c r="E126" s="2"/>
      <c r="F126" s="2"/>
      <c r="G126" s="11">
        <f t="shared" si="14"/>
        <v>9.1</v>
      </c>
      <c r="H126" s="2"/>
      <c r="I126" s="5">
        <f t="shared" si="21"/>
        <v>-2.173998663640599E-2</v>
      </c>
      <c r="J126" s="13">
        <v>45484</v>
      </c>
      <c r="K126" s="2">
        <v>32.5</v>
      </c>
      <c r="L126" s="2"/>
      <c r="M126" s="2"/>
      <c r="N126" s="2"/>
      <c r="O126" s="11">
        <f t="shared" si="7"/>
        <v>32.5</v>
      </c>
      <c r="P126" s="2"/>
      <c r="Q126" s="5">
        <f t="shared" si="15"/>
        <v>-2.1309786586751096E-2</v>
      </c>
      <c r="R126" s="13">
        <v>45484</v>
      </c>
      <c r="S126" s="2">
        <v>243.5</v>
      </c>
      <c r="T126" s="2"/>
      <c r="U126" s="2"/>
      <c r="V126" s="2"/>
      <c r="W126" s="11">
        <f t="shared" si="8"/>
        <v>243.5</v>
      </c>
      <c r="X126" s="2"/>
      <c r="Y126" s="5">
        <f t="shared" si="16"/>
        <v>-4.9160279259814034E-3</v>
      </c>
      <c r="Z126" s="13">
        <v>45484</v>
      </c>
      <c r="AA126" s="2">
        <v>942.9</v>
      </c>
      <c r="AB126" s="2"/>
      <c r="AC126" s="2"/>
      <c r="AD126" s="2"/>
      <c r="AE126" s="2">
        <f t="shared" si="9"/>
        <v>942.9</v>
      </c>
      <c r="AF126" s="2"/>
      <c r="AG126" s="5">
        <f t="shared" si="17"/>
        <v>-9.9198787283687109E-3</v>
      </c>
      <c r="AH126" s="13">
        <v>45484</v>
      </c>
      <c r="AI126" s="2">
        <v>738.2</v>
      </c>
      <c r="AJ126" s="2"/>
      <c r="AK126" s="2"/>
      <c r="AL126" s="2"/>
      <c r="AM126" s="2">
        <f t="shared" si="10"/>
        <v>738.2</v>
      </c>
      <c r="AN126" s="2"/>
      <c r="AO126" s="5">
        <f t="shared" si="18"/>
        <v>-6.2120388826524056E-3</v>
      </c>
      <c r="AP126" s="13">
        <v>45484</v>
      </c>
      <c r="AQ126" s="11">
        <v>597.4</v>
      </c>
      <c r="AR126" s="2"/>
      <c r="AS126" s="2"/>
      <c r="AT126" s="2"/>
      <c r="AU126" s="11">
        <f t="shared" si="11"/>
        <v>597.4</v>
      </c>
      <c r="AV126" s="2"/>
      <c r="AW126" s="5">
        <f t="shared" si="19"/>
        <v>-2.3000931252670304E-2</v>
      </c>
      <c r="AX126" s="13">
        <v>45484</v>
      </c>
      <c r="AY126" s="2">
        <v>27.7</v>
      </c>
      <c r="AZ126" s="2"/>
      <c r="BA126" s="2"/>
      <c r="BB126" s="2"/>
      <c r="BC126" s="2">
        <f t="shared" si="12"/>
        <v>27.7</v>
      </c>
      <c r="BD126" s="2"/>
      <c r="BE126" s="5">
        <f t="shared" si="20"/>
        <v>-2.8471674081312001E-2</v>
      </c>
      <c r="BF126" s="13">
        <v>45484</v>
      </c>
      <c r="BG126" s="2">
        <v>132.6</v>
      </c>
      <c r="BH126" s="2"/>
      <c r="BI126" s="2"/>
      <c r="BJ126" s="2"/>
      <c r="BK126" s="2">
        <f t="shared" si="13"/>
        <v>132.6</v>
      </c>
      <c r="BL126" s="2"/>
      <c r="BM126" s="5">
        <f t="shared" si="22"/>
        <v>-2.825466765759968E-2</v>
      </c>
    </row>
    <row r="127" spans="1:65" ht="15.75" customHeight="1" x14ac:dyDescent="0.35">
      <c r="A127" s="675"/>
      <c r="B127" s="13">
        <v>45487</v>
      </c>
      <c r="C127" s="2">
        <v>9</v>
      </c>
      <c r="D127" s="2"/>
      <c r="E127" s="2"/>
      <c r="F127" s="2"/>
      <c r="G127" s="11">
        <f t="shared" si="14"/>
        <v>9</v>
      </c>
      <c r="H127" s="2"/>
      <c r="I127" s="5">
        <f t="shared" si="21"/>
        <v>-1.1049836186584935E-2</v>
      </c>
      <c r="J127" s="13">
        <v>45487</v>
      </c>
      <c r="K127" s="2">
        <v>32.200000000000003</v>
      </c>
      <c r="L127" s="2"/>
      <c r="M127" s="2"/>
      <c r="N127" s="2"/>
      <c r="O127" s="11">
        <f t="shared" si="7"/>
        <v>32.200000000000003</v>
      </c>
      <c r="P127" s="2"/>
      <c r="Q127" s="5">
        <f t="shared" si="15"/>
        <v>-9.2736367853291021E-3</v>
      </c>
      <c r="R127" s="13">
        <v>45487</v>
      </c>
      <c r="S127" s="2">
        <v>244.5</v>
      </c>
      <c r="T127" s="2"/>
      <c r="U127" s="2"/>
      <c r="V127" s="2"/>
      <c r="W127" s="11">
        <f t="shared" si="8"/>
        <v>244.5</v>
      </c>
      <c r="X127" s="2"/>
      <c r="Y127" s="5">
        <f t="shared" si="16"/>
        <v>4.098366392282185E-3</v>
      </c>
      <c r="Z127" s="13">
        <v>45487</v>
      </c>
      <c r="AA127" s="2">
        <v>960.6</v>
      </c>
      <c r="AB127" s="2"/>
      <c r="AC127" s="2"/>
      <c r="AD127" s="2"/>
      <c r="AE127" s="2">
        <f t="shared" si="9"/>
        <v>960.6</v>
      </c>
      <c r="AF127" s="2"/>
      <c r="AG127" s="5">
        <f t="shared" si="17"/>
        <v>1.8597856759092382E-2</v>
      </c>
      <c r="AH127" s="13">
        <v>45487</v>
      </c>
      <c r="AI127" s="2">
        <v>734.5</v>
      </c>
      <c r="AJ127" s="2"/>
      <c r="AK127" s="2"/>
      <c r="AL127" s="2"/>
      <c r="AM127" s="2">
        <f t="shared" si="10"/>
        <v>734.5</v>
      </c>
      <c r="AN127" s="2"/>
      <c r="AO127" s="5">
        <f t="shared" si="18"/>
        <v>-5.0247949819662348E-3</v>
      </c>
      <c r="AP127" s="13">
        <v>45487</v>
      </c>
      <c r="AQ127" s="11">
        <v>589.79999999999995</v>
      </c>
      <c r="AR127" s="2"/>
      <c r="AS127" s="2"/>
      <c r="AT127" s="2"/>
      <c r="AU127" s="11">
        <f t="shared" si="11"/>
        <v>589.79999999999995</v>
      </c>
      <c r="AV127" s="2"/>
      <c r="AW127" s="5">
        <f t="shared" si="19"/>
        <v>-1.2803409400833611E-2</v>
      </c>
      <c r="AX127" s="13">
        <v>45487</v>
      </c>
      <c r="AY127" s="2">
        <v>27.1</v>
      </c>
      <c r="AZ127" s="2"/>
      <c r="BA127" s="2"/>
      <c r="BB127" s="2"/>
      <c r="BC127" s="2">
        <f t="shared" si="12"/>
        <v>27.1</v>
      </c>
      <c r="BD127" s="2"/>
      <c r="BE127" s="5">
        <f t="shared" si="20"/>
        <v>-2.1898685307637573E-2</v>
      </c>
      <c r="BF127" s="13">
        <v>45487</v>
      </c>
      <c r="BG127" s="2">
        <v>130.19999999999999</v>
      </c>
      <c r="BH127" s="2"/>
      <c r="BI127" s="2"/>
      <c r="BJ127" s="2"/>
      <c r="BK127" s="2">
        <f t="shared" si="13"/>
        <v>130.19999999999999</v>
      </c>
      <c r="BL127" s="2"/>
      <c r="BM127" s="5">
        <f t="shared" si="22"/>
        <v>-1.8265347977293313E-2</v>
      </c>
    </row>
    <row r="128" spans="1:65" ht="15.75" customHeight="1" x14ac:dyDescent="0.35">
      <c r="A128" s="675"/>
      <c r="B128" s="13">
        <v>45488</v>
      </c>
      <c r="C128" s="2">
        <v>9</v>
      </c>
      <c r="D128" s="2"/>
      <c r="E128" s="2"/>
      <c r="F128" s="2"/>
      <c r="G128" s="11">
        <f t="shared" si="14"/>
        <v>9</v>
      </c>
      <c r="H128" s="2"/>
      <c r="I128" s="5">
        <f t="shared" si="21"/>
        <v>0</v>
      </c>
      <c r="J128" s="13">
        <v>45488</v>
      </c>
      <c r="K128" s="2">
        <v>32.299999999999997</v>
      </c>
      <c r="L128" s="2"/>
      <c r="M128" s="2"/>
      <c r="N128" s="2"/>
      <c r="O128" s="11">
        <f t="shared" si="7"/>
        <v>32.299999999999997</v>
      </c>
      <c r="P128" s="2"/>
      <c r="Q128" s="5">
        <f t="shared" si="15"/>
        <v>3.1007776782479642E-3</v>
      </c>
      <c r="R128" s="13">
        <v>45488</v>
      </c>
      <c r="S128" s="2">
        <v>244.6</v>
      </c>
      <c r="T128" s="2"/>
      <c r="U128" s="2"/>
      <c r="V128" s="2"/>
      <c r="W128" s="11">
        <f t="shared" si="8"/>
        <v>244.6</v>
      </c>
      <c r="X128" s="2"/>
      <c r="Y128" s="5">
        <f t="shared" si="16"/>
        <v>4.0891433814518825E-4</v>
      </c>
      <c r="Z128" s="13">
        <v>45488</v>
      </c>
      <c r="AA128" s="2">
        <v>945.2</v>
      </c>
      <c r="AB128" s="2"/>
      <c r="AC128" s="2"/>
      <c r="AD128" s="2"/>
      <c r="AE128" s="2">
        <f t="shared" si="9"/>
        <v>945.2</v>
      </c>
      <c r="AF128" s="2"/>
      <c r="AG128" s="5">
        <f t="shared" si="17"/>
        <v>-1.6161543917971193E-2</v>
      </c>
      <c r="AH128" s="13">
        <v>45488</v>
      </c>
      <c r="AI128" s="2">
        <v>735.8</v>
      </c>
      <c r="AJ128" s="2"/>
      <c r="AK128" s="2"/>
      <c r="AL128" s="2"/>
      <c r="AM128" s="2">
        <f t="shared" si="10"/>
        <v>735.8</v>
      </c>
      <c r="AN128" s="2"/>
      <c r="AO128" s="5">
        <f t="shared" si="18"/>
        <v>1.7683470567419492E-3</v>
      </c>
      <c r="AP128" s="13">
        <v>45488</v>
      </c>
      <c r="AQ128" s="11">
        <v>634</v>
      </c>
      <c r="AR128" s="2"/>
      <c r="AS128" s="2"/>
      <c r="AT128" s="2"/>
      <c r="AU128" s="11">
        <f t="shared" si="11"/>
        <v>634</v>
      </c>
      <c r="AV128" s="2"/>
      <c r="AW128" s="5">
        <f t="shared" si="19"/>
        <v>7.2265458056050197E-2</v>
      </c>
      <c r="AX128" s="13">
        <v>45488</v>
      </c>
      <c r="AY128" s="2">
        <v>26.9</v>
      </c>
      <c r="AZ128" s="2"/>
      <c r="BA128" s="2"/>
      <c r="BB128" s="2"/>
      <c r="BC128" s="2">
        <f t="shared" si="12"/>
        <v>26.9</v>
      </c>
      <c r="BD128" s="2"/>
      <c r="BE128" s="5">
        <f t="shared" si="20"/>
        <v>-7.4074412778619165E-3</v>
      </c>
      <c r="BF128" s="13">
        <v>45488</v>
      </c>
      <c r="BG128" s="2">
        <v>129.6</v>
      </c>
      <c r="BH128" s="2"/>
      <c r="BI128" s="2"/>
      <c r="BJ128" s="2"/>
      <c r="BK128" s="2">
        <f t="shared" si="13"/>
        <v>129.6</v>
      </c>
      <c r="BL128" s="2"/>
      <c r="BM128" s="5">
        <f t="shared" si="22"/>
        <v>-4.6189458562945285E-3</v>
      </c>
    </row>
    <row r="129" spans="1:65" ht="15.75" customHeight="1" x14ac:dyDescent="0.35">
      <c r="A129" s="675"/>
      <c r="B129" s="13">
        <v>45489</v>
      </c>
      <c r="C129" s="2">
        <v>9.1</v>
      </c>
      <c r="D129" s="2"/>
      <c r="E129" s="2"/>
      <c r="F129" s="2"/>
      <c r="G129" s="11">
        <f t="shared" si="14"/>
        <v>9.1</v>
      </c>
      <c r="H129" s="2"/>
      <c r="I129" s="5">
        <f t="shared" si="21"/>
        <v>1.1049836186584935E-2</v>
      </c>
      <c r="J129" s="13">
        <v>45489</v>
      </c>
      <c r="K129" s="2">
        <v>33.200000000000003</v>
      </c>
      <c r="L129" s="2"/>
      <c r="M129" s="2"/>
      <c r="N129" s="2"/>
      <c r="O129" s="11">
        <f t="shared" si="7"/>
        <v>33.200000000000003</v>
      </c>
      <c r="P129" s="2"/>
      <c r="Q129" s="5">
        <f t="shared" si="15"/>
        <v>2.7482645693832099E-2</v>
      </c>
      <c r="R129" s="13">
        <v>45489</v>
      </c>
      <c r="S129" s="2">
        <v>249.3</v>
      </c>
      <c r="T129" s="2"/>
      <c r="U129" s="2"/>
      <c r="V129" s="2"/>
      <c r="W129" s="11">
        <f t="shared" si="8"/>
        <v>249.3</v>
      </c>
      <c r="X129" s="2"/>
      <c r="Y129" s="5">
        <f t="shared" si="16"/>
        <v>1.9032767276440304E-2</v>
      </c>
      <c r="Z129" s="13">
        <v>45489</v>
      </c>
      <c r="AA129" s="2">
        <v>958.9</v>
      </c>
      <c r="AB129" s="2"/>
      <c r="AC129" s="2"/>
      <c r="AD129" s="2"/>
      <c r="AE129" s="2">
        <f t="shared" si="9"/>
        <v>958.9</v>
      </c>
      <c r="AF129" s="2"/>
      <c r="AG129" s="5">
        <f t="shared" si="17"/>
        <v>1.439024884688265E-2</v>
      </c>
      <c r="AH129" s="13">
        <v>45489</v>
      </c>
      <c r="AI129" s="2">
        <v>742.6</v>
      </c>
      <c r="AJ129" s="2"/>
      <c r="AK129" s="2"/>
      <c r="AL129" s="2"/>
      <c r="AM129" s="2">
        <f t="shared" si="10"/>
        <v>742.6</v>
      </c>
      <c r="AN129" s="2"/>
      <c r="AO129" s="5">
        <f t="shared" si="18"/>
        <v>9.1991990723057516E-3</v>
      </c>
      <c r="AP129" s="13">
        <v>45489</v>
      </c>
      <c r="AQ129" s="11">
        <v>660.5</v>
      </c>
      <c r="AR129" s="2"/>
      <c r="AS129" s="2"/>
      <c r="AT129" s="2"/>
      <c r="AU129" s="11">
        <f t="shared" si="11"/>
        <v>660.5</v>
      </c>
      <c r="AV129" s="2"/>
      <c r="AW129" s="5">
        <f t="shared" si="19"/>
        <v>4.0948169525154052E-2</v>
      </c>
      <c r="AX129" s="13">
        <v>45489</v>
      </c>
      <c r="AY129" s="2">
        <v>26.5</v>
      </c>
      <c r="AZ129" s="2"/>
      <c r="BA129" s="2"/>
      <c r="BB129" s="2"/>
      <c r="BC129" s="2">
        <f t="shared" si="12"/>
        <v>26.5</v>
      </c>
      <c r="BD129" s="2"/>
      <c r="BE129" s="5">
        <f t="shared" si="20"/>
        <v>-1.4981553615616833E-2</v>
      </c>
      <c r="BF129" s="13">
        <v>45489</v>
      </c>
      <c r="BG129" s="2">
        <v>128.9</v>
      </c>
      <c r="BH129" s="2"/>
      <c r="BI129" s="2"/>
      <c r="BJ129" s="2"/>
      <c r="BK129" s="2">
        <f t="shared" si="13"/>
        <v>128.9</v>
      </c>
      <c r="BL129" s="2"/>
      <c r="BM129" s="5">
        <f t="shared" si="22"/>
        <v>-5.4158739730324722E-3</v>
      </c>
    </row>
    <row r="130" spans="1:65" ht="15.75" customHeight="1" x14ac:dyDescent="0.35">
      <c r="A130" s="675"/>
      <c r="B130" s="13">
        <v>45491</v>
      </c>
      <c r="C130" s="2">
        <v>9.1</v>
      </c>
      <c r="D130" s="2"/>
      <c r="E130" s="2"/>
      <c r="F130" s="2"/>
      <c r="G130" s="11">
        <f t="shared" si="14"/>
        <v>9.1</v>
      </c>
      <c r="H130" s="2"/>
      <c r="I130" s="5">
        <f t="shared" si="21"/>
        <v>0</v>
      </c>
      <c r="J130" s="13">
        <v>45491</v>
      </c>
      <c r="K130" s="2">
        <v>33</v>
      </c>
      <c r="L130" s="2"/>
      <c r="M130" s="2"/>
      <c r="N130" s="2"/>
      <c r="O130" s="11">
        <f t="shared" si="7"/>
        <v>33</v>
      </c>
      <c r="P130" s="2"/>
      <c r="Q130" s="5">
        <f t="shared" si="15"/>
        <v>-6.0423144559626982E-3</v>
      </c>
      <c r="R130" s="13">
        <v>45491</v>
      </c>
      <c r="S130" s="2">
        <v>251.6</v>
      </c>
      <c r="T130" s="2"/>
      <c r="U130" s="2"/>
      <c r="V130" s="2"/>
      <c r="W130" s="11">
        <f t="shared" si="8"/>
        <v>251.6</v>
      </c>
      <c r="X130" s="2"/>
      <c r="Y130" s="5">
        <f t="shared" si="16"/>
        <v>9.183534296773219E-3</v>
      </c>
      <c r="Z130" s="13">
        <v>45491</v>
      </c>
      <c r="AA130" s="2">
        <v>933.9</v>
      </c>
      <c r="AB130" s="2"/>
      <c r="AC130" s="2"/>
      <c r="AD130" s="2"/>
      <c r="AE130" s="2">
        <f t="shared" si="9"/>
        <v>933.9</v>
      </c>
      <c r="AF130" s="2"/>
      <c r="AG130" s="5">
        <f t="shared" si="17"/>
        <v>-2.6417428043963312E-2</v>
      </c>
      <c r="AH130" s="13">
        <v>45491</v>
      </c>
      <c r="AI130" s="2">
        <v>740</v>
      </c>
      <c r="AJ130" s="2"/>
      <c r="AK130" s="2"/>
      <c r="AL130" s="2"/>
      <c r="AM130" s="2">
        <f t="shared" si="10"/>
        <v>740</v>
      </c>
      <c r="AN130" s="2"/>
      <c r="AO130" s="5">
        <f t="shared" si="18"/>
        <v>-3.5073555447642851E-3</v>
      </c>
      <c r="AP130" s="13">
        <v>45491</v>
      </c>
      <c r="AQ130" s="11">
        <v>640.70000000000005</v>
      </c>
      <c r="AR130" s="2"/>
      <c r="AS130" s="2"/>
      <c r="AT130" s="2"/>
      <c r="AU130" s="11">
        <f t="shared" si="11"/>
        <v>640.70000000000005</v>
      </c>
      <c r="AV130" s="2"/>
      <c r="AW130" s="5">
        <f t="shared" si="19"/>
        <v>-3.0435795317404098E-2</v>
      </c>
      <c r="AX130" s="13">
        <v>45491</v>
      </c>
      <c r="AY130" s="2">
        <v>26.1</v>
      </c>
      <c r="AZ130" s="2"/>
      <c r="BA130" s="2"/>
      <c r="BB130" s="2"/>
      <c r="BC130" s="2">
        <f t="shared" si="12"/>
        <v>26.1</v>
      </c>
      <c r="BD130" s="2"/>
      <c r="BE130" s="5">
        <f t="shared" si="20"/>
        <v>-1.5209418663528795E-2</v>
      </c>
      <c r="BF130" s="13">
        <v>45491</v>
      </c>
      <c r="BG130" s="2">
        <v>127</v>
      </c>
      <c r="BH130" s="2"/>
      <c r="BI130" s="2"/>
      <c r="BJ130" s="2"/>
      <c r="BK130" s="2">
        <f t="shared" si="13"/>
        <v>127</v>
      </c>
      <c r="BL130" s="2"/>
      <c r="BM130" s="5">
        <f t="shared" si="22"/>
        <v>-1.4849823486550508E-2</v>
      </c>
    </row>
    <row r="131" spans="1:65" ht="15.75" customHeight="1" x14ac:dyDescent="0.35">
      <c r="A131" s="675"/>
      <c r="B131" s="13">
        <v>45497</v>
      </c>
      <c r="C131" s="2">
        <v>8.9</v>
      </c>
      <c r="D131" s="2"/>
      <c r="E131" s="2"/>
      <c r="F131" s="2"/>
      <c r="G131" s="11">
        <f t="shared" si="14"/>
        <v>8.9</v>
      </c>
      <c r="H131" s="2"/>
      <c r="I131" s="5">
        <f t="shared" si="21"/>
        <v>-2.2223136784710124E-2</v>
      </c>
      <c r="J131" s="13">
        <v>45497</v>
      </c>
      <c r="K131" s="2">
        <v>32.1</v>
      </c>
      <c r="L131" s="2"/>
      <c r="M131" s="2"/>
      <c r="N131" s="2"/>
      <c r="O131" s="11">
        <f t="shared" si="7"/>
        <v>32.1</v>
      </c>
      <c r="P131" s="2"/>
      <c r="Q131" s="5">
        <f t="shared" si="15"/>
        <v>-2.7651531330510008E-2</v>
      </c>
      <c r="R131" s="13">
        <v>45497</v>
      </c>
      <c r="S131" s="2">
        <v>249.1</v>
      </c>
      <c r="T131" s="2"/>
      <c r="U131" s="2"/>
      <c r="V131" s="2"/>
      <c r="W131" s="11">
        <f t="shared" si="8"/>
        <v>249.1</v>
      </c>
      <c r="X131" s="2"/>
      <c r="Y131" s="5">
        <f t="shared" si="16"/>
        <v>-9.9861025581507723E-3</v>
      </c>
      <c r="Z131" s="13">
        <v>45497</v>
      </c>
      <c r="AA131" s="2">
        <v>921.9</v>
      </c>
      <c r="AB131" s="2"/>
      <c r="AC131" s="2"/>
      <c r="AD131" s="2"/>
      <c r="AE131" s="2">
        <f t="shared" si="9"/>
        <v>921.9</v>
      </c>
      <c r="AF131" s="2"/>
      <c r="AG131" s="5">
        <f t="shared" si="17"/>
        <v>-1.2932608311123524E-2</v>
      </c>
      <c r="AH131" s="13">
        <v>45497</v>
      </c>
      <c r="AI131" s="2">
        <v>720.8</v>
      </c>
      <c r="AJ131" s="2"/>
      <c r="AK131" s="2"/>
      <c r="AL131" s="2"/>
      <c r="AM131" s="2">
        <f t="shared" si="10"/>
        <v>720.8</v>
      </c>
      <c r="AN131" s="2"/>
      <c r="AO131" s="5">
        <f t="shared" si="18"/>
        <v>-2.628847990408735E-2</v>
      </c>
      <c r="AP131" s="13">
        <v>45497</v>
      </c>
      <c r="AQ131" s="11">
        <v>621.5</v>
      </c>
      <c r="AR131" s="2"/>
      <c r="AS131" s="2"/>
      <c r="AT131" s="2"/>
      <c r="AU131" s="11">
        <f t="shared" si="11"/>
        <v>621.5</v>
      </c>
      <c r="AV131" s="2"/>
      <c r="AW131" s="5">
        <f t="shared" si="19"/>
        <v>-3.0425417694210109E-2</v>
      </c>
      <c r="AX131" s="13">
        <v>45497</v>
      </c>
      <c r="AY131" s="2">
        <v>25.5</v>
      </c>
      <c r="AZ131" s="2"/>
      <c r="BA131" s="2"/>
      <c r="BB131" s="2"/>
      <c r="BC131" s="2">
        <f t="shared" si="12"/>
        <v>25.5</v>
      </c>
      <c r="BD131" s="2"/>
      <c r="BE131" s="5">
        <f t="shared" si="20"/>
        <v>-2.3256862164267349E-2</v>
      </c>
      <c r="BF131" s="13">
        <v>45497</v>
      </c>
      <c r="BG131" s="2">
        <v>125.1</v>
      </c>
      <c r="BH131" s="2"/>
      <c r="BI131" s="2"/>
      <c r="BJ131" s="2"/>
      <c r="BK131" s="2">
        <f t="shared" si="13"/>
        <v>125.1</v>
      </c>
      <c r="BL131" s="2"/>
      <c r="BM131" s="5">
        <f t="shared" si="22"/>
        <v>-1.507366898572588E-2</v>
      </c>
    </row>
    <row r="132" spans="1:65" ht="15.75" customHeight="1" x14ac:dyDescent="0.35">
      <c r="A132" s="675"/>
      <c r="B132" s="13">
        <v>45498</v>
      </c>
      <c r="C132" s="2">
        <v>9.1</v>
      </c>
      <c r="D132" s="2"/>
      <c r="E132" s="2"/>
      <c r="F132" s="2"/>
      <c r="G132" s="11">
        <f t="shared" si="14"/>
        <v>9.1</v>
      </c>
      <c r="H132" s="2"/>
      <c r="I132" s="5">
        <f t="shared" si="21"/>
        <v>2.2223136784710041E-2</v>
      </c>
      <c r="J132" s="13">
        <v>45498</v>
      </c>
      <c r="K132" s="2">
        <v>32.799999999999997</v>
      </c>
      <c r="L132" s="2"/>
      <c r="M132" s="2"/>
      <c r="N132" s="2"/>
      <c r="O132" s="11">
        <f t="shared" si="7"/>
        <v>32.799999999999997</v>
      </c>
      <c r="P132" s="2"/>
      <c r="Q132" s="5">
        <f t="shared" si="15"/>
        <v>2.1572485254127763E-2</v>
      </c>
      <c r="R132" s="13">
        <v>45498</v>
      </c>
      <c r="S132" s="2">
        <v>254.1</v>
      </c>
      <c r="T132" s="2"/>
      <c r="U132" s="2"/>
      <c r="V132" s="2"/>
      <c r="W132" s="11">
        <f t="shared" si="8"/>
        <v>254.1</v>
      </c>
      <c r="X132" s="2"/>
      <c r="Y132" s="5">
        <f t="shared" si="16"/>
        <v>1.9873468057983623E-2</v>
      </c>
      <c r="Z132" s="13">
        <v>45498</v>
      </c>
      <c r="AA132" s="2">
        <v>948.2</v>
      </c>
      <c r="AB132" s="2"/>
      <c r="AC132" s="2"/>
      <c r="AD132" s="2"/>
      <c r="AE132" s="2">
        <f t="shared" si="9"/>
        <v>948.2</v>
      </c>
      <c r="AF132" s="2"/>
      <c r="AG132" s="5">
        <f t="shared" si="17"/>
        <v>2.8128692663469325E-2</v>
      </c>
      <c r="AH132" s="13">
        <v>45498</v>
      </c>
      <c r="AI132" s="2">
        <v>734.9</v>
      </c>
      <c r="AJ132" s="2"/>
      <c r="AK132" s="2"/>
      <c r="AL132" s="2"/>
      <c r="AM132" s="2">
        <f t="shared" si="10"/>
        <v>734.9</v>
      </c>
      <c r="AN132" s="2"/>
      <c r="AO132" s="5">
        <f t="shared" si="18"/>
        <v>1.9372729240697502E-2</v>
      </c>
      <c r="AP132" s="13">
        <v>45498</v>
      </c>
      <c r="AQ132" s="11">
        <v>623.4</v>
      </c>
      <c r="AR132" s="2"/>
      <c r="AS132" s="2"/>
      <c r="AT132" s="2"/>
      <c r="AU132" s="11">
        <f t="shared" si="11"/>
        <v>623.4</v>
      </c>
      <c r="AV132" s="2"/>
      <c r="AW132" s="5">
        <f t="shared" si="19"/>
        <v>3.0524563824709553E-3</v>
      </c>
      <c r="AX132" s="13">
        <v>45498</v>
      </c>
      <c r="AY132" s="2">
        <v>26.5</v>
      </c>
      <c r="AZ132" s="2"/>
      <c r="BA132" s="2"/>
      <c r="BB132" s="2"/>
      <c r="BC132" s="2">
        <f t="shared" si="12"/>
        <v>26.5</v>
      </c>
      <c r="BD132" s="2"/>
      <c r="BE132" s="5">
        <f t="shared" si="20"/>
        <v>3.8466280827796143E-2</v>
      </c>
      <c r="BF132" s="13">
        <v>45498</v>
      </c>
      <c r="BG132" s="2">
        <v>125</v>
      </c>
      <c r="BH132" s="2"/>
      <c r="BI132" s="2"/>
      <c r="BJ132" s="2"/>
      <c r="BK132" s="2">
        <f t="shared" si="13"/>
        <v>125</v>
      </c>
      <c r="BL132" s="2"/>
      <c r="BM132" s="5">
        <f t="shared" si="22"/>
        <v>-7.9968017056429011E-4</v>
      </c>
    </row>
    <row r="133" spans="1:65" ht="15.75" customHeight="1" x14ac:dyDescent="0.35">
      <c r="A133" s="675"/>
      <c r="B133" s="13">
        <v>45501</v>
      </c>
      <c r="C133" s="2">
        <v>9.3000000000000007</v>
      </c>
      <c r="D133" s="2"/>
      <c r="E133" s="2"/>
      <c r="F133" s="2"/>
      <c r="G133" s="11">
        <f t="shared" si="14"/>
        <v>9.3000000000000007</v>
      </c>
      <c r="H133" s="2"/>
      <c r="I133" s="5">
        <f t="shared" si="21"/>
        <v>2.1739986636406038E-2</v>
      </c>
      <c r="J133" s="13">
        <v>45501</v>
      </c>
      <c r="K133" s="2">
        <v>31.9</v>
      </c>
      <c r="L133" s="2"/>
      <c r="M133" s="2"/>
      <c r="N133" s="2"/>
      <c r="O133" s="11">
        <f t="shared" si="7"/>
        <v>31.9</v>
      </c>
      <c r="P133" s="2"/>
      <c r="Q133" s="5">
        <f t="shared" si="15"/>
        <v>-2.7822505599299073E-2</v>
      </c>
      <c r="R133" s="13">
        <v>45501</v>
      </c>
      <c r="S133" s="2">
        <v>257</v>
      </c>
      <c r="T133" s="2"/>
      <c r="U133" s="2"/>
      <c r="V133" s="2"/>
      <c r="W133" s="11">
        <f t="shared" si="8"/>
        <v>257</v>
      </c>
      <c r="X133" s="2"/>
      <c r="Y133" s="5">
        <f t="shared" si="16"/>
        <v>1.1348194569101465E-2</v>
      </c>
      <c r="Z133" s="13">
        <v>45501</v>
      </c>
      <c r="AA133" s="2">
        <v>945.8</v>
      </c>
      <c r="AB133" s="2"/>
      <c r="AC133" s="2"/>
      <c r="AD133" s="2"/>
      <c r="AE133" s="2">
        <f t="shared" si="9"/>
        <v>945.8</v>
      </c>
      <c r="AF133" s="2"/>
      <c r="AG133" s="5">
        <f t="shared" si="17"/>
        <v>-2.5343202582426179E-3</v>
      </c>
      <c r="AH133" s="13">
        <v>45501</v>
      </c>
      <c r="AI133" s="2">
        <v>732.5</v>
      </c>
      <c r="AJ133" s="2"/>
      <c r="AK133" s="2"/>
      <c r="AL133" s="2"/>
      <c r="AM133" s="2">
        <f t="shared" si="10"/>
        <v>732.5</v>
      </c>
      <c r="AN133" s="2"/>
      <c r="AO133" s="5">
        <f t="shared" si="18"/>
        <v>-3.27109464360312E-3</v>
      </c>
      <c r="AP133" s="13">
        <v>45501</v>
      </c>
      <c r="AQ133" s="11">
        <v>617</v>
      </c>
      <c r="AR133" s="2"/>
      <c r="AS133" s="2"/>
      <c r="AT133" s="2"/>
      <c r="AU133" s="11">
        <f t="shared" si="11"/>
        <v>617</v>
      </c>
      <c r="AV133" s="2"/>
      <c r="AW133" s="5">
        <f t="shared" si="19"/>
        <v>-1.0319343427848821E-2</v>
      </c>
      <c r="AX133" s="13">
        <v>45501</v>
      </c>
      <c r="AY133" s="2">
        <v>26.1</v>
      </c>
      <c r="AZ133" s="2"/>
      <c r="BA133" s="2"/>
      <c r="BB133" s="2"/>
      <c r="BC133" s="2">
        <f t="shared" si="12"/>
        <v>26.1</v>
      </c>
      <c r="BD133" s="2"/>
      <c r="BE133" s="5">
        <f t="shared" si="20"/>
        <v>-1.5209418663528795E-2</v>
      </c>
      <c r="BF133" s="13">
        <v>45501</v>
      </c>
      <c r="BG133" s="2">
        <v>124.5</v>
      </c>
      <c r="BH133" s="2"/>
      <c r="BI133" s="2"/>
      <c r="BJ133" s="2"/>
      <c r="BK133" s="2">
        <f t="shared" si="13"/>
        <v>124.5</v>
      </c>
      <c r="BL133" s="2"/>
      <c r="BM133" s="5">
        <f t="shared" si="22"/>
        <v>-4.0080213975388218E-3</v>
      </c>
    </row>
    <row r="134" spans="1:65" ht="15.75" customHeight="1" x14ac:dyDescent="0.35">
      <c r="A134" s="675"/>
      <c r="B134" s="13">
        <v>45502</v>
      </c>
      <c r="C134" s="2">
        <v>9.1999999999999993</v>
      </c>
      <c r="D134" s="2"/>
      <c r="E134" s="2"/>
      <c r="F134" s="2"/>
      <c r="G134" s="11">
        <f t="shared" si="14"/>
        <v>9.1999999999999993</v>
      </c>
      <c r="H134" s="2"/>
      <c r="I134" s="5">
        <f t="shared" si="21"/>
        <v>-1.081091610421573E-2</v>
      </c>
      <c r="J134" s="13">
        <v>45502</v>
      </c>
      <c r="K134" s="2">
        <v>31.4</v>
      </c>
      <c r="L134" s="2"/>
      <c r="M134" s="2"/>
      <c r="N134" s="2"/>
      <c r="O134" s="11">
        <f t="shared" si="7"/>
        <v>31.4</v>
      </c>
      <c r="P134" s="2"/>
      <c r="Q134" s="5">
        <f t="shared" si="15"/>
        <v>-1.5798116876591176E-2</v>
      </c>
      <c r="R134" s="13">
        <v>45502</v>
      </c>
      <c r="S134" s="2">
        <v>254.2</v>
      </c>
      <c r="T134" s="2"/>
      <c r="U134" s="2"/>
      <c r="V134" s="2"/>
      <c r="W134" s="11">
        <f t="shared" si="8"/>
        <v>254.2</v>
      </c>
      <c r="X134" s="2"/>
      <c r="Y134" s="5">
        <f t="shared" si="16"/>
        <v>-1.0954726139866196E-2</v>
      </c>
      <c r="Z134" s="13">
        <v>45502</v>
      </c>
      <c r="AA134" s="2">
        <v>944.9</v>
      </c>
      <c r="AB134" s="2"/>
      <c r="AC134" s="2"/>
      <c r="AD134" s="2"/>
      <c r="AE134" s="2">
        <f t="shared" si="9"/>
        <v>944.9</v>
      </c>
      <c r="AF134" s="2"/>
      <c r="AG134" s="5">
        <f t="shared" si="17"/>
        <v>-9.5202842119510381E-4</v>
      </c>
      <c r="AH134" s="13">
        <v>45502</v>
      </c>
      <c r="AI134" s="2">
        <v>723.2</v>
      </c>
      <c r="AJ134" s="2"/>
      <c r="AK134" s="2"/>
      <c r="AL134" s="2"/>
      <c r="AM134" s="2">
        <f t="shared" si="10"/>
        <v>723.2</v>
      </c>
      <c r="AN134" s="2"/>
      <c r="AO134" s="5">
        <f t="shared" si="18"/>
        <v>-1.2777531813255591E-2</v>
      </c>
      <c r="AP134" s="13">
        <v>45502</v>
      </c>
      <c r="AQ134" s="11">
        <v>605.9</v>
      </c>
      <c r="AR134" s="2"/>
      <c r="AS134" s="2"/>
      <c r="AT134" s="2"/>
      <c r="AU134" s="11">
        <f t="shared" si="11"/>
        <v>605.9</v>
      </c>
      <c r="AV134" s="2"/>
      <c r="AW134" s="5">
        <f t="shared" si="19"/>
        <v>-1.8154067954444516E-2</v>
      </c>
      <c r="AX134" s="13">
        <v>45502</v>
      </c>
      <c r="AY134" s="2">
        <v>26</v>
      </c>
      <c r="AZ134" s="2"/>
      <c r="BA134" s="2"/>
      <c r="BB134" s="2"/>
      <c r="BC134" s="2">
        <f t="shared" si="12"/>
        <v>26</v>
      </c>
      <c r="BD134" s="2"/>
      <c r="BE134" s="5">
        <f t="shared" si="20"/>
        <v>-3.8387763071657129E-3</v>
      </c>
      <c r="BF134" s="13">
        <v>45502</v>
      </c>
      <c r="BG134" s="2">
        <v>122.9</v>
      </c>
      <c r="BH134" s="2"/>
      <c r="BI134" s="2"/>
      <c r="BJ134" s="2"/>
      <c r="BK134" s="2">
        <f t="shared" si="13"/>
        <v>122.9</v>
      </c>
      <c r="BL134" s="2"/>
      <c r="BM134" s="5">
        <f t="shared" si="22"/>
        <v>-1.2934699332773083E-2</v>
      </c>
    </row>
    <row r="135" spans="1:65" ht="15.75" customHeight="1" x14ac:dyDescent="0.35">
      <c r="A135" s="675"/>
      <c r="B135" s="13">
        <v>45503</v>
      </c>
      <c r="C135" s="2">
        <v>9.1</v>
      </c>
      <c r="D135" s="2"/>
      <c r="E135" s="2"/>
      <c r="F135" s="2"/>
      <c r="G135" s="11">
        <f t="shared" si="14"/>
        <v>9.1</v>
      </c>
      <c r="H135" s="2"/>
      <c r="I135" s="5">
        <f t="shared" si="21"/>
        <v>-1.0929070532190206E-2</v>
      </c>
      <c r="J135" s="13">
        <v>45503</v>
      </c>
      <c r="K135" s="2">
        <v>30.5</v>
      </c>
      <c r="L135" s="2"/>
      <c r="M135" s="2"/>
      <c r="N135" s="2"/>
      <c r="O135" s="11">
        <f t="shared" si="7"/>
        <v>30.5</v>
      </c>
      <c r="P135" s="2"/>
      <c r="Q135" s="5">
        <f t="shared" si="15"/>
        <v>-2.9081209300841737E-2</v>
      </c>
      <c r="R135" s="13">
        <v>45503</v>
      </c>
      <c r="S135" s="2">
        <v>250.8</v>
      </c>
      <c r="T135" s="2"/>
      <c r="U135" s="2"/>
      <c r="V135" s="2"/>
      <c r="W135" s="11">
        <f t="shared" si="8"/>
        <v>250.8</v>
      </c>
      <c r="X135" s="2"/>
      <c r="Y135" s="5">
        <f t="shared" si="16"/>
        <v>-1.3465549996587981E-2</v>
      </c>
      <c r="Z135" s="13">
        <v>45503</v>
      </c>
      <c r="AA135" s="2">
        <v>943.3</v>
      </c>
      <c r="AB135" s="2"/>
      <c r="AC135" s="2"/>
      <c r="AD135" s="2"/>
      <c r="AE135" s="2">
        <f t="shared" si="9"/>
        <v>943.3</v>
      </c>
      <c r="AF135" s="2"/>
      <c r="AG135" s="5">
        <f t="shared" si="17"/>
        <v>-1.6947361327726933E-3</v>
      </c>
      <c r="AH135" s="13">
        <v>45503</v>
      </c>
      <c r="AI135" s="2">
        <v>708.7</v>
      </c>
      <c r="AJ135" s="2"/>
      <c r="AK135" s="2"/>
      <c r="AL135" s="2"/>
      <c r="AM135" s="2">
        <f t="shared" si="10"/>
        <v>708.7</v>
      </c>
      <c r="AN135" s="2"/>
      <c r="AO135" s="5">
        <f t="shared" si="18"/>
        <v>-2.0253503261756432E-2</v>
      </c>
      <c r="AP135" s="13">
        <v>45503</v>
      </c>
      <c r="AQ135" s="11">
        <v>588.6</v>
      </c>
      <c r="AR135" s="2"/>
      <c r="AS135" s="2"/>
      <c r="AT135" s="2"/>
      <c r="AU135" s="11">
        <f t="shared" si="11"/>
        <v>588.6</v>
      </c>
      <c r="AV135" s="2"/>
      <c r="AW135" s="5">
        <f t="shared" si="19"/>
        <v>-2.8968120151570943E-2</v>
      </c>
      <c r="AX135" s="13">
        <v>45503</v>
      </c>
      <c r="AY135" s="2">
        <v>25.6</v>
      </c>
      <c r="AZ135" s="2"/>
      <c r="BA135" s="2"/>
      <c r="BB135" s="2"/>
      <c r="BC135" s="2">
        <f t="shared" si="12"/>
        <v>25.6</v>
      </c>
      <c r="BD135" s="2"/>
      <c r="BE135" s="5">
        <f t="shared" si="20"/>
        <v>-1.5504186535965199E-2</v>
      </c>
      <c r="BF135" s="13">
        <v>45503</v>
      </c>
      <c r="BG135" s="2">
        <v>119.3</v>
      </c>
      <c r="BH135" s="2"/>
      <c r="BI135" s="2"/>
      <c r="BJ135" s="2"/>
      <c r="BK135" s="2">
        <f t="shared" si="13"/>
        <v>119.3</v>
      </c>
      <c r="BL135" s="2"/>
      <c r="BM135" s="5">
        <f t="shared" si="22"/>
        <v>-2.9729687468118812E-2</v>
      </c>
    </row>
    <row r="136" spans="1:65" ht="15.75" customHeight="1" x14ac:dyDescent="0.35">
      <c r="A136" s="675"/>
      <c r="B136" s="13">
        <v>45504</v>
      </c>
      <c r="C136" s="2">
        <v>9.1</v>
      </c>
      <c r="D136" s="2"/>
      <c r="E136" s="2"/>
      <c r="F136" s="2"/>
      <c r="G136" s="11">
        <f t="shared" si="14"/>
        <v>9.1</v>
      </c>
      <c r="H136" s="2"/>
      <c r="I136" s="5">
        <f t="shared" si="21"/>
        <v>0</v>
      </c>
      <c r="J136" s="13">
        <v>45504</v>
      </c>
      <c r="K136" s="2">
        <v>30.2</v>
      </c>
      <c r="L136" s="2"/>
      <c r="M136" s="2"/>
      <c r="N136" s="2"/>
      <c r="O136" s="11">
        <f t="shared" si="7"/>
        <v>30.2</v>
      </c>
      <c r="P136" s="2"/>
      <c r="Q136" s="5">
        <f t="shared" si="15"/>
        <v>-9.8847592325419734E-3</v>
      </c>
      <c r="R136" s="13">
        <v>45504</v>
      </c>
      <c r="S136" s="2">
        <v>252.5</v>
      </c>
      <c r="T136" s="2"/>
      <c r="U136" s="2"/>
      <c r="V136" s="2"/>
      <c r="W136" s="11">
        <f t="shared" si="8"/>
        <v>252.5</v>
      </c>
      <c r="X136" s="2"/>
      <c r="Y136" s="5">
        <f t="shared" si="16"/>
        <v>6.7554399566488567E-3</v>
      </c>
      <c r="Z136" s="13">
        <v>45504</v>
      </c>
      <c r="AA136" s="2">
        <v>948.1</v>
      </c>
      <c r="AB136" s="2"/>
      <c r="AC136" s="2"/>
      <c r="AD136" s="2"/>
      <c r="AE136" s="2">
        <f t="shared" si="9"/>
        <v>948.1</v>
      </c>
      <c r="AF136" s="2"/>
      <c r="AG136" s="5">
        <f t="shared" si="17"/>
        <v>5.0756162681058949E-3</v>
      </c>
      <c r="AH136" s="13">
        <v>45504</v>
      </c>
      <c r="AI136" s="2">
        <v>710.1</v>
      </c>
      <c r="AJ136" s="2"/>
      <c r="AK136" s="2"/>
      <c r="AL136" s="2"/>
      <c r="AM136" s="2">
        <f t="shared" si="10"/>
        <v>710.1</v>
      </c>
      <c r="AN136" s="2"/>
      <c r="AO136" s="5">
        <f t="shared" si="18"/>
        <v>1.9734993718375903E-3</v>
      </c>
      <c r="AP136" s="13">
        <v>45504</v>
      </c>
      <c r="AQ136" s="11">
        <v>599.1</v>
      </c>
      <c r="AR136" s="2"/>
      <c r="AS136" s="2"/>
      <c r="AT136" s="2"/>
      <c r="AU136" s="11">
        <f t="shared" si="11"/>
        <v>599.1</v>
      </c>
      <c r="AV136" s="2"/>
      <c r="AW136" s="5">
        <f t="shared" si="19"/>
        <v>1.7681693290506804E-2</v>
      </c>
      <c r="AX136" s="13">
        <v>45504</v>
      </c>
      <c r="AY136" s="2">
        <v>24.9</v>
      </c>
      <c r="AZ136" s="2"/>
      <c r="BA136" s="2"/>
      <c r="BB136" s="2"/>
      <c r="BC136" s="2">
        <f t="shared" si="12"/>
        <v>24.9</v>
      </c>
      <c r="BD136" s="2"/>
      <c r="BE136" s="5">
        <f t="shared" si="20"/>
        <v>-2.7724548014854973E-2</v>
      </c>
      <c r="BF136" s="13">
        <v>45504</v>
      </c>
      <c r="BG136" s="2">
        <v>119.5</v>
      </c>
      <c r="BH136" s="2"/>
      <c r="BI136" s="2"/>
      <c r="BJ136" s="2"/>
      <c r="BK136" s="2">
        <f t="shared" si="13"/>
        <v>119.5</v>
      </c>
      <c r="BL136" s="2"/>
      <c r="BM136" s="5">
        <f t="shared" si="22"/>
        <v>1.6750422676948956E-3</v>
      </c>
    </row>
    <row r="137" spans="1:65" ht="15.75" customHeight="1" x14ac:dyDescent="0.35">
      <c r="A137" s="675"/>
      <c r="B137" s="13">
        <v>45505</v>
      </c>
      <c r="C137" s="2">
        <v>9</v>
      </c>
      <c r="D137" s="2"/>
      <c r="E137" s="2"/>
      <c r="F137" s="2"/>
      <c r="G137" s="11">
        <f t="shared" si="14"/>
        <v>9</v>
      </c>
      <c r="H137" s="2"/>
      <c r="I137" s="5">
        <f t="shared" si="21"/>
        <v>-1.1049836186584935E-2</v>
      </c>
      <c r="J137" s="13">
        <v>45505</v>
      </c>
      <c r="K137" s="2">
        <v>30.1</v>
      </c>
      <c r="L137" s="2"/>
      <c r="M137" s="2"/>
      <c r="N137" s="2"/>
      <c r="O137" s="11">
        <f t="shared" si="7"/>
        <v>30.1</v>
      </c>
      <c r="P137" s="2"/>
      <c r="Q137" s="5">
        <f t="shared" si="15"/>
        <v>-3.316752625993815E-3</v>
      </c>
      <c r="R137" s="13">
        <v>45505</v>
      </c>
      <c r="S137" s="2">
        <v>254.8</v>
      </c>
      <c r="T137" s="2"/>
      <c r="U137" s="2"/>
      <c r="V137" s="2"/>
      <c r="W137" s="11">
        <f t="shared" si="8"/>
        <v>254.8</v>
      </c>
      <c r="X137" s="2"/>
      <c r="Y137" s="5">
        <f t="shared" si="16"/>
        <v>9.0676749825937732E-3</v>
      </c>
      <c r="Z137" s="13">
        <v>45505</v>
      </c>
      <c r="AA137" s="2">
        <v>940.9</v>
      </c>
      <c r="AB137" s="2"/>
      <c r="AC137" s="2"/>
      <c r="AD137" s="2"/>
      <c r="AE137" s="2">
        <f t="shared" si="9"/>
        <v>940.9</v>
      </c>
      <c r="AF137" s="2"/>
      <c r="AG137" s="5">
        <f t="shared" si="17"/>
        <v>-7.6231179111934883E-3</v>
      </c>
      <c r="AH137" s="13">
        <v>45505</v>
      </c>
      <c r="AI137" s="2">
        <v>709.9</v>
      </c>
      <c r="AJ137" s="2"/>
      <c r="AK137" s="2"/>
      <c r="AL137" s="2"/>
      <c r="AM137" s="2">
        <f t="shared" si="10"/>
        <v>709.9</v>
      </c>
      <c r="AN137" s="2"/>
      <c r="AO137" s="5">
        <f t="shared" si="18"/>
        <v>-2.8169014270784025E-4</v>
      </c>
      <c r="AP137" s="13">
        <v>45505</v>
      </c>
      <c r="AQ137" s="11">
        <v>605.29999999999995</v>
      </c>
      <c r="AR137" s="2"/>
      <c r="AS137" s="2"/>
      <c r="AT137" s="2"/>
      <c r="AU137" s="11">
        <f t="shared" si="11"/>
        <v>605.29999999999995</v>
      </c>
      <c r="AV137" s="2"/>
      <c r="AW137" s="5">
        <f t="shared" si="19"/>
        <v>1.0295673807762178E-2</v>
      </c>
      <c r="AX137" s="13">
        <v>45505</v>
      </c>
      <c r="AY137" s="2">
        <v>24.9</v>
      </c>
      <c r="AZ137" s="2"/>
      <c r="BA137" s="2"/>
      <c r="BB137" s="2"/>
      <c r="BC137" s="2">
        <f t="shared" si="12"/>
        <v>24.9</v>
      </c>
      <c r="BD137" s="2"/>
      <c r="BE137" s="5">
        <f t="shared" si="20"/>
        <v>0</v>
      </c>
      <c r="BF137" s="13">
        <v>45505</v>
      </c>
      <c r="BG137" s="2">
        <v>119.8</v>
      </c>
      <c r="BH137" s="2"/>
      <c r="BI137" s="2"/>
      <c r="BJ137" s="2"/>
      <c r="BK137" s="2">
        <f t="shared" si="13"/>
        <v>119.8</v>
      </c>
      <c r="BL137" s="2"/>
      <c r="BM137" s="5">
        <f t="shared" si="22"/>
        <v>2.5073143097835457E-3</v>
      </c>
    </row>
    <row r="138" spans="1:65" ht="15.75" customHeight="1" x14ac:dyDescent="0.35">
      <c r="A138" s="675"/>
      <c r="B138" s="13">
        <v>45508</v>
      </c>
      <c r="C138" s="2">
        <v>8.8000000000000007</v>
      </c>
      <c r="D138" s="2"/>
      <c r="E138" s="2"/>
      <c r="F138" s="2"/>
      <c r="G138" s="11">
        <f t="shared" si="14"/>
        <v>8.8000000000000007</v>
      </c>
      <c r="H138" s="2"/>
      <c r="I138" s="5">
        <f t="shared" si="21"/>
        <v>-2.2472855852058514E-2</v>
      </c>
      <c r="J138" s="13">
        <v>45508</v>
      </c>
      <c r="K138" s="2">
        <v>29.2</v>
      </c>
      <c r="L138" s="2"/>
      <c r="M138" s="2"/>
      <c r="N138" s="2"/>
      <c r="O138" s="11">
        <f t="shared" si="7"/>
        <v>29.2</v>
      </c>
      <c r="P138" s="2"/>
      <c r="Q138" s="5">
        <f t="shared" si="15"/>
        <v>-3.0356462480594069E-2</v>
      </c>
      <c r="R138" s="13">
        <v>45508</v>
      </c>
      <c r="S138" s="2">
        <v>247.2</v>
      </c>
      <c r="T138" s="2"/>
      <c r="U138" s="2"/>
      <c r="V138" s="2"/>
      <c r="W138" s="11">
        <f t="shared" si="8"/>
        <v>247.2</v>
      </c>
      <c r="X138" s="2"/>
      <c r="Y138" s="5">
        <f t="shared" si="16"/>
        <v>-3.0281198114472663E-2</v>
      </c>
      <c r="Z138" s="13">
        <v>45508</v>
      </c>
      <c r="AA138" s="2">
        <v>915.4</v>
      </c>
      <c r="AB138" s="2"/>
      <c r="AC138" s="2"/>
      <c r="AD138" s="2"/>
      <c r="AE138" s="2">
        <f t="shared" si="9"/>
        <v>915.4</v>
      </c>
      <c r="AF138" s="2"/>
      <c r="AG138" s="5">
        <f t="shared" si="17"/>
        <v>-2.7475735793178205E-2</v>
      </c>
      <c r="AH138" s="13">
        <v>45508</v>
      </c>
      <c r="AI138" s="2">
        <v>688.7</v>
      </c>
      <c r="AJ138" s="2"/>
      <c r="AK138" s="2"/>
      <c r="AL138" s="2"/>
      <c r="AM138" s="2">
        <f t="shared" si="10"/>
        <v>688.7</v>
      </c>
      <c r="AN138" s="2"/>
      <c r="AO138" s="5">
        <f t="shared" si="18"/>
        <v>-3.0318352494687586E-2</v>
      </c>
      <c r="AP138" s="13">
        <v>45508</v>
      </c>
      <c r="AQ138" s="11">
        <v>587.20000000000005</v>
      </c>
      <c r="AR138" s="2"/>
      <c r="AS138" s="2"/>
      <c r="AT138" s="2"/>
      <c r="AU138" s="11">
        <f t="shared" si="11"/>
        <v>587.20000000000005</v>
      </c>
      <c r="AV138" s="2"/>
      <c r="AW138" s="5">
        <f t="shared" si="19"/>
        <v>-3.0358725597335524E-2</v>
      </c>
      <c r="AX138" s="13">
        <v>45508</v>
      </c>
      <c r="AY138" s="2">
        <v>24.2</v>
      </c>
      <c r="AZ138" s="2"/>
      <c r="BA138" s="2"/>
      <c r="BB138" s="2"/>
      <c r="BC138" s="2">
        <f t="shared" si="12"/>
        <v>24.2</v>
      </c>
      <c r="BD138" s="2"/>
      <c r="BE138" s="5">
        <f t="shared" si="20"/>
        <v>-2.8515170308021233E-2</v>
      </c>
      <c r="BF138" s="13">
        <v>45508</v>
      </c>
      <c r="BG138" s="2">
        <v>116.3</v>
      </c>
      <c r="BH138" s="2"/>
      <c r="BI138" s="2"/>
      <c r="BJ138" s="2"/>
      <c r="BK138" s="2">
        <f t="shared" si="13"/>
        <v>116.3</v>
      </c>
      <c r="BL138" s="2"/>
      <c r="BM138" s="5">
        <f t="shared" si="22"/>
        <v>-2.9650626156730229E-2</v>
      </c>
    </row>
    <row r="139" spans="1:65" ht="15.75" customHeight="1" x14ac:dyDescent="0.35">
      <c r="A139" s="675"/>
      <c r="B139" s="13">
        <v>45510</v>
      </c>
      <c r="C139" s="2">
        <v>9.4</v>
      </c>
      <c r="D139" s="2"/>
      <c r="E139" s="2"/>
      <c r="F139" s="2"/>
      <c r="G139" s="11">
        <f t="shared" si="14"/>
        <v>9.4</v>
      </c>
      <c r="H139" s="2"/>
      <c r="I139" s="5">
        <f t="shared" si="21"/>
        <v>6.595796779179737E-2</v>
      </c>
      <c r="J139" s="13">
        <v>45510</v>
      </c>
      <c r="K139" s="2">
        <v>32.1</v>
      </c>
      <c r="L139" s="2"/>
      <c r="M139" s="2"/>
      <c r="N139" s="2"/>
      <c r="O139" s="11">
        <f t="shared" si="7"/>
        <v>32.1</v>
      </c>
      <c r="P139" s="2"/>
      <c r="Q139" s="5">
        <f t="shared" si="15"/>
        <v>9.4687320861734176E-2</v>
      </c>
      <c r="R139" s="13">
        <v>45510</v>
      </c>
      <c r="S139" s="2">
        <v>268.8</v>
      </c>
      <c r="T139" s="2"/>
      <c r="U139" s="2"/>
      <c r="V139" s="2"/>
      <c r="W139" s="11">
        <f t="shared" si="8"/>
        <v>268.8</v>
      </c>
      <c r="X139" s="2"/>
      <c r="Y139" s="5">
        <f t="shared" si="16"/>
        <v>8.3769883065458947E-2</v>
      </c>
      <c r="Z139" s="13">
        <v>45510</v>
      </c>
      <c r="AA139" s="2">
        <v>966.3</v>
      </c>
      <c r="AB139" s="2"/>
      <c r="AC139" s="2"/>
      <c r="AD139" s="2"/>
      <c r="AE139" s="2">
        <f t="shared" si="9"/>
        <v>966.3</v>
      </c>
      <c r="AF139" s="2"/>
      <c r="AG139" s="5">
        <f t="shared" si="17"/>
        <v>5.4113216785721119E-2</v>
      </c>
      <c r="AH139" s="13">
        <v>45510</v>
      </c>
      <c r="AI139" s="2">
        <v>727.1</v>
      </c>
      <c r="AJ139" s="2"/>
      <c r="AK139" s="2"/>
      <c r="AL139" s="2"/>
      <c r="AM139" s="2">
        <f t="shared" si="10"/>
        <v>727.1</v>
      </c>
      <c r="AN139" s="2"/>
      <c r="AO139" s="5">
        <f t="shared" si="18"/>
        <v>5.4258257105358497E-2</v>
      </c>
      <c r="AP139" s="13">
        <v>45510</v>
      </c>
      <c r="AQ139" s="11">
        <v>623.1</v>
      </c>
      <c r="AR139" s="2"/>
      <c r="AS139" s="2"/>
      <c r="AT139" s="2"/>
      <c r="AU139" s="11">
        <f t="shared" si="11"/>
        <v>623.1</v>
      </c>
      <c r="AV139" s="2"/>
      <c r="AW139" s="5">
        <f t="shared" si="19"/>
        <v>5.9341542249870413E-2</v>
      </c>
      <c r="AX139" s="13">
        <v>45510</v>
      </c>
      <c r="AY139" s="2">
        <v>26.6</v>
      </c>
      <c r="AZ139" s="2"/>
      <c r="BA139" s="2"/>
      <c r="BB139" s="2"/>
      <c r="BC139" s="2">
        <f t="shared" si="12"/>
        <v>26.6</v>
      </c>
      <c r="BD139" s="2"/>
      <c r="BE139" s="5">
        <f t="shared" si="20"/>
        <v>9.455858262501278E-2</v>
      </c>
      <c r="BF139" s="13">
        <v>45510</v>
      </c>
      <c r="BG139" s="2">
        <v>127.9</v>
      </c>
      <c r="BH139" s="2"/>
      <c r="BI139" s="2"/>
      <c r="BJ139" s="2"/>
      <c r="BK139" s="2">
        <f t="shared" si="13"/>
        <v>127.9</v>
      </c>
      <c r="BL139" s="2"/>
      <c r="BM139" s="5">
        <f t="shared" si="22"/>
        <v>9.5075649060178263E-2</v>
      </c>
    </row>
    <row r="140" spans="1:65" ht="15.75" customHeight="1" x14ac:dyDescent="0.35">
      <c r="A140" s="675"/>
      <c r="B140" s="13">
        <v>45511</v>
      </c>
      <c r="C140" s="2">
        <v>10.3</v>
      </c>
      <c r="D140" s="2"/>
      <c r="E140" s="2"/>
      <c r="F140" s="2"/>
      <c r="G140" s="11">
        <f t="shared" si="14"/>
        <v>10.3</v>
      </c>
      <c r="H140" s="2"/>
      <c r="I140" s="5">
        <f t="shared" si="21"/>
        <v>9.1434205959631851E-2</v>
      </c>
      <c r="J140" s="13">
        <v>45511</v>
      </c>
      <c r="K140" s="2">
        <v>35.299999999999997</v>
      </c>
      <c r="L140" s="2"/>
      <c r="M140" s="2"/>
      <c r="N140" s="2"/>
      <c r="O140" s="11">
        <f t="shared" si="7"/>
        <v>35.299999999999997</v>
      </c>
      <c r="P140" s="2"/>
      <c r="Q140" s="5">
        <f t="shared" si="15"/>
        <v>9.5026933803280714E-2</v>
      </c>
      <c r="R140" s="13">
        <v>45511</v>
      </c>
      <c r="S140" s="2">
        <v>292.3</v>
      </c>
      <c r="T140" s="2"/>
      <c r="U140" s="2"/>
      <c r="V140" s="2"/>
      <c r="W140" s="11">
        <f t="shared" si="8"/>
        <v>292.3</v>
      </c>
      <c r="X140" s="2"/>
      <c r="Y140" s="5">
        <f t="shared" si="16"/>
        <v>8.381306346820587E-2</v>
      </c>
      <c r="Z140" s="13">
        <v>45511</v>
      </c>
      <c r="AA140" s="2">
        <v>963.5</v>
      </c>
      <c r="AB140" s="2"/>
      <c r="AC140" s="2"/>
      <c r="AD140" s="2"/>
      <c r="AE140" s="2">
        <f t="shared" si="9"/>
        <v>963.5</v>
      </c>
      <c r="AF140" s="2"/>
      <c r="AG140" s="5">
        <f t="shared" si="17"/>
        <v>-2.9018571508417205E-3</v>
      </c>
      <c r="AH140" s="13">
        <v>45511</v>
      </c>
      <c r="AI140" s="2">
        <v>766.3</v>
      </c>
      <c r="AJ140" s="2"/>
      <c r="AK140" s="2"/>
      <c r="AL140" s="2"/>
      <c r="AM140" s="2">
        <f t="shared" si="10"/>
        <v>766.3</v>
      </c>
      <c r="AN140" s="2"/>
      <c r="AO140" s="5">
        <f t="shared" si="18"/>
        <v>5.2509718320347447E-2</v>
      </c>
      <c r="AP140" s="13">
        <v>45511</v>
      </c>
      <c r="AQ140" s="11">
        <v>631</v>
      </c>
      <c r="AR140" s="2"/>
      <c r="AS140" s="2"/>
      <c r="AT140" s="2"/>
      <c r="AU140" s="11">
        <f t="shared" si="11"/>
        <v>631</v>
      </c>
      <c r="AV140" s="2"/>
      <c r="AW140" s="5">
        <f t="shared" si="19"/>
        <v>1.2598842991036877E-2</v>
      </c>
      <c r="AX140" s="13">
        <v>45511</v>
      </c>
      <c r="AY140" s="2">
        <v>28.9</v>
      </c>
      <c r="AZ140" s="2"/>
      <c r="BA140" s="2"/>
      <c r="BB140" s="2"/>
      <c r="BC140" s="2">
        <f t="shared" si="12"/>
        <v>28.9</v>
      </c>
      <c r="BD140" s="2"/>
      <c r="BE140" s="5">
        <f t="shared" si="20"/>
        <v>8.2930379330732953E-2</v>
      </c>
      <c r="BF140" s="13">
        <v>45511</v>
      </c>
      <c r="BG140" s="2">
        <v>140.6</v>
      </c>
      <c r="BH140" s="2"/>
      <c r="BI140" s="2"/>
      <c r="BJ140" s="2"/>
      <c r="BK140" s="2">
        <f t="shared" si="13"/>
        <v>140.6</v>
      </c>
      <c r="BL140" s="2"/>
      <c r="BM140" s="5">
        <f t="shared" si="22"/>
        <v>9.4670270791767361E-2</v>
      </c>
    </row>
    <row r="141" spans="1:65" ht="15.75" customHeight="1" x14ac:dyDescent="0.35">
      <c r="A141" s="675"/>
      <c r="B141" s="13">
        <v>45512</v>
      </c>
      <c r="C141" s="2">
        <v>11.3</v>
      </c>
      <c r="D141" s="2"/>
      <c r="E141" s="2"/>
      <c r="F141" s="2"/>
      <c r="G141" s="11">
        <f t="shared" si="14"/>
        <v>11.3</v>
      </c>
      <c r="H141" s="2"/>
      <c r="I141" s="5">
        <f t="shared" si="21"/>
        <v>9.2658830482704763E-2</v>
      </c>
      <c r="J141" s="13">
        <v>45512</v>
      </c>
      <c r="K141" s="2">
        <v>38.799999999999997</v>
      </c>
      <c r="L141" s="2"/>
      <c r="M141" s="2"/>
      <c r="N141" s="2"/>
      <c r="O141" s="11">
        <f t="shared" si="7"/>
        <v>38.799999999999997</v>
      </c>
      <c r="P141" s="2"/>
      <c r="Q141" s="5">
        <f t="shared" si="15"/>
        <v>9.4537282689976757E-2</v>
      </c>
      <c r="R141" s="13">
        <v>45512</v>
      </c>
      <c r="S141" s="2">
        <v>317.8</v>
      </c>
      <c r="T141" s="2"/>
      <c r="U141" s="2"/>
      <c r="V141" s="2"/>
      <c r="W141" s="11">
        <f t="shared" si="8"/>
        <v>317.8</v>
      </c>
      <c r="X141" s="2"/>
      <c r="Y141" s="5">
        <f t="shared" si="16"/>
        <v>8.364158198541527E-2</v>
      </c>
      <c r="Z141" s="13">
        <v>45512</v>
      </c>
      <c r="AA141" s="2">
        <v>997.3</v>
      </c>
      <c r="AB141" s="2"/>
      <c r="AC141" s="2"/>
      <c r="AD141" s="2"/>
      <c r="AE141" s="2">
        <f t="shared" si="9"/>
        <v>997.3</v>
      </c>
      <c r="AF141" s="2"/>
      <c r="AG141" s="5">
        <f t="shared" si="17"/>
        <v>3.4479139553401046E-2</v>
      </c>
      <c r="AH141" s="13">
        <v>45512</v>
      </c>
      <c r="AI141" s="2">
        <v>754.3</v>
      </c>
      <c r="AJ141" s="2"/>
      <c r="AK141" s="2"/>
      <c r="AL141" s="2"/>
      <c r="AM141" s="2">
        <f t="shared" si="10"/>
        <v>754.3</v>
      </c>
      <c r="AN141" s="2"/>
      <c r="AO141" s="5">
        <f t="shared" si="18"/>
        <v>-1.5783571116773434E-2</v>
      </c>
      <c r="AP141" s="13">
        <v>45512</v>
      </c>
      <c r="AQ141" s="11">
        <v>665.3</v>
      </c>
      <c r="AR141" s="2"/>
      <c r="AS141" s="2"/>
      <c r="AT141" s="2"/>
      <c r="AU141" s="11">
        <f t="shared" si="11"/>
        <v>665.3</v>
      </c>
      <c r="AV141" s="2"/>
      <c r="AW141" s="5">
        <f t="shared" si="19"/>
        <v>5.29322042066286E-2</v>
      </c>
      <c r="AX141" s="13">
        <v>45512</v>
      </c>
      <c r="AY141" s="2">
        <v>31.7</v>
      </c>
      <c r="AZ141" s="2"/>
      <c r="BA141" s="2"/>
      <c r="BB141" s="2"/>
      <c r="BC141" s="2">
        <f t="shared" si="12"/>
        <v>31.7</v>
      </c>
      <c r="BD141" s="2"/>
      <c r="BE141" s="5">
        <f t="shared" si="20"/>
        <v>9.2475085764848391E-2</v>
      </c>
      <c r="BF141" s="13">
        <v>45512</v>
      </c>
      <c r="BG141" s="2">
        <v>154.6</v>
      </c>
      <c r="BH141" s="2"/>
      <c r="BI141" s="2"/>
      <c r="BJ141" s="2"/>
      <c r="BK141" s="2">
        <f t="shared" si="13"/>
        <v>154.6</v>
      </c>
      <c r="BL141" s="2"/>
      <c r="BM141" s="5">
        <f t="shared" si="22"/>
        <v>9.4922156776757124E-2</v>
      </c>
    </row>
    <row r="142" spans="1:65" ht="15.75" customHeight="1" x14ac:dyDescent="0.35">
      <c r="A142" s="675"/>
      <c r="B142" s="13">
        <v>45515</v>
      </c>
      <c r="C142" s="2">
        <v>12.4</v>
      </c>
      <c r="D142" s="2"/>
      <c r="E142" s="2"/>
      <c r="F142" s="2"/>
      <c r="G142" s="11">
        <f t="shared" si="14"/>
        <v>12.4</v>
      </c>
      <c r="H142" s="2"/>
      <c r="I142" s="5">
        <f t="shared" si="21"/>
        <v>9.2893746892696236E-2</v>
      </c>
      <c r="J142" s="13">
        <v>45515</v>
      </c>
      <c r="K142" s="2">
        <v>42.1</v>
      </c>
      <c r="L142" s="2"/>
      <c r="M142" s="2"/>
      <c r="N142" s="2"/>
      <c r="O142" s="11">
        <f t="shared" si="7"/>
        <v>42.1</v>
      </c>
      <c r="P142" s="2"/>
      <c r="Q142" s="5">
        <f t="shared" si="15"/>
        <v>8.1627494059108102E-2</v>
      </c>
      <c r="R142" s="13">
        <v>45515</v>
      </c>
      <c r="S142" s="2">
        <v>345.6</v>
      </c>
      <c r="T142" s="2"/>
      <c r="U142" s="2"/>
      <c r="V142" s="2"/>
      <c r="W142" s="11">
        <f t="shared" si="8"/>
        <v>345.6</v>
      </c>
      <c r="X142" s="2"/>
      <c r="Y142" s="5">
        <f t="shared" si="16"/>
        <v>8.3859782827285054E-2</v>
      </c>
      <c r="Z142" s="13">
        <v>45515</v>
      </c>
      <c r="AA142" s="2">
        <v>977.2</v>
      </c>
      <c r="AB142" s="2"/>
      <c r="AC142" s="2"/>
      <c r="AD142" s="2"/>
      <c r="AE142" s="2">
        <f t="shared" si="9"/>
        <v>977.2</v>
      </c>
      <c r="AF142" s="2"/>
      <c r="AG142" s="5">
        <f t="shared" si="17"/>
        <v>-2.0360288024236773E-2</v>
      </c>
      <c r="AH142" s="13">
        <v>45515</v>
      </c>
      <c r="AI142" s="2">
        <v>761.5</v>
      </c>
      <c r="AJ142" s="2"/>
      <c r="AK142" s="2"/>
      <c r="AL142" s="2"/>
      <c r="AM142" s="2">
        <f t="shared" si="10"/>
        <v>761.5</v>
      </c>
      <c r="AN142" s="2"/>
      <c r="AO142" s="5">
        <f t="shared" si="18"/>
        <v>9.5000054756313075E-3</v>
      </c>
      <c r="AP142" s="13">
        <v>45515</v>
      </c>
      <c r="AQ142" s="11">
        <v>683.1</v>
      </c>
      <c r="AR142" s="2"/>
      <c r="AS142" s="2"/>
      <c r="AT142" s="2"/>
      <c r="AU142" s="11">
        <f t="shared" si="11"/>
        <v>683.1</v>
      </c>
      <c r="AV142" s="2"/>
      <c r="AW142" s="5">
        <f t="shared" si="19"/>
        <v>2.6403194989961975E-2</v>
      </c>
      <c r="AX142" s="13">
        <v>45515</v>
      </c>
      <c r="AY142" s="2">
        <v>31.2</v>
      </c>
      <c r="AZ142" s="2"/>
      <c r="BA142" s="2"/>
      <c r="BB142" s="2"/>
      <c r="BC142" s="2">
        <f t="shared" si="12"/>
        <v>31.2</v>
      </c>
      <c r="BD142" s="2"/>
      <c r="BE142" s="5">
        <f t="shared" si="20"/>
        <v>-1.5898586067798273E-2</v>
      </c>
      <c r="BF142" s="13">
        <v>45515</v>
      </c>
      <c r="BG142" s="2">
        <v>154.6</v>
      </c>
      <c r="BH142" s="2"/>
      <c r="BI142" s="2"/>
      <c r="BJ142" s="2"/>
      <c r="BK142" s="2">
        <f t="shared" si="13"/>
        <v>154.6</v>
      </c>
      <c r="BL142" s="2"/>
      <c r="BM142" s="5">
        <f t="shared" si="22"/>
        <v>0</v>
      </c>
    </row>
    <row r="143" spans="1:65" ht="15.75" customHeight="1" x14ac:dyDescent="0.35">
      <c r="A143" s="675"/>
      <c r="B143" s="13">
        <v>45516</v>
      </c>
      <c r="C143" s="2">
        <v>12.7</v>
      </c>
      <c r="D143" s="2"/>
      <c r="E143" s="2"/>
      <c r="F143" s="2"/>
      <c r="G143" s="11">
        <f t="shared" si="14"/>
        <v>12.7</v>
      </c>
      <c r="H143" s="2"/>
      <c r="I143" s="5">
        <f t="shared" si="21"/>
        <v>2.3905520853554386E-2</v>
      </c>
      <c r="J143" s="13">
        <v>45516</v>
      </c>
      <c r="K143" s="2">
        <v>40.9</v>
      </c>
      <c r="L143" s="2"/>
      <c r="M143" s="2"/>
      <c r="N143" s="2"/>
      <c r="O143" s="11">
        <f t="shared" si="7"/>
        <v>40.9</v>
      </c>
      <c r="P143" s="2"/>
      <c r="Q143" s="5">
        <f t="shared" si="15"/>
        <v>-2.891767763957977E-2</v>
      </c>
      <c r="R143" s="13">
        <v>45516</v>
      </c>
      <c r="S143" s="2">
        <v>355.5</v>
      </c>
      <c r="T143" s="2"/>
      <c r="U143" s="2"/>
      <c r="V143" s="2"/>
      <c r="W143" s="11">
        <f t="shared" si="8"/>
        <v>355.5</v>
      </c>
      <c r="X143" s="2"/>
      <c r="Y143" s="5">
        <f t="shared" si="16"/>
        <v>2.8243212313394939E-2</v>
      </c>
      <c r="Z143" s="13">
        <v>45516</v>
      </c>
      <c r="AA143" s="2">
        <v>955.8</v>
      </c>
      <c r="AB143" s="2"/>
      <c r="AC143" s="2"/>
      <c r="AD143" s="2"/>
      <c r="AE143" s="2">
        <f t="shared" si="9"/>
        <v>955.8</v>
      </c>
      <c r="AF143" s="2"/>
      <c r="AG143" s="5">
        <f t="shared" si="17"/>
        <v>-2.2142653239527629E-2</v>
      </c>
      <c r="AH143" s="13">
        <v>45516</v>
      </c>
      <c r="AI143" s="2">
        <v>749.4</v>
      </c>
      <c r="AJ143" s="2"/>
      <c r="AK143" s="2"/>
      <c r="AL143" s="2"/>
      <c r="AM143" s="2">
        <f t="shared" si="10"/>
        <v>749.4</v>
      </c>
      <c r="AN143" s="2"/>
      <c r="AO143" s="5">
        <f t="shared" si="18"/>
        <v>-1.601728597562959E-2</v>
      </c>
      <c r="AP143" s="13">
        <v>45516</v>
      </c>
      <c r="AQ143" s="11">
        <v>662.7</v>
      </c>
      <c r="AR143" s="2"/>
      <c r="AS143" s="2"/>
      <c r="AT143" s="2"/>
      <c r="AU143" s="11">
        <f t="shared" si="11"/>
        <v>662.7</v>
      </c>
      <c r="AV143" s="2"/>
      <c r="AW143" s="5">
        <f t="shared" si="19"/>
        <v>-3.0318862643622393E-2</v>
      </c>
      <c r="AX143" s="13">
        <v>45516</v>
      </c>
      <c r="AY143" s="2">
        <v>30.3</v>
      </c>
      <c r="AZ143" s="2"/>
      <c r="BA143" s="2"/>
      <c r="BB143" s="2"/>
      <c r="BC143" s="2">
        <f t="shared" si="12"/>
        <v>30.3</v>
      </c>
      <c r="BD143" s="2"/>
      <c r="BE143" s="5">
        <f t="shared" si="20"/>
        <v>-2.9270382300113224E-2</v>
      </c>
      <c r="BF143" s="13">
        <v>45516</v>
      </c>
      <c r="BG143" s="2">
        <v>150.1</v>
      </c>
      <c r="BH143" s="2"/>
      <c r="BI143" s="2"/>
      <c r="BJ143" s="2"/>
      <c r="BK143" s="2">
        <f t="shared" si="13"/>
        <v>150.1</v>
      </c>
      <c r="BL143" s="2"/>
      <c r="BM143" s="5">
        <f t="shared" si="22"/>
        <v>-2.9539397513905372E-2</v>
      </c>
    </row>
    <row r="144" spans="1:65" ht="15.75" customHeight="1" x14ac:dyDescent="0.35">
      <c r="A144" s="675"/>
      <c r="B144" s="13">
        <v>45517</v>
      </c>
      <c r="C144" s="2">
        <v>13.1</v>
      </c>
      <c r="D144" s="2"/>
      <c r="E144" s="2"/>
      <c r="F144" s="2"/>
      <c r="G144" s="11">
        <f t="shared" si="14"/>
        <v>13.1</v>
      </c>
      <c r="H144" s="2"/>
      <c r="I144" s="5">
        <f t="shared" si="21"/>
        <v>3.1010236742560218E-2</v>
      </c>
      <c r="J144" s="13">
        <v>45517</v>
      </c>
      <c r="K144" s="2">
        <v>39.700000000000003</v>
      </c>
      <c r="L144" s="2"/>
      <c r="M144" s="2"/>
      <c r="N144" s="2"/>
      <c r="O144" s="11">
        <f t="shared" si="7"/>
        <v>39.700000000000003</v>
      </c>
      <c r="P144" s="2"/>
      <c r="Q144" s="5">
        <f t="shared" si="15"/>
        <v>-2.9778875355611242E-2</v>
      </c>
      <c r="R144" s="13">
        <v>45517</v>
      </c>
      <c r="S144" s="2">
        <v>355.5</v>
      </c>
      <c r="T144" s="2"/>
      <c r="U144" s="2"/>
      <c r="V144" s="2"/>
      <c r="W144" s="11">
        <f t="shared" si="8"/>
        <v>355.5</v>
      </c>
      <c r="X144" s="2"/>
      <c r="Y144" s="5">
        <f t="shared" si="16"/>
        <v>0</v>
      </c>
      <c r="Z144" s="13">
        <v>45517</v>
      </c>
      <c r="AA144" s="2">
        <v>954.6</v>
      </c>
      <c r="AB144" s="2"/>
      <c r="AC144" s="2"/>
      <c r="AD144" s="2"/>
      <c r="AE144" s="2">
        <f t="shared" si="9"/>
        <v>954.6</v>
      </c>
      <c r="AF144" s="2"/>
      <c r="AG144" s="5">
        <f t="shared" si="17"/>
        <v>-1.2562815722615588E-3</v>
      </c>
      <c r="AH144" s="13">
        <v>45517</v>
      </c>
      <c r="AI144" s="2">
        <v>759.8</v>
      </c>
      <c r="AJ144" s="2"/>
      <c r="AK144" s="2"/>
      <c r="AL144" s="2"/>
      <c r="AM144" s="2">
        <f t="shared" si="10"/>
        <v>759.8</v>
      </c>
      <c r="AN144" s="2"/>
      <c r="AO144" s="5">
        <f t="shared" si="18"/>
        <v>1.3782354393938068E-2</v>
      </c>
      <c r="AP144" s="13">
        <v>45517</v>
      </c>
      <c r="AQ144" s="11">
        <v>642.9</v>
      </c>
      <c r="AR144" s="2"/>
      <c r="AS144" s="2"/>
      <c r="AT144" s="2"/>
      <c r="AU144" s="11">
        <f t="shared" si="11"/>
        <v>642.9</v>
      </c>
      <c r="AV144" s="2"/>
      <c r="AW144" s="5">
        <f t="shared" si="19"/>
        <v>-3.0333207946540201E-2</v>
      </c>
      <c r="AX144" s="13">
        <v>45517</v>
      </c>
      <c r="AY144" s="2">
        <v>29.9</v>
      </c>
      <c r="AZ144" s="2"/>
      <c r="BA144" s="2"/>
      <c r="BB144" s="2"/>
      <c r="BC144" s="2">
        <f t="shared" si="12"/>
        <v>29.9</v>
      </c>
      <c r="BD144" s="2"/>
      <c r="BE144" s="5">
        <f t="shared" si="20"/>
        <v>-1.3289232118682765E-2</v>
      </c>
      <c r="BF144" s="13">
        <v>45517</v>
      </c>
      <c r="BG144" s="2">
        <v>146</v>
      </c>
      <c r="BH144" s="2"/>
      <c r="BI144" s="2"/>
      <c r="BJ144" s="2"/>
      <c r="BK144" s="2">
        <f t="shared" si="13"/>
        <v>146</v>
      </c>
      <c r="BL144" s="2"/>
      <c r="BM144" s="5">
        <f t="shared" si="22"/>
        <v>-2.7695116931079747E-2</v>
      </c>
    </row>
    <row r="145" spans="1:65" ht="15.75" customHeight="1" x14ac:dyDescent="0.35">
      <c r="A145" s="675"/>
      <c r="B145" s="13">
        <v>45518</v>
      </c>
      <c r="C145" s="2">
        <v>14.1</v>
      </c>
      <c r="D145" s="2"/>
      <c r="E145" s="2"/>
      <c r="F145" s="2"/>
      <c r="G145" s="11">
        <f t="shared" si="14"/>
        <v>14.1</v>
      </c>
      <c r="H145" s="2"/>
      <c r="I145" s="5">
        <f t="shared" si="21"/>
        <v>7.3562567177016647E-2</v>
      </c>
      <c r="J145" s="13">
        <v>45518</v>
      </c>
      <c r="K145" s="2">
        <v>41.4</v>
      </c>
      <c r="L145" s="2"/>
      <c r="M145" s="2"/>
      <c r="N145" s="2"/>
      <c r="O145" s="11">
        <f t="shared" si="7"/>
        <v>41.4</v>
      </c>
      <c r="P145" s="2"/>
      <c r="Q145" s="5">
        <f t="shared" si="15"/>
        <v>4.1929693138123766E-2</v>
      </c>
      <c r="R145" s="13">
        <v>45518</v>
      </c>
      <c r="S145" s="2">
        <v>379.2</v>
      </c>
      <c r="T145" s="2"/>
      <c r="U145" s="2"/>
      <c r="V145" s="2"/>
      <c r="W145" s="11">
        <f t="shared" si="8"/>
        <v>379.2</v>
      </c>
      <c r="X145" s="2">
        <v>16</v>
      </c>
      <c r="Y145" s="5">
        <f t="shared" si="16"/>
        <v>0.1058667166304172</v>
      </c>
      <c r="Z145" s="13">
        <v>45518</v>
      </c>
      <c r="AA145" s="2">
        <v>951.7</v>
      </c>
      <c r="AB145" s="2"/>
      <c r="AC145" s="2"/>
      <c r="AD145" s="2"/>
      <c r="AE145" s="2">
        <f t="shared" si="9"/>
        <v>951.7</v>
      </c>
      <c r="AF145" s="2"/>
      <c r="AG145" s="5">
        <f t="shared" si="17"/>
        <v>-3.0425454934984355E-3</v>
      </c>
      <c r="AH145" s="13">
        <v>45518</v>
      </c>
      <c r="AI145" s="2">
        <v>778.9</v>
      </c>
      <c r="AJ145" s="6">
        <v>0.1</v>
      </c>
      <c r="AK145" s="2"/>
      <c r="AL145" s="2"/>
      <c r="AM145" s="2">
        <f t="shared" si="10"/>
        <v>856.79</v>
      </c>
      <c r="AN145" s="2"/>
      <c r="AO145" s="5">
        <f t="shared" si="18"/>
        <v>0.12013760697670246</v>
      </c>
      <c r="AP145" s="13">
        <v>45518</v>
      </c>
      <c r="AQ145" s="11">
        <v>644.29999999999995</v>
      </c>
      <c r="AR145" s="2"/>
      <c r="AS145" s="2"/>
      <c r="AT145" s="2"/>
      <c r="AU145" s="11">
        <f t="shared" si="11"/>
        <v>644.29999999999995</v>
      </c>
      <c r="AV145" s="2"/>
      <c r="AW145" s="5">
        <f t="shared" si="19"/>
        <v>2.175264996955644E-3</v>
      </c>
      <c r="AX145" s="13">
        <v>45518</v>
      </c>
      <c r="AY145" s="2">
        <v>29.9</v>
      </c>
      <c r="AZ145" s="2"/>
      <c r="BA145" s="2"/>
      <c r="BB145" s="2"/>
      <c r="BC145" s="2">
        <f t="shared" si="12"/>
        <v>29.9</v>
      </c>
      <c r="BD145" s="2"/>
      <c r="BE145" s="5">
        <f t="shared" si="20"/>
        <v>0</v>
      </c>
      <c r="BF145" s="13">
        <v>45518</v>
      </c>
      <c r="BG145" s="2">
        <v>151.30000000000001</v>
      </c>
      <c r="BH145" s="2"/>
      <c r="BI145" s="2"/>
      <c r="BJ145" s="2"/>
      <c r="BK145" s="2">
        <f t="shared" si="13"/>
        <v>151.30000000000001</v>
      </c>
      <c r="BL145" s="2"/>
      <c r="BM145" s="5">
        <f t="shared" si="22"/>
        <v>3.5657999085973786E-2</v>
      </c>
    </row>
    <row r="146" spans="1:65" ht="15.75" customHeight="1" x14ac:dyDescent="0.35">
      <c r="A146" s="675"/>
      <c r="B146" s="13">
        <v>45519</v>
      </c>
      <c r="C146" s="2">
        <v>13.7</v>
      </c>
      <c r="D146" s="2"/>
      <c r="E146" s="2"/>
      <c r="F146" s="2"/>
      <c r="G146" s="11">
        <f t="shared" si="14"/>
        <v>13.7</v>
      </c>
      <c r="H146" s="2"/>
      <c r="I146" s="5">
        <f t="shared" si="21"/>
        <v>-2.8778964550043404E-2</v>
      </c>
      <c r="J146" s="13">
        <v>45519</v>
      </c>
      <c r="K146" s="2">
        <v>42.5</v>
      </c>
      <c r="L146" s="2"/>
      <c r="M146" s="2"/>
      <c r="N146" s="2"/>
      <c r="O146" s="11">
        <f t="shared" si="7"/>
        <v>42.5</v>
      </c>
      <c r="P146" s="2"/>
      <c r="Q146" s="5">
        <f t="shared" si="15"/>
        <v>2.6223195099102561E-2</v>
      </c>
      <c r="R146" s="13">
        <v>45519</v>
      </c>
      <c r="S146" s="2">
        <v>377</v>
      </c>
      <c r="T146" s="2"/>
      <c r="U146" s="2"/>
      <c r="V146" s="2"/>
      <c r="W146" s="11">
        <f t="shared" si="8"/>
        <v>377</v>
      </c>
      <c r="X146" s="2"/>
      <c r="Y146" s="5">
        <f t="shared" si="16"/>
        <v>-5.8185829328559324E-3</v>
      </c>
      <c r="Z146" s="13">
        <v>45519</v>
      </c>
      <c r="AA146" s="2">
        <v>950.4</v>
      </c>
      <c r="AB146" s="2"/>
      <c r="AC146" s="2"/>
      <c r="AD146" s="2"/>
      <c r="AE146" s="2">
        <f t="shared" si="9"/>
        <v>950.4</v>
      </c>
      <c r="AF146" s="2"/>
      <c r="AG146" s="5">
        <f t="shared" si="17"/>
        <v>-1.3669104699173102E-3</v>
      </c>
      <c r="AH146" s="13">
        <v>45519</v>
      </c>
      <c r="AI146" s="2">
        <v>789.2</v>
      </c>
      <c r="AJ146" s="2"/>
      <c r="AK146" s="2"/>
      <c r="AL146" s="2"/>
      <c r="AM146" s="2">
        <f t="shared" si="10"/>
        <v>789.2</v>
      </c>
      <c r="AN146" s="2"/>
      <c r="AO146" s="5">
        <f t="shared" si="18"/>
        <v>-8.2173073581767314E-2</v>
      </c>
      <c r="AP146" s="13">
        <v>45519</v>
      </c>
      <c r="AQ146" s="11">
        <v>649.20000000000005</v>
      </c>
      <c r="AR146" s="2"/>
      <c r="AS146" s="2"/>
      <c r="AT146" s="2"/>
      <c r="AU146" s="11">
        <f t="shared" si="11"/>
        <v>649.20000000000005</v>
      </c>
      <c r="AV146" s="2"/>
      <c r="AW146" s="5">
        <f t="shared" si="19"/>
        <v>7.5763794958395034E-3</v>
      </c>
      <c r="AX146" s="13">
        <v>45519</v>
      </c>
      <c r="AY146" s="2">
        <v>29.9</v>
      </c>
      <c r="AZ146" s="2"/>
      <c r="BA146" s="2"/>
      <c r="BB146" s="2"/>
      <c r="BC146" s="2">
        <f t="shared" si="12"/>
        <v>29.9</v>
      </c>
      <c r="BD146" s="2"/>
      <c r="BE146" s="5">
        <f t="shared" si="20"/>
        <v>0</v>
      </c>
      <c r="BF146" s="13">
        <v>45519</v>
      </c>
      <c r="BG146" s="2">
        <v>164.9</v>
      </c>
      <c r="BH146" s="2"/>
      <c r="BI146" s="2"/>
      <c r="BJ146" s="2"/>
      <c r="BK146" s="2">
        <f t="shared" si="13"/>
        <v>164.9</v>
      </c>
      <c r="BL146" s="2"/>
      <c r="BM146" s="5">
        <f t="shared" si="22"/>
        <v>8.6074608771242983E-2</v>
      </c>
    </row>
    <row r="147" spans="1:65" ht="15.75" customHeight="1" x14ac:dyDescent="0.35">
      <c r="A147" s="675"/>
      <c r="B147" s="13">
        <v>45522</v>
      </c>
      <c r="C147" s="2">
        <v>13.3</v>
      </c>
      <c r="D147" s="2"/>
      <c r="E147" s="2"/>
      <c r="F147" s="2"/>
      <c r="G147" s="11">
        <f t="shared" si="14"/>
        <v>13.3</v>
      </c>
      <c r="H147" s="2"/>
      <c r="I147" s="5">
        <f t="shared" si="21"/>
        <v>-2.9631797606371E-2</v>
      </c>
      <c r="J147" s="13">
        <v>45522</v>
      </c>
      <c r="K147" s="2">
        <v>41.3</v>
      </c>
      <c r="L147" s="2"/>
      <c r="M147" s="2"/>
      <c r="N147" s="2"/>
      <c r="O147" s="11">
        <f t="shared" si="7"/>
        <v>41.3</v>
      </c>
      <c r="P147" s="2"/>
      <c r="Q147" s="5">
        <f t="shared" si="15"/>
        <v>-2.8641575963384153E-2</v>
      </c>
      <c r="R147" s="13">
        <v>45522</v>
      </c>
      <c r="S147" s="2">
        <v>365.7</v>
      </c>
      <c r="T147" s="2"/>
      <c r="U147" s="2"/>
      <c r="V147" s="2"/>
      <c r="W147" s="11">
        <f t="shared" si="8"/>
        <v>365.7</v>
      </c>
      <c r="X147" s="2"/>
      <c r="Y147" s="5">
        <f t="shared" si="16"/>
        <v>-3.0431862292675273E-2</v>
      </c>
      <c r="Z147" s="13">
        <v>45522</v>
      </c>
      <c r="AA147" s="2">
        <v>939.4</v>
      </c>
      <c r="AB147" s="2"/>
      <c r="AC147" s="2"/>
      <c r="AD147" s="2"/>
      <c r="AE147" s="2">
        <f t="shared" si="9"/>
        <v>939.4</v>
      </c>
      <c r="AF147" s="2"/>
      <c r="AG147" s="5">
        <f t="shared" si="17"/>
        <v>-1.1641575015485755E-2</v>
      </c>
      <c r="AH147" s="13">
        <v>45522</v>
      </c>
      <c r="AI147" s="2">
        <v>773.2</v>
      </c>
      <c r="AJ147" s="2"/>
      <c r="AK147" s="2"/>
      <c r="AL147" s="2"/>
      <c r="AM147" s="2">
        <f t="shared" si="10"/>
        <v>773.2</v>
      </c>
      <c r="AN147" s="2"/>
      <c r="AO147" s="5">
        <f t="shared" si="18"/>
        <v>-2.0482026814284442E-2</v>
      </c>
      <c r="AP147" s="13">
        <v>45522</v>
      </c>
      <c r="AQ147" s="11">
        <v>630.20000000000005</v>
      </c>
      <c r="AR147" s="2"/>
      <c r="AS147" s="2"/>
      <c r="AT147" s="2"/>
      <c r="AU147" s="11">
        <f t="shared" si="11"/>
        <v>630.20000000000005</v>
      </c>
      <c r="AV147" s="2"/>
      <c r="AW147" s="5">
        <f t="shared" si="19"/>
        <v>-2.9703606317261877E-2</v>
      </c>
      <c r="AX147" s="13">
        <v>45522</v>
      </c>
      <c r="AY147" s="2">
        <v>29.2</v>
      </c>
      <c r="AZ147" s="2"/>
      <c r="BA147" s="2"/>
      <c r="BB147" s="2"/>
      <c r="BC147" s="2">
        <f t="shared" si="12"/>
        <v>29.2</v>
      </c>
      <c r="BD147" s="2"/>
      <c r="BE147" s="5">
        <f t="shared" si="20"/>
        <v>-2.3689771122404665E-2</v>
      </c>
      <c r="BF147" s="13">
        <v>45522</v>
      </c>
      <c r="BG147" s="2">
        <v>170.5</v>
      </c>
      <c r="BH147" s="2"/>
      <c r="BI147" s="2"/>
      <c r="BJ147" s="2"/>
      <c r="BK147" s="2">
        <f t="shared" si="13"/>
        <v>170.5</v>
      </c>
      <c r="BL147" s="2"/>
      <c r="BM147" s="5">
        <f t="shared" si="22"/>
        <v>3.3396067158018149E-2</v>
      </c>
    </row>
    <row r="148" spans="1:65" ht="15.75" customHeight="1" x14ac:dyDescent="0.35">
      <c r="A148" s="675"/>
      <c r="B148" s="13">
        <v>45523</v>
      </c>
      <c r="C148" s="2">
        <v>13.5</v>
      </c>
      <c r="D148" s="2"/>
      <c r="E148" s="2"/>
      <c r="F148" s="2"/>
      <c r="G148" s="11">
        <f t="shared" si="14"/>
        <v>13.5</v>
      </c>
      <c r="H148" s="2"/>
      <c r="I148" s="5">
        <f t="shared" si="21"/>
        <v>1.4925650216675574E-2</v>
      </c>
      <c r="J148" s="13">
        <v>45523</v>
      </c>
      <c r="K148" s="2">
        <v>40.1</v>
      </c>
      <c r="L148" s="2"/>
      <c r="M148" s="2"/>
      <c r="N148" s="2"/>
      <c r="O148" s="11">
        <f t="shared" si="7"/>
        <v>40.1</v>
      </c>
      <c r="P148" s="2"/>
      <c r="Q148" s="5">
        <f t="shared" si="15"/>
        <v>-2.9486165654463426E-2</v>
      </c>
      <c r="R148" s="13">
        <v>45523</v>
      </c>
      <c r="S148" s="2">
        <v>354.8</v>
      </c>
      <c r="T148" s="2"/>
      <c r="U148" s="2"/>
      <c r="V148" s="2"/>
      <c r="W148" s="11">
        <f t="shared" si="8"/>
        <v>354.8</v>
      </c>
      <c r="X148" s="2"/>
      <c r="Y148" s="5">
        <f t="shared" si="16"/>
        <v>-3.0259074719911041E-2</v>
      </c>
      <c r="Z148" s="13">
        <v>45523</v>
      </c>
      <c r="AA148" s="2">
        <v>936</v>
      </c>
      <c r="AB148" s="2"/>
      <c r="AC148" s="2"/>
      <c r="AD148" s="2"/>
      <c r="AE148" s="2">
        <f t="shared" si="9"/>
        <v>936</v>
      </c>
      <c r="AF148" s="2"/>
      <c r="AG148" s="5">
        <f t="shared" si="17"/>
        <v>-3.6258971153026701E-3</v>
      </c>
      <c r="AH148" s="13">
        <v>45523</v>
      </c>
      <c r="AI148" s="2">
        <v>768.2</v>
      </c>
      <c r="AJ148" s="2"/>
      <c r="AK148" s="2"/>
      <c r="AL148" s="2"/>
      <c r="AM148" s="2">
        <f t="shared" si="10"/>
        <v>768.2</v>
      </c>
      <c r="AN148" s="2"/>
      <c r="AO148" s="5">
        <f t="shared" si="18"/>
        <v>-6.4876314223714197E-3</v>
      </c>
      <c r="AP148" s="13">
        <v>45523</v>
      </c>
      <c r="AQ148" s="11">
        <v>624</v>
      </c>
      <c r="AR148" s="2"/>
      <c r="AS148" s="2"/>
      <c r="AT148" s="2"/>
      <c r="AU148" s="11">
        <f t="shared" si="11"/>
        <v>624</v>
      </c>
      <c r="AV148" s="2"/>
      <c r="AW148" s="5">
        <f t="shared" si="19"/>
        <v>-9.8868609537465842E-3</v>
      </c>
      <c r="AX148" s="13">
        <v>45523</v>
      </c>
      <c r="AY148" s="2">
        <v>29.1</v>
      </c>
      <c r="AZ148" s="2"/>
      <c r="BA148" s="2"/>
      <c r="BB148" s="2"/>
      <c r="BC148" s="2">
        <f t="shared" si="12"/>
        <v>29.1</v>
      </c>
      <c r="BD148" s="2"/>
      <c r="BE148" s="5">
        <f t="shared" si="20"/>
        <v>-3.4305350967891368E-3</v>
      </c>
      <c r="BF148" s="13">
        <v>45523</v>
      </c>
      <c r="BG148" s="2">
        <v>172.8</v>
      </c>
      <c r="BH148" s="2"/>
      <c r="BI148" s="2"/>
      <c r="BJ148" s="2"/>
      <c r="BK148" s="2">
        <f t="shared" si="13"/>
        <v>172.8</v>
      </c>
      <c r="BL148" s="2"/>
      <c r="BM148" s="5">
        <f t="shared" si="22"/>
        <v>1.3399559646383929E-2</v>
      </c>
    </row>
    <row r="149" spans="1:65" ht="15.75" customHeight="1" x14ac:dyDescent="0.35">
      <c r="A149" s="675"/>
      <c r="B149" s="13">
        <v>45524</v>
      </c>
      <c r="C149" s="2">
        <v>13.6</v>
      </c>
      <c r="D149" s="2"/>
      <c r="E149" s="2"/>
      <c r="F149" s="2"/>
      <c r="G149" s="11">
        <f t="shared" si="14"/>
        <v>13.6</v>
      </c>
      <c r="H149" s="2"/>
      <c r="I149" s="5">
        <f t="shared" si="21"/>
        <v>7.38010729762246E-3</v>
      </c>
      <c r="J149" s="13">
        <v>45524</v>
      </c>
      <c r="K149" s="2">
        <v>38.9</v>
      </c>
      <c r="L149" s="2"/>
      <c r="M149" s="2"/>
      <c r="N149" s="2"/>
      <c r="O149" s="11">
        <f t="shared" si="7"/>
        <v>38.9</v>
      </c>
      <c r="P149" s="2"/>
      <c r="Q149" s="5">
        <f t="shared" si="15"/>
        <v>-3.0382083688122917E-2</v>
      </c>
      <c r="R149" s="13">
        <v>45524</v>
      </c>
      <c r="S149" s="2">
        <v>344.3</v>
      </c>
      <c r="T149" s="2"/>
      <c r="U149" s="2"/>
      <c r="V149" s="2"/>
      <c r="W149" s="11">
        <f t="shared" si="8"/>
        <v>344.3</v>
      </c>
      <c r="X149" s="2"/>
      <c r="Y149" s="5">
        <f t="shared" si="16"/>
        <v>-3.0040880090946364E-2</v>
      </c>
      <c r="Z149" s="13">
        <v>45524</v>
      </c>
      <c r="AA149" s="2">
        <v>944.5</v>
      </c>
      <c r="AB149" s="2"/>
      <c r="AC149" s="2"/>
      <c r="AD149" s="2"/>
      <c r="AE149" s="2">
        <f t="shared" si="9"/>
        <v>944.5</v>
      </c>
      <c r="AF149" s="2"/>
      <c r="AG149" s="5">
        <f t="shared" si="17"/>
        <v>9.0402104639721644E-3</v>
      </c>
      <c r="AH149" s="13">
        <v>45524</v>
      </c>
      <c r="AI149" s="2">
        <v>754.8</v>
      </c>
      <c r="AJ149" s="2"/>
      <c r="AK149" s="2"/>
      <c r="AL149" s="2"/>
      <c r="AM149" s="2">
        <f t="shared" si="10"/>
        <v>754.8</v>
      </c>
      <c r="AN149" s="2"/>
      <c r="AO149" s="5">
        <f t="shared" si="18"/>
        <v>-1.7597302417409387E-2</v>
      </c>
      <c r="AP149" s="13">
        <v>45524</v>
      </c>
      <c r="AQ149" s="11">
        <v>620.20000000000005</v>
      </c>
      <c r="AR149" s="2"/>
      <c r="AS149" s="2"/>
      <c r="AT149" s="2"/>
      <c r="AU149" s="11">
        <f t="shared" si="11"/>
        <v>620.20000000000005</v>
      </c>
      <c r="AV149" s="2"/>
      <c r="AW149" s="5">
        <f t="shared" si="19"/>
        <v>-6.1083617030790746E-3</v>
      </c>
      <c r="AX149" s="13">
        <v>45524</v>
      </c>
      <c r="AY149" s="2">
        <v>28.6</v>
      </c>
      <c r="AZ149" s="2"/>
      <c r="BA149" s="2"/>
      <c r="BB149" s="2"/>
      <c r="BC149" s="2">
        <f t="shared" si="12"/>
        <v>28.6</v>
      </c>
      <c r="BD149" s="2"/>
      <c r="BE149" s="5">
        <f t="shared" si="20"/>
        <v>-1.7331456351639976E-2</v>
      </c>
      <c r="BF149" s="13">
        <v>45524</v>
      </c>
      <c r="BG149" s="2">
        <v>167.7</v>
      </c>
      <c r="BH149" s="2"/>
      <c r="BI149" s="2"/>
      <c r="BJ149" s="2"/>
      <c r="BK149" s="2">
        <f t="shared" si="13"/>
        <v>167.7</v>
      </c>
      <c r="BL149" s="2"/>
      <c r="BM149" s="5">
        <f t="shared" si="22"/>
        <v>-2.9958187540792259E-2</v>
      </c>
    </row>
    <row r="150" spans="1:65" ht="15.75" customHeight="1" x14ac:dyDescent="0.35">
      <c r="A150" s="675"/>
      <c r="B150" s="13">
        <v>45525</v>
      </c>
      <c r="C150" s="2">
        <v>13.9</v>
      </c>
      <c r="D150" s="2"/>
      <c r="E150" s="2"/>
      <c r="F150" s="2"/>
      <c r="G150" s="11">
        <f t="shared" si="14"/>
        <v>13.9</v>
      </c>
      <c r="H150" s="2"/>
      <c r="I150" s="5">
        <f t="shared" si="21"/>
        <v>2.1819047394639888E-2</v>
      </c>
      <c r="J150" s="13">
        <v>45525</v>
      </c>
      <c r="K150" s="2">
        <v>37.799999999999997</v>
      </c>
      <c r="L150" s="2"/>
      <c r="M150" s="2"/>
      <c r="N150" s="2"/>
      <c r="O150" s="11">
        <f t="shared" si="7"/>
        <v>37.799999999999997</v>
      </c>
      <c r="P150" s="2"/>
      <c r="Q150" s="5">
        <f t="shared" si="15"/>
        <v>-2.8685147998858664E-2</v>
      </c>
      <c r="R150" s="13">
        <v>45525</v>
      </c>
      <c r="S150" s="2">
        <v>334</v>
      </c>
      <c r="T150" s="2"/>
      <c r="U150" s="2"/>
      <c r="V150" s="2"/>
      <c r="W150" s="11">
        <f t="shared" si="8"/>
        <v>334</v>
      </c>
      <c r="X150" s="2"/>
      <c r="Y150" s="5">
        <f t="shared" si="16"/>
        <v>-3.0372377367777707E-2</v>
      </c>
      <c r="Z150" s="13">
        <v>45525</v>
      </c>
      <c r="AA150" s="2">
        <v>937.4</v>
      </c>
      <c r="AB150" s="2"/>
      <c r="AC150" s="2"/>
      <c r="AD150" s="2"/>
      <c r="AE150" s="2">
        <f t="shared" si="9"/>
        <v>937.4</v>
      </c>
      <c r="AF150" s="2"/>
      <c r="AG150" s="5">
        <f t="shared" si="17"/>
        <v>-7.5456014529584657E-3</v>
      </c>
      <c r="AH150" s="13">
        <v>45525</v>
      </c>
      <c r="AI150" s="2">
        <v>740.5</v>
      </c>
      <c r="AJ150" s="2"/>
      <c r="AK150" s="2"/>
      <c r="AL150" s="2"/>
      <c r="AM150" s="2">
        <f t="shared" si="10"/>
        <v>740.5</v>
      </c>
      <c r="AN150" s="2"/>
      <c r="AO150" s="5">
        <f t="shared" si="18"/>
        <v>-1.9127179786541635E-2</v>
      </c>
      <c r="AP150" s="13">
        <v>45525</v>
      </c>
      <c r="AQ150" s="11">
        <v>602.1</v>
      </c>
      <c r="AR150" s="2"/>
      <c r="AS150" s="2"/>
      <c r="AT150" s="2"/>
      <c r="AU150" s="11">
        <f t="shared" si="11"/>
        <v>602.1</v>
      </c>
      <c r="AV150" s="2"/>
      <c r="AW150" s="5">
        <f t="shared" si="19"/>
        <v>-2.9618462195946414E-2</v>
      </c>
      <c r="AX150" s="13">
        <v>45525</v>
      </c>
      <c r="AY150" s="2">
        <v>27.8</v>
      </c>
      <c r="AZ150" s="2"/>
      <c r="BA150" s="2"/>
      <c r="BB150" s="2"/>
      <c r="BC150" s="2">
        <f t="shared" si="12"/>
        <v>27.8</v>
      </c>
      <c r="BD150" s="2"/>
      <c r="BE150" s="5">
        <f t="shared" si="20"/>
        <v>-2.8370697129215576E-2</v>
      </c>
      <c r="BF150" s="13">
        <v>45525</v>
      </c>
      <c r="BG150" s="2">
        <v>162.69999999999999</v>
      </c>
      <c r="BH150" s="2"/>
      <c r="BI150" s="2"/>
      <c r="BJ150" s="2"/>
      <c r="BK150" s="2">
        <f t="shared" si="13"/>
        <v>162.69999999999999</v>
      </c>
      <c r="BL150" s="2"/>
      <c r="BM150" s="5">
        <f t="shared" si="22"/>
        <v>-3.0268654604171063E-2</v>
      </c>
    </row>
    <row r="151" spans="1:65" ht="15.75" customHeight="1" x14ac:dyDescent="0.35">
      <c r="A151" s="675"/>
      <c r="B151" s="13">
        <v>45526</v>
      </c>
      <c r="C151" s="2">
        <v>14</v>
      </c>
      <c r="D151" s="2"/>
      <c r="E151" s="2"/>
      <c r="F151" s="2"/>
      <c r="G151" s="11">
        <f t="shared" si="14"/>
        <v>14</v>
      </c>
      <c r="H151" s="2"/>
      <c r="I151" s="5">
        <f t="shared" si="21"/>
        <v>7.168489478612497E-3</v>
      </c>
      <c r="J151" s="13">
        <v>45526</v>
      </c>
      <c r="K151" s="2">
        <v>38.5</v>
      </c>
      <c r="L151" s="2"/>
      <c r="M151" s="2"/>
      <c r="N151" s="2"/>
      <c r="O151" s="11">
        <f t="shared" si="7"/>
        <v>38.5</v>
      </c>
      <c r="P151" s="2"/>
      <c r="Q151" s="5">
        <f t="shared" si="15"/>
        <v>1.8349138668196617E-2</v>
      </c>
      <c r="R151" s="13">
        <v>45526</v>
      </c>
      <c r="S151" s="2">
        <v>346.2</v>
      </c>
      <c r="T151" s="2"/>
      <c r="U151" s="2"/>
      <c r="V151" s="2"/>
      <c r="W151" s="11">
        <f t="shared" si="8"/>
        <v>346.2</v>
      </c>
      <c r="X151" s="2"/>
      <c r="Y151" s="5">
        <f t="shared" si="16"/>
        <v>3.5875649765408427E-2</v>
      </c>
      <c r="Z151" s="13">
        <v>45526</v>
      </c>
      <c r="AA151" s="2">
        <v>951.2</v>
      </c>
      <c r="AB151" s="2"/>
      <c r="AC151" s="2"/>
      <c r="AD151" s="2"/>
      <c r="AE151" s="2">
        <f t="shared" si="9"/>
        <v>951.2</v>
      </c>
      <c r="AF151" s="2"/>
      <c r="AG151" s="5">
        <f t="shared" si="17"/>
        <v>1.4614259887966335E-2</v>
      </c>
      <c r="AH151" s="13">
        <v>45526</v>
      </c>
      <c r="AI151" s="2">
        <v>762.8</v>
      </c>
      <c r="AJ151" s="2"/>
      <c r="AK151" s="2"/>
      <c r="AL151" s="2"/>
      <c r="AM151" s="2">
        <f t="shared" si="10"/>
        <v>762.8</v>
      </c>
      <c r="AN151" s="2"/>
      <c r="AO151" s="5">
        <f t="shared" si="18"/>
        <v>2.9670240018410371E-2</v>
      </c>
      <c r="AP151" s="13">
        <v>45526</v>
      </c>
      <c r="AQ151" s="11">
        <v>613</v>
      </c>
      <c r="AR151" s="2"/>
      <c r="AS151" s="2"/>
      <c r="AT151" s="2"/>
      <c r="AU151" s="11">
        <f t="shared" si="11"/>
        <v>613</v>
      </c>
      <c r="AV151" s="2"/>
      <c r="AW151" s="5">
        <f t="shared" si="19"/>
        <v>1.7941391465809309E-2</v>
      </c>
      <c r="AX151" s="13">
        <v>45526</v>
      </c>
      <c r="AY151" s="2">
        <v>28</v>
      </c>
      <c r="AZ151" s="2"/>
      <c r="BA151" s="2"/>
      <c r="BB151" s="2"/>
      <c r="BC151" s="2">
        <f t="shared" si="12"/>
        <v>28</v>
      </c>
      <c r="BD151" s="2"/>
      <c r="BE151" s="5">
        <f t="shared" si="20"/>
        <v>7.168489478612497E-3</v>
      </c>
      <c r="BF151" s="13">
        <v>45526</v>
      </c>
      <c r="BG151" s="2">
        <v>178.6</v>
      </c>
      <c r="BH151" s="2"/>
      <c r="BI151" s="2"/>
      <c r="BJ151" s="2"/>
      <c r="BK151" s="2">
        <f t="shared" si="13"/>
        <v>178.6</v>
      </c>
      <c r="BL151" s="2"/>
      <c r="BM151" s="5">
        <f t="shared" si="22"/>
        <v>9.3240654217406668E-2</v>
      </c>
    </row>
    <row r="152" spans="1:65" ht="15.75" customHeight="1" x14ac:dyDescent="0.35">
      <c r="A152" s="675"/>
      <c r="B152" s="13">
        <v>45529</v>
      </c>
      <c r="C152" s="2">
        <v>14.5</v>
      </c>
      <c r="D152" s="2"/>
      <c r="E152" s="2"/>
      <c r="F152" s="2"/>
      <c r="G152" s="11">
        <f t="shared" si="14"/>
        <v>14.5</v>
      </c>
      <c r="H152" s="2"/>
      <c r="I152" s="5">
        <f t="shared" si="21"/>
        <v>3.5091319811270193E-2</v>
      </c>
      <c r="J152" s="13">
        <v>45529</v>
      </c>
      <c r="K152" s="2">
        <v>39</v>
      </c>
      <c r="L152" s="2"/>
      <c r="M152" s="2"/>
      <c r="N152" s="2"/>
      <c r="O152" s="11">
        <f t="shared" si="7"/>
        <v>39</v>
      </c>
      <c r="P152" s="2"/>
      <c r="Q152" s="5">
        <f t="shared" si="15"/>
        <v>1.2903404835907782E-2</v>
      </c>
      <c r="R152" s="13">
        <v>45529</v>
      </c>
      <c r="S152" s="2">
        <v>336.8</v>
      </c>
      <c r="T152" s="2"/>
      <c r="U152" s="2"/>
      <c r="V152" s="2"/>
      <c r="W152" s="11">
        <f t="shared" si="8"/>
        <v>336.8</v>
      </c>
      <c r="X152" s="2"/>
      <c r="Y152" s="5">
        <f t="shared" si="16"/>
        <v>-2.7527360373937132E-2</v>
      </c>
      <c r="Z152" s="13">
        <v>45529</v>
      </c>
      <c r="AA152" s="2">
        <v>951.4</v>
      </c>
      <c r="AB152" s="2"/>
      <c r="AC152" s="2"/>
      <c r="AD152" s="2"/>
      <c r="AE152" s="2">
        <f t="shared" si="9"/>
        <v>951.4</v>
      </c>
      <c r="AF152" s="2"/>
      <c r="AG152" s="5">
        <f t="shared" si="17"/>
        <v>2.1023862160891648E-4</v>
      </c>
      <c r="AH152" s="13">
        <v>45529</v>
      </c>
      <c r="AI152" s="2">
        <v>754.9</v>
      </c>
      <c r="AJ152" s="2"/>
      <c r="AK152" s="2"/>
      <c r="AL152" s="2"/>
      <c r="AM152" s="2">
        <f t="shared" si="10"/>
        <v>754.9</v>
      </c>
      <c r="AN152" s="2"/>
      <c r="AO152" s="5">
        <f t="shared" si="18"/>
        <v>-1.0410583580684805E-2</v>
      </c>
      <c r="AP152" s="13">
        <v>45529</v>
      </c>
      <c r="AQ152" s="11">
        <v>631.20000000000005</v>
      </c>
      <c r="AR152" s="2"/>
      <c r="AS152" s="2"/>
      <c r="AT152" s="2"/>
      <c r="AU152" s="11">
        <f t="shared" si="11"/>
        <v>631.20000000000005</v>
      </c>
      <c r="AV152" s="2"/>
      <c r="AW152" s="5">
        <f t="shared" si="19"/>
        <v>2.9257833595453198E-2</v>
      </c>
      <c r="AX152" s="13">
        <v>45529</v>
      </c>
      <c r="AY152" s="2">
        <v>27.4</v>
      </c>
      <c r="AZ152" s="2"/>
      <c r="BA152" s="2"/>
      <c r="BB152" s="2"/>
      <c r="BC152" s="2">
        <f t="shared" si="12"/>
        <v>27.4</v>
      </c>
      <c r="BD152" s="2"/>
      <c r="BE152" s="5">
        <f t="shared" si="20"/>
        <v>-2.1661496781179419E-2</v>
      </c>
      <c r="BF152" s="13">
        <v>45529</v>
      </c>
      <c r="BG152" s="2">
        <v>187.3</v>
      </c>
      <c r="BH152" s="2"/>
      <c r="BI152" s="2"/>
      <c r="BJ152" s="2"/>
      <c r="BK152" s="2">
        <f t="shared" si="13"/>
        <v>187.3</v>
      </c>
      <c r="BL152" s="2"/>
      <c r="BM152" s="5">
        <f t="shared" si="22"/>
        <v>4.7562941007644313E-2</v>
      </c>
    </row>
    <row r="153" spans="1:65" ht="15.75" customHeight="1" x14ac:dyDescent="0.35">
      <c r="A153" s="675"/>
      <c r="B153" s="13">
        <v>45531</v>
      </c>
      <c r="C153" s="2">
        <v>14.1</v>
      </c>
      <c r="D153" s="2"/>
      <c r="E153" s="2"/>
      <c r="F153" s="2"/>
      <c r="G153" s="11">
        <f t="shared" si="14"/>
        <v>14.1</v>
      </c>
      <c r="H153" s="2"/>
      <c r="I153" s="5">
        <f t="shared" si="21"/>
        <v>-2.797385204240618E-2</v>
      </c>
      <c r="J153" s="13">
        <v>45531</v>
      </c>
      <c r="K153" s="2">
        <v>39.200000000000003</v>
      </c>
      <c r="L153" s="2"/>
      <c r="M153" s="2"/>
      <c r="N153" s="2"/>
      <c r="O153" s="11">
        <f t="shared" si="7"/>
        <v>39.200000000000003</v>
      </c>
      <c r="P153" s="2"/>
      <c r="Q153" s="5">
        <f t="shared" si="15"/>
        <v>5.1151006667704089E-3</v>
      </c>
      <c r="R153" s="13">
        <v>45531</v>
      </c>
      <c r="S153" s="2">
        <v>329.8</v>
      </c>
      <c r="T153" s="2"/>
      <c r="U153" s="2"/>
      <c r="V153" s="2"/>
      <c r="W153" s="11">
        <f t="shared" si="8"/>
        <v>329.8</v>
      </c>
      <c r="X153" s="2"/>
      <c r="Y153" s="5">
        <f t="shared" si="16"/>
        <v>-2.1002872242673148E-2</v>
      </c>
      <c r="Z153" s="13">
        <v>45531</v>
      </c>
      <c r="AA153" s="2">
        <v>951</v>
      </c>
      <c r="AB153" s="2"/>
      <c r="AC153" s="2"/>
      <c r="AD153" s="2"/>
      <c r="AE153" s="2">
        <f t="shared" si="9"/>
        <v>951</v>
      </c>
      <c r="AF153" s="2"/>
      <c r="AG153" s="5">
        <f t="shared" si="17"/>
        <v>-4.2052145279083172E-4</v>
      </c>
      <c r="AH153" s="13">
        <v>45531</v>
      </c>
      <c r="AI153" s="2">
        <v>747.9</v>
      </c>
      <c r="AJ153" s="2"/>
      <c r="AK153" s="2"/>
      <c r="AL153" s="2"/>
      <c r="AM153" s="2">
        <f t="shared" si="10"/>
        <v>747.9</v>
      </c>
      <c r="AN153" s="2"/>
      <c r="AO153" s="5">
        <f t="shared" si="18"/>
        <v>-9.3160109479572418E-3</v>
      </c>
      <c r="AP153" s="13">
        <v>45531</v>
      </c>
      <c r="AQ153" s="11">
        <v>634</v>
      </c>
      <c r="AR153" s="2"/>
      <c r="AS153" s="2"/>
      <c r="AT153" s="2"/>
      <c r="AU153" s="11">
        <f t="shared" si="11"/>
        <v>634</v>
      </c>
      <c r="AV153" s="2"/>
      <c r="AW153" s="5">
        <f t="shared" si="19"/>
        <v>4.4261849055613825E-3</v>
      </c>
      <c r="AX153" s="13">
        <v>45531</v>
      </c>
      <c r="AY153" s="2">
        <v>27.4</v>
      </c>
      <c r="AZ153" s="2"/>
      <c r="BA153" s="2"/>
      <c r="BB153" s="2"/>
      <c r="BC153" s="2">
        <f t="shared" si="12"/>
        <v>27.4</v>
      </c>
      <c r="BD153" s="2"/>
      <c r="BE153" s="5">
        <f t="shared" si="20"/>
        <v>0</v>
      </c>
      <c r="BF153" s="13">
        <v>45531</v>
      </c>
      <c r="BG153" s="2">
        <v>186.9</v>
      </c>
      <c r="BH153" s="2"/>
      <c r="BI153" s="2"/>
      <c r="BJ153" s="2"/>
      <c r="BK153" s="2">
        <f t="shared" si="13"/>
        <v>186.9</v>
      </c>
      <c r="BL153" s="2"/>
      <c r="BM153" s="5">
        <f t="shared" si="22"/>
        <v>-2.1378949885257608E-3</v>
      </c>
    </row>
    <row r="154" spans="1:65" ht="15.75" customHeight="1" x14ac:dyDescent="0.35">
      <c r="A154" s="675"/>
      <c r="B154" s="13">
        <v>45532</v>
      </c>
      <c r="C154" s="2">
        <v>13.7</v>
      </c>
      <c r="D154" s="2"/>
      <c r="E154" s="2"/>
      <c r="F154" s="2"/>
      <c r="G154" s="11">
        <f t="shared" si="14"/>
        <v>13.7</v>
      </c>
      <c r="H154" s="2"/>
      <c r="I154" s="5">
        <f t="shared" si="21"/>
        <v>-2.8778964550043404E-2</v>
      </c>
      <c r="J154" s="13">
        <v>45532</v>
      </c>
      <c r="K154" s="2">
        <v>39.200000000000003</v>
      </c>
      <c r="L154" s="2"/>
      <c r="M154" s="2"/>
      <c r="N154" s="2"/>
      <c r="O154" s="11">
        <f t="shared" si="7"/>
        <v>39.200000000000003</v>
      </c>
      <c r="P154" s="2"/>
      <c r="Q154" s="5">
        <f t="shared" si="15"/>
        <v>0</v>
      </c>
      <c r="R154" s="13">
        <v>45532</v>
      </c>
      <c r="S154" s="2">
        <v>348.9</v>
      </c>
      <c r="T154" s="2"/>
      <c r="U154" s="2"/>
      <c r="V154" s="2"/>
      <c r="W154" s="11">
        <f t="shared" si="8"/>
        <v>348.9</v>
      </c>
      <c r="X154" s="2"/>
      <c r="Y154" s="5">
        <f t="shared" si="16"/>
        <v>5.6298938067229708E-2</v>
      </c>
      <c r="Z154" s="13">
        <v>45532</v>
      </c>
      <c r="AA154" s="2">
        <v>940</v>
      </c>
      <c r="AB154" s="2"/>
      <c r="AC154" s="2"/>
      <c r="AD154" s="2"/>
      <c r="AE154" s="2">
        <f t="shared" si="9"/>
        <v>940</v>
      </c>
      <c r="AF154" s="2"/>
      <c r="AG154" s="5">
        <f t="shared" si="17"/>
        <v>-1.1634187281340766E-2</v>
      </c>
      <c r="AH154" s="13">
        <v>45532</v>
      </c>
      <c r="AI154" s="2">
        <v>762</v>
      </c>
      <c r="AJ154" s="2"/>
      <c r="AK154" s="2"/>
      <c r="AL154" s="2"/>
      <c r="AM154" s="2">
        <f t="shared" si="10"/>
        <v>762</v>
      </c>
      <c r="AN154" s="2"/>
      <c r="AO154" s="5">
        <f t="shared" si="18"/>
        <v>1.8677276489024404E-2</v>
      </c>
      <c r="AP154" s="13">
        <v>45532</v>
      </c>
      <c r="AQ154" s="11">
        <v>672.9</v>
      </c>
      <c r="AR154" s="2"/>
      <c r="AS154" s="2"/>
      <c r="AT154" s="2"/>
      <c r="AU154" s="11">
        <f t="shared" si="11"/>
        <v>672.9</v>
      </c>
      <c r="AV154" s="2"/>
      <c r="AW154" s="5">
        <f t="shared" si="19"/>
        <v>5.9547775757046291E-2</v>
      </c>
      <c r="AX154" s="13">
        <v>45532</v>
      </c>
      <c r="AY154" s="2">
        <v>28.1</v>
      </c>
      <c r="AZ154" s="2"/>
      <c r="BA154" s="2"/>
      <c r="BB154" s="2"/>
      <c r="BC154" s="2">
        <f t="shared" si="12"/>
        <v>28.1</v>
      </c>
      <c r="BD154" s="2"/>
      <c r="BE154" s="5">
        <f t="shared" si="20"/>
        <v>2.5226562945675563E-2</v>
      </c>
      <c r="BF154" s="13">
        <v>45532</v>
      </c>
      <c r="BG154" s="2">
        <v>194.5</v>
      </c>
      <c r="BH154" s="2"/>
      <c r="BI154" s="2"/>
      <c r="BJ154" s="2"/>
      <c r="BK154" s="2">
        <f t="shared" si="13"/>
        <v>194.5</v>
      </c>
      <c r="BL154" s="2"/>
      <c r="BM154" s="5">
        <f t="shared" si="22"/>
        <v>3.9858448596983898E-2</v>
      </c>
    </row>
    <row r="155" spans="1:65" ht="15.75" customHeight="1" x14ac:dyDescent="0.35">
      <c r="A155" s="675"/>
      <c r="B155" s="13">
        <v>45533</v>
      </c>
      <c r="C155" s="2">
        <v>13.5</v>
      </c>
      <c r="D155" s="2"/>
      <c r="E155" s="2"/>
      <c r="F155" s="2"/>
      <c r="G155" s="11">
        <f t="shared" si="14"/>
        <v>13.5</v>
      </c>
      <c r="H155" s="2"/>
      <c r="I155" s="5">
        <f t="shared" si="21"/>
        <v>-1.4706147389695449E-2</v>
      </c>
      <c r="J155" s="13">
        <v>45533</v>
      </c>
      <c r="K155" s="2">
        <v>39.9</v>
      </c>
      <c r="L155" s="2"/>
      <c r="M155" s="2"/>
      <c r="N155" s="2"/>
      <c r="O155" s="11">
        <f t="shared" si="7"/>
        <v>39.9</v>
      </c>
      <c r="P155" s="2"/>
      <c r="Q155" s="5">
        <f t="shared" si="15"/>
        <v>1.7699577099400857E-2</v>
      </c>
      <c r="R155" s="13">
        <v>45533</v>
      </c>
      <c r="S155" s="2">
        <v>344</v>
      </c>
      <c r="T155" s="2"/>
      <c r="U155" s="2"/>
      <c r="V155" s="2"/>
      <c r="W155" s="11">
        <f t="shared" si="8"/>
        <v>344</v>
      </c>
      <c r="X155" s="2"/>
      <c r="Y155" s="5">
        <f t="shared" si="16"/>
        <v>-1.4143690819330061E-2</v>
      </c>
      <c r="Z155" s="13">
        <v>45533</v>
      </c>
      <c r="AA155" s="2">
        <v>950.8</v>
      </c>
      <c r="AB155" s="2"/>
      <c r="AC155" s="2"/>
      <c r="AD155" s="2"/>
      <c r="AE155" s="2">
        <f t="shared" si="9"/>
        <v>950.8</v>
      </c>
      <c r="AF155" s="2"/>
      <c r="AG155" s="5">
        <f t="shared" si="17"/>
        <v>1.1423860221989284E-2</v>
      </c>
      <c r="AH155" s="13">
        <v>45533</v>
      </c>
      <c r="AI155" s="2">
        <v>761.1</v>
      </c>
      <c r="AJ155" s="2"/>
      <c r="AK155" s="2"/>
      <c r="AL155" s="2"/>
      <c r="AM155" s="2">
        <f t="shared" si="10"/>
        <v>761.1</v>
      </c>
      <c r="AN155" s="2"/>
      <c r="AO155" s="5">
        <f t="shared" si="18"/>
        <v>-1.1818004133003681E-3</v>
      </c>
      <c r="AP155" s="13">
        <v>45533</v>
      </c>
      <c r="AQ155" s="11">
        <v>696.9</v>
      </c>
      <c r="AR155" s="2"/>
      <c r="AS155" s="2"/>
      <c r="AT155" s="2"/>
      <c r="AU155" s="11">
        <f t="shared" si="11"/>
        <v>696.9</v>
      </c>
      <c r="AV155" s="2"/>
      <c r="AW155" s="5">
        <f t="shared" si="19"/>
        <v>3.504519825020088E-2</v>
      </c>
      <c r="AX155" s="13">
        <v>45533</v>
      </c>
      <c r="AY155" s="2">
        <v>29.3</v>
      </c>
      <c r="AZ155" s="2"/>
      <c r="BA155" s="2"/>
      <c r="BB155" s="2"/>
      <c r="BC155" s="2">
        <f t="shared" si="12"/>
        <v>29.3</v>
      </c>
      <c r="BD155" s="2"/>
      <c r="BE155" s="5">
        <f t="shared" si="20"/>
        <v>4.1817939683321412E-2</v>
      </c>
      <c r="BF155" s="13">
        <v>45533</v>
      </c>
      <c r="BG155" s="2">
        <v>201.1</v>
      </c>
      <c r="BH155" s="2"/>
      <c r="BI155" s="2"/>
      <c r="BJ155" s="2"/>
      <c r="BK155" s="2">
        <f t="shared" si="13"/>
        <v>201.1</v>
      </c>
      <c r="BL155" s="2"/>
      <c r="BM155" s="5">
        <f t="shared" si="22"/>
        <v>3.3370133720105402E-2</v>
      </c>
    </row>
    <row r="156" spans="1:65" ht="15.75" customHeight="1" x14ac:dyDescent="0.35">
      <c r="A156" s="675"/>
      <c r="B156" s="13">
        <v>45536</v>
      </c>
      <c r="C156" s="2">
        <v>12.8</v>
      </c>
      <c r="D156" s="2"/>
      <c r="E156" s="2"/>
      <c r="F156" s="2"/>
      <c r="G156" s="11">
        <f t="shared" si="14"/>
        <v>12.8</v>
      </c>
      <c r="H156" s="2"/>
      <c r="I156" s="5">
        <f t="shared" si="21"/>
        <v>-5.3244514518812243E-2</v>
      </c>
      <c r="J156" s="13">
        <v>45536</v>
      </c>
      <c r="K156" s="2">
        <v>40.6</v>
      </c>
      <c r="L156" s="2"/>
      <c r="M156" s="2"/>
      <c r="N156" s="2"/>
      <c r="O156" s="11">
        <f t="shared" si="7"/>
        <v>40.6</v>
      </c>
      <c r="P156" s="2"/>
      <c r="Q156" s="5">
        <f t="shared" si="15"/>
        <v>1.7391742711869239E-2</v>
      </c>
      <c r="R156" s="13">
        <v>45536</v>
      </c>
      <c r="S156" s="2">
        <v>343.1</v>
      </c>
      <c r="T156" s="2"/>
      <c r="U156" s="2"/>
      <c r="V156" s="2"/>
      <c r="W156" s="11">
        <f t="shared" si="8"/>
        <v>343.1</v>
      </c>
      <c r="X156" s="2"/>
      <c r="Y156" s="5">
        <f t="shared" si="16"/>
        <v>-2.6197075089942354E-3</v>
      </c>
      <c r="Z156" s="13">
        <v>45536</v>
      </c>
      <c r="AA156" s="2">
        <v>940.1</v>
      </c>
      <c r="AB156" s="2"/>
      <c r="AC156" s="2"/>
      <c r="AD156" s="2"/>
      <c r="AE156" s="2">
        <f t="shared" si="9"/>
        <v>940.1</v>
      </c>
      <c r="AF156" s="2"/>
      <c r="AG156" s="5">
        <f t="shared" si="17"/>
        <v>-1.1317482901533615E-2</v>
      </c>
      <c r="AH156" s="13">
        <v>45536</v>
      </c>
      <c r="AI156" s="2">
        <v>769</v>
      </c>
      <c r="AJ156" s="2"/>
      <c r="AK156" s="2"/>
      <c r="AL156" s="2"/>
      <c r="AM156" s="2">
        <f t="shared" si="10"/>
        <v>769</v>
      </c>
      <c r="AN156" s="2"/>
      <c r="AO156" s="5">
        <f t="shared" si="18"/>
        <v>1.0326214232297995E-2</v>
      </c>
      <c r="AP156" s="13">
        <v>45536</v>
      </c>
      <c r="AQ156" s="11">
        <v>699.8</v>
      </c>
      <c r="AR156" s="2"/>
      <c r="AS156" s="2"/>
      <c r="AT156" s="2"/>
      <c r="AU156" s="11">
        <f t="shared" si="11"/>
        <v>699.8</v>
      </c>
      <c r="AV156" s="2"/>
      <c r="AW156" s="5">
        <f t="shared" si="19"/>
        <v>4.1526514891144428E-3</v>
      </c>
      <c r="AX156" s="13">
        <v>45536</v>
      </c>
      <c r="AY156" s="2">
        <v>29.4</v>
      </c>
      <c r="AZ156" s="2"/>
      <c r="BA156" s="2"/>
      <c r="BB156" s="2"/>
      <c r="BC156" s="2">
        <f t="shared" si="12"/>
        <v>29.4</v>
      </c>
      <c r="BD156" s="2"/>
      <c r="BE156" s="5">
        <f t="shared" si="20"/>
        <v>3.4071583216141346E-3</v>
      </c>
      <c r="BF156" s="13">
        <v>45536</v>
      </c>
      <c r="BG156" s="2">
        <v>207.2</v>
      </c>
      <c r="BH156" s="2"/>
      <c r="BI156" s="2"/>
      <c r="BJ156" s="2"/>
      <c r="BK156" s="2">
        <f t="shared" si="13"/>
        <v>207.2</v>
      </c>
      <c r="BL156" s="2"/>
      <c r="BM156" s="5">
        <f t="shared" si="22"/>
        <v>2.9882213606721553E-2</v>
      </c>
    </row>
    <row r="157" spans="1:65" ht="15.75" customHeight="1" x14ac:dyDescent="0.35">
      <c r="A157" s="675"/>
      <c r="B157" s="13">
        <v>45537</v>
      </c>
      <c r="C157" s="2">
        <v>13.2</v>
      </c>
      <c r="D157" s="2"/>
      <c r="E157" s="2"/>
      <c r="F157" s="2"/>
      <c r="G157" s="11">
        <f t="shared" si="14"/>
        <v>13.2</v>
      </c>
      <c r="H157" s="2"/>
      <c r="I157" s="5">
        <f t="shared" si="21"/>
        <v>3.0771658666753472E-2</v>
      </c>
      <c r="J157" s="13">
        <v>45537</v>
      </c>
      <c r="K157" s="2">
        <v>39.700000000000003</v>
      </c>
      <c r="L157" s="2"/>
      <c r="M157" s="2"/>
      <c r="N157" s="2"/>
      <c r="O157" s="11">
        <f t="shared" si="7"/>
        <v>39.700000000000003</v>
      </c>
      <c r="P157" s="2"/>
      <c r="Q157" s="5">
        <f t="shared" si="15"/>
        <v>-2.2416878914542145E-2</v>
      </c>
      <c r="R157" s="13">
        <v>45537</v>
      </c>
      <c r="S157" s="2">
        <v>342.9</v>
      </c>
      <c r="T157" s="2"/>
      <c r="U157" s="2"/>
      <c r="V157" s="2"/>
      <c r="W157" s="11">
        <f t="shared" si="8"/>
        <v>342.9</v>
      </c>
      <c r="X157" s="2"/>
      <c r="Y157" s="5">
        <f t="shared" si="16"/>
        <v>-5.8309039552946083E-4</v>
      </c>
      <c r="Z157" s="13">
        <v>45537</v>
      </c>
      <c r="AA157" s="2">
        <v>939.2</v>
      </c>
      <c r="AB157" s="2"/>
      <c r="AC157" s="2"/>
      <c r="AD157" s="2"/>
      <c r="AE157" s="2">
        <f t="shared" si="9"/>
        <v>939.2</v>
      </c>
      <c r="AF157" s="2"/>
      <c r="AG157" s="5">
        <f t="shared" si="17"/>
        <v>-9.5780351067321543E-4</v>
      </c>
      <c r="AH157" s="13">
        <v>45537</v>
      </c>
      <c r="AI157" s="2">
        <v>770.2</v>
      </c>
      <c r="AJ157" s="2"/>
      <c r="AK157" s="2"/>
      <c r="AL157" s="2"/>
      <c r="AM157" s="2">
        <f t="shared" si="10"/>
        <v>770.2</v>
      </c>
      <c r="AN157" s="2"/>
      <c r="AO157" s="5">
        <f t="shared" si="18"/>
        <v>1.5592518751646038E-3</v>
      </c>
      <c r="AP157" s="13">
        <v>45537</v>
      </c>
      <c r="AQ157" s="11">
        <v>705.8</v>
      </c>
      <c r="AR157" s="2"/>
      <c r="AS157" s="2"/>
      <c r="AT157" s="2"/>
      <c r="AU157" s="11">
        <f t="shared" si="11"/>
        <v>705.8</v>
      </c>
      <c r="AV157" s="2"/>
      <c r="AW157" s="5">
        <f t="shared" si="19"/>
        <v>8.5373313075820158E-3</v>
      </c>
      <c r="AX157" s="13">
        <v>45537</v>
      </c>
      <c r="AY157" s="2">
        <v>28.6</v>
      </c>
      <c r="AZ157" s="2"/>
      <c r="BA157" s="2"/>
      <c r="BB157" s="2"/>
      <c r="BC157" s="2">
        <f t="shared" si="12"/>
        <v>28.6</v>
      </c>
      <c r="BD157" s="2"/>
      <c r="BE157" s="5">
        <f t="shared" si="20"/>
        <v>-2.7587956518828938E-2</v>
      </c>
      <c r="BF157" s="13">
        <v>45537</v>
      </c>
      <c r="BG157" s="2">
        <v>201.4</v>
      </c>
      <c r="BH157" s="2"/>
      <c r="BI157" s="2"/>
      <c r="BJ157" s="2"/>
      <c r="BK157" s="2">
        <f t="shared" si="13"/>
        <v>201.4</v>
      </c>
      <c r="BL157" s="2"/>
      <c r="BM157" s="5">
        <f t="shared" si="22"/>
        <v>-2.839153010086596E-2</v>
      </c>
    </row>
    <row r="158" spans="1:65" ht="15.75" customHeight="1" x14ac:dyDescent="0.35">
      <c r="A158" s="675"/>
      <c r="B158" s="13">
        <v>45538</v>
      </c>
      <c r="C158" s="2">
        <v>12.9</v>
      </c>
      <c r="D158" s="2"/>
      <c r="E158" s="2"/>
      <c r="F158" s="2"/>
      <c r="G158" s="11">
        <f t="shared" si="14"/>
        <v>12.9</v>
      </c>
      <c r="H158" s="2"/>
      <c r="I158" s="5">
        <f t="shared" si="21"/>
        <v>-2.2989518224698604E-2</v>
      </c>
      <c r="J158" s="13">
        <v>45538</v>
      </c>
      <c r="K158" s="2">
        <v>39.5</v>
      </c>
      <c r="L158" s="2"/>
      <c r="M158" s="2"/>
      <c r="N158" s="2"/>
      <c r="O158" s="11">
        <f t="shared" si="7"/>
        <v>39.5</v>
      </c>
      <c r="P158" s="2"/>
      <c r="Q158" s="5">
        <f t="shared" si="15"/>
        <v>-5.0505157860685915E-3</v>
      </c>
      <c r="R158" s="13">
        <v>45538</v>
      </c>
      <c r="S158" s="2">
        <v>343.4</v>
      </c>
      <c r="T158" s="2"/>
      <c r="U158" s="2"/>
      <c r="V158" s="2"/>
      <c r="W158" s="11">
        <f t="shared" si="8"/>
        <v>343.4</v>
      </c>
      <c r="X158" s="2"/>
      <c r="Y158" s="5">
        <f t="shared" si="16"/>
        <v>1.4570889945004579E-3</v>
      </c>
      <c r="Z158" s="13">
        <v>45538</v>
      </c>
      <c r="AA158" s="2">
        <v>942.3</v>
      </c>
      <c r="AB158" s="2"/>
      <c r="AC158" s="2"/>
      <c r="AD158" s="2"/>
      <c r="AE158" s="2">
        <f t="shared" si="9"/>
        <v>942.3</v>
      </c>
      <c r="AF158" s="2"/>
      <c r="AG158" s="5">
        <f t="shared" si="17"/>
        <v>3.2952461388784781E-3</v>
      </c>
      <c r="AH158" s="13">
        <v>45538</v>
      </c>
      <c r="AI158" s="2">
        <v>809.7</v>
      </c>
      <c r="AJ158" s="2"/>
      <c r="AK158" s="2"/>
      <c r="AL158" s="2"/>
      <c r="AM158" s="2">
        <f t="shared" si="10"/>
        <v>809.7</v>
      </c>
      <c r="AN158" s="2"/>
      <c r="AO158" s="5">
        <f t="shared" si="18"/>
        <v>5.0013587311260072E-2</v>
      </c>
      <c r="AP158" s="13">
        <v>45538</v>
      </c>
      <c r="AQ158" s="11">
        <v>729.1</v>
      </c>
      <c r="AR158" s="2"/>
      <c r="AS158" s="2"/>
      <c r="AT158" s="2"/>
      <c r="AU158" s="11">
        <f t="shared" si="11"/>
        <v>729.1</v>
      </c>
      <c r="AV158" s="2"/>
      <c r="AW158" s="5">
        <f t="shared" si="19"/>
        <v>3.2478985571214952E-2</v>
      </c>
      <c r="AX158" s="13">
        <v>45538</v>
      </c>
      <c r="AY158" s="2">
        <v>28.9</v>
      </c>
      <c r="AZ158" s="2"/>
      <c r="BA158" s="2"/>
      <c r="BB158" s="2"/>
      <c r="BC158" s="2">
        <f t="shared" si="12"/>
        <v>28.9</v>
      </c>
      <c r="BD158" s="2"/>
      <c r="BE158" s="5">
        <f t="shared" si="20"/>
        <v>1.0434877292579494E-2</v>
      </c>
      <c r="BF158" s="13">
        <v>45538</v>
      </c>
      <c r="BG158" s="2">
        <v>203.5</v>
      </c>
      <c r="BH158" s="2"/>
      <c r="BI158" s="2"/>
      <c r="BJ158" s="2"/>
      <c r="BK158" s="2">
        <f t="shared" si="13"/>
        <v>203.5</v>
      </c>
      <c r="BL158" s="2"/>
      <c r="BM158" s="5">
        <f t="shared" si="22"/>
        <v>1.0373024598187659E-2</v>
      </c>
    </row>
    <row r="159" spans="1:65" ht="15.75" customHeight="1" x14ac:dyDescent="0.35">
      <c r="A159" s="675"/>
      <c r="B159" s="13">
        <v>45539</v>
      </c>
      <c r="C159" s="2">
        <v>12.2</v>
      </c>
      <c r="D159" s="2"/>
      <c r="E159" s="2"/>
      <c r="F159" s="2"/>
      <c r="G159" s="11">
        <f t="shared" si="14"/>
        <v>12.2</v>
      </c>
      <c r="H159" s="2"/>
      <c r="I159" s="5">
        <f t="shared" si="21"/>
        <v>-5.5791359628415658E-2</v>
      </c>
      <c r="J159" s="13">
        <v>45539</v>
      </c>
      <c r="K159" s="2">
        <v>39</v>
      </c>
      <c r="L159" s="2"/>
      <c r="M159" s="2"/>
      <c r="N159" s="2"/>
      <c r="O159" s="11">
        <f t="shared" si="7"/>
        <v>39</v>
      </c>
      <c r="P159" s="2"/>
      <c r="Q159" s="5">
        <f t="shared" si="15"/>
        <v>-1.2739025777429714E-2</v>
      </c>
      <c r="R159" s="13">
        <v>45539</v>
      </c>
      <c r="S159" s="2">
        <v>340.3</v>
      </c>
      <c r="T159" s="2"/>
      <c r="U159" s="2"/>
      <c r="V159" s="2"/>
      <c r="W159" s="11">
        <f t="shared" si="8"/>
        <v>340.3</v>
      </c>
      <c r="X159" s="2"/>
      <c r="Y159" s="5">
        <f t="shared" si="16"/>
        <v>-9.0683669565150612E-3</v>
      </c>
      <c r="Z159" s="13">
        <v>45539</v>
      </c>
      <c r="AA159" s="2">
        <v>940</v>
      </c>
      <c r="AB159" s="2"/>
      <c r="AC159" s="2"/>
      <c r="AD159" s="2"/>
      <c r="AE159" s="2">
        <f t="shared" si="9"/>
        <v>940</v>
      </c>
      <c r="AF159" s="2"/>
      <c r="AG159" s="5">
        <f t="shared" si="17"/>
        <v>-2.4438199486608897E-3</v>
      </c>
      <c r="AH159" s="13">
        <v>45539</v>
      </c>
      <c r="AI159" s="2">
        <v>796.1</v>
      </c>
      <c r="AJ159" s="2"/>
      <c r="AK159" s="2"/>
      <c r="AL159" s="2"/>
      <c r="AM159" s="2">
        <f t="shared" si="10"/>
        <v>796.1</v>
      </c>
      <c r="AN159" s="2"/>
      <c r="AO159" s="5">
        <f t="shared" si="18"/>
        <v>-1.6939002597536213E-2</v>
      </c>
      <c r="AP159" s="13">
        <v>45539</v>
      </c>
      <c r="AQ159" s="11">
        <v>709</v>
      </c>
      <c r="AR159" s="2"/>
      <c r="AS159" s="2"/>
      <c r="AT159" s="2"/>
      <c r="AU159" s="11">
        <f t="shared" si="11"/>
        <v>709</v>
      </c>
      <c r="AV159" s="2"/>
      <c r="AW159" s="5">
        <f t="shared" si="19"/>
        <v>-2.795537028025713E-2</v>
      </c>
      <c r="AX159" s="13">
        <v>45539</v>
      </c>
      <c r="AY159" s="2">
        <v>28.5</v>
      </c>
      <c r="AZ159" s="2"/>
      <c r="BA159" s="2"/>
      <c r="BB159" s="2"/>
      <c r="BC159" s="2">
        <f t="shared" si="12"/>
        <v>28.5</v>
      </c>
      <c r="BD159" s="2"/>
      <c r="BE159" s="5">
        <f t="shared" si="20"/>
        <v>-1.3937507843781624E-2</v>
      </c>
      <c r="BF159" s="13">
        <v>45539</v>
      </c>
      <c r="BG159" s="2">
        <v>197.5</v>
      </c>
      <c r="BH159" s="2"/>
      <c r="BI159" s="2"/>
      <c r="BJ159" s="2"/>
      <c r="BK159" s="2">
        <f t="shared" si="13"/>
        <v>197.5</v>
      </c>
      <c r="BL159" s="2"/>
      <c r="BM159" s="5">
        <f t="shared" si="22"/>
        <v>-2.9927420541473144E-2</v>
      </c>
    </row>
    <row r="160" spans="1:65" ht="15.75" customHeight="1" x14ac:dyDescent="0.35">
      <c r="A160" s="675"/>
      <c r="B160" s="13">
        <v>45540</v>
      </c>
      <c r="C160" s="2">
        <v>12.3</v>
      </c>
      <c r="D160" s="2"/>
      <c r="E160" s="2"/>
      <c r="F160" s="2"/>
      <c r="G160" s="11">
        <f t="shared" si="14"/>
        <v>12.3</v>
      </c>
      <c r="H160" s="2"/>
      <c r="I160" s="5">
        <f t="shared" si="21"/>
        <v>8.1633106391610557E-3</v>
      </c>
      <c r="J160" s="13">
        <v>45540</v>
      </c>
      <c r="K160" s="2">
        <v>38.700000000000003</v>
      </c>
      <c r="L160" s="2"/>
      <c r="M160" s="2"/>
      <c r="N160" s="2"/>
      <c r="O160" s="11">
        <f t="shared" si="7"/>
        <v>38.700000000000003</v>
      </c>
      <c r="P160" s="2"/>
      <c r="Q160" s="5">
        <f t="shared" si="15"/>
        <v>-7.7220460939102778E-3</v>
      </c>
      <c r="R160" s="13">
        <v>45540</v>
      </c>
      <c r="S160" s="2">
        <v>338.4</v>
      </c>
      <c r="T160" s="2"/>
      <c r="U160" s="2"/>
      <c r="V160" s="2"/>
      <c r="W160" s="11">
        <f t="shared" si="8"/>
        <v>338.4</v>
      </c>
      <c r="X160" s="2"/>
      <c r="Y160" s="5">
        <f t="shared" si="16"/>
        <v>-5.5989537747918776E-3</v>
      </c>
      <c r="Z160" s="13">
        <v>45540</v>
      </c>
      <c r="AA160" s="2">
        <v>944.9</v>
      </c>
      <c r="AB160" s="2"/>
      <c r="AC160" s="2"/>
      <c r="AD160" s="2"/>
      <c r="AE160" s="2">
        <f t="shared" si="9"/>
        <v>944.9</v>
      </c>
      <c r="AF160" s="2"/>
      <c r="AG160" s="5">
        <f t="shared" si="17"/>
        <v>5.1992265245306389E-3</v>
      </c>
      <c r="AH160" s="13">
        <v>45540</v>
      </c>
      <c r="AI160" s="2">
        <v>785.5</v>
      </c>
      <c r="AJ160" s="2"/>
      <c r="AK160" s="2"/>
      <c r="AL160" s="2"/>
      <c r="AM160" s="2">
        <f t="shared" si="10"/>
        <v>785.5</v>
      </c>
      <c r="AN160" s="2"/>
      <c r="AO160" s="5">
        <f t="shared" si="18"/>
        <v>-1.3404348398856708E-2</v>
      </c>
      <c r="AP160" s="13">
        <v>45540</v>
      </c>
      <c r="AQ160" s="11">
        <v>675.1</v>
      </c>
      <c r="AR160" s="2"/>
      <c r="AS160" s="2"/>
      <c r="AT160" s="2"/>
      <c r="AU160" s="11">
        <f t="shared" si="11"/>
        <v>675.1</v>
      </c>
      <c r="AV160" s="2"/>
      <c r="AW160" s="5">
        <f t="shared" si="19"/>
        <v>-4.899469848430265E-2</v>
      </c>
      <c r="AX160" s="13">
        <v>45540</v>
      </c>
      <c r="AY160" s="2">
        <v>28.9</v>
      </c>
      <c r="AZ160" s="2"/>
      <c r="BA160" s="2"/>
      <c r="BB160" s="2"/>
      <c r="BC160" s="2">
        <f t="shared" si="12"/>
        <v>28.9</v>
      </c>
      <c r="BD160" s="2"/>
      <c r="BE160" s="5">
        <f t="shared" si="20"/>
        <v>1.3937507843781678E-2</v>
      </c>
      <c r="BF160" s="13">
        <v>45540</v>
      </c>
      <c r="BG160" s="2">
        <v>208.2</v>
      </c>
      <c r="BH160" s="2"/>
      <c r="BI160" s="2"/>
      <c r="BJ160" s="2"/>
      <c r="BK160" s="2">
        <f t="shared" si="13"/>
        <v>208.2</v>
      </c>
      <c r="BL160" s="2"/>
      <c r="BM160" s="5">
        <f t="shared" si="22"/>
        <v>5.2760571839691926E-2</v>
      </c>
    </row>
    <row r="161" spans="1:65" ht="15.75" customHeight="1" x14ac:dyDescent="0.35">
      <c r="A161" s="675"/>
      <c r="B161" s="13">
        <v>45543</v>
      </c>
      <c r="C161" s="2">
        <v>11.6</v>
      </c>
      <c r="D161" s="2"/>
      <c r="E161" s="2"/>
      <c r="F161" s="2"/>
      <c r="G161" s="11">
        <f t="shared" si="14"/>
        <v>11.6</v>
      </c>
      <c r="H161" s="2"/>
      <c r="I161" s="5">
        <f t="shared" si="21"/>
        <v>-5.8594164266052941E-2</v>
      </c>
      <c r="J161" s="13">
        <v>45543</v>
      </c>
      <c r="K161" s="2">
        <v>37.6</v>
      </c>
      <c r="L161" s="2"/>
      <c r="M161" s="2"/>
      <c r="N161" s="2"/>
      <c r="O161" s="11">
        <f t="shared" si="7"/>
        <v>37.6</v>
      </c>
      <c r="P161" s="2"/>
      <c r="Q161" s="5">
        <f t="shared" si="15"/>
        <v>-2.8835549639887381E-2</v>
      </c>
      <c r="R161" s="13">
        <v>45543</v>
      </c>
      <c r="S161" s="2">
        <v>340.1</v>
      </c>
      <c r="T161" s="2"/>
      <c r="U161" s="2"/>
      <c r="V161" s="2"/>
      <c r="W161" s="11">
        <f t="shared" si="8"/>
        <v>340.1</v>
      </c>
      <c r="X161" s="2"/>
      <c r="Y161" s="5">
        <f t="shared" si="16"/>
        <v>5.0110642810816345E-3</v>
      </c>
      <c r="Z161" s="13">
        <v>45543</v>
      </c>
      <c r="AA161" s="2">
        <v>940</v>
      </c>
      <c r="AB161" s="2"/>
      <c r="AC161" s="2"/>
      <c r="AD161" s="2"/>
      <c r="AE161" s="2">
        <f t="shared" si="9"/>
        <v>940</v>
      </c>
      <c r="AF161" s="2"/>
      <c r="AG161" s="5">
        <f t="shared" si="17"/>
        <v>-5.199226524530638E-3</v>
      </c>
      <c r="AH161" s="13">
        <v>45543</v>
      </c>
      <c r="AI161" s="2">
        <v>791.6</v>
      </c>
      <c r="AJ161" s="2"/>
      <c r="AK161" s="2"/>
      <c r="AL161" s="2"/>
      <c r="AM161" s="2">
        <f t="shared" si="10"/>
        <v>791.6</v>
      </c>
      <c r="AN161" s="2"/>
      <c r="AO161" s="5">
        <f t="shared" si="18"/>
        <v>7.7357560327347549E-3</v>
      </c>
      <c r="AP161" s="13">
        <v>45543</v>
      </c>
      <c r="AQ161" s="11">
        <v>655.7</v>
      </c>
      <c r="AR161" s="2"/>
      <c r="AS161" s="2"/>
      <c r="AT161" s="2"/>
      <c r="AU161" s="11">
        <f t="shared" si="11"/>
        <v>655.7</v>
      </c>
      <c r="AV161" s="2"/>
      <c r="AW161" s="5">
        <f t="shared" si="19"/>
        <v>-2.9157460778251078E-2</v>
      </c>
      <c r="AX161" s="13">
        <v>45543</v>
      </c>
      <c r="AY161" s="2">
        <v>28.2</v>
      </c>
      <c r="AZ161" s="2"/>
      <c r="BA161" s="2"/>
      <c r="BB161" s="2"/>
      <c r="BC161" s="2">
        <f t="shared" si="12"/>
        <v>28.2</v>
      </c>
      <c r="BD161" s="2"/>
      <c r="BE161" s="5">
        <f t="shared" si="20"/>
        <v>-2.4519617174318498E-2</v>
      </c>
      <c r="BF161" s="13">
        <v>45543</v>
      </c>
      <c r="BG161" s="2">
        <v>211.1</v>
      </c>
      <c r="BH161" s="2"/>
      <c r="BI161" s="2"/>
      <c r="BJ161" s="2"/>
      <c r="BK161" s="2">
        <f t="shared" si="13"/>
        <v>211.1</v>
      </c>
      <c r="BL161" s="2"/>
      <c r="BM161" s="5">
        <f t="shared" si="22"/>
        <v>1.3832798673406475E-2</v>
      </c>
    </row>
    <row r="162" spans="1:65" ht="15.75" customHeight="1" x14ac:dyDescent="0.35">
      <c r="A162" s="675"/>
      <c r="B162" s="13">
        <v>45544</v>
      </c>
      <c r="C162" s="2">
        <v>10.6</v>
      </c>
      <c r="D162" s="2"/>
      <c r="E162" s="2"/>
      <c r="F162" s="2"/>
      <c r="G162" s="11">
        <f t="shared" si="14"/>
        <v>10.6</v>
      </c>
      <c r="H162" s="2"/>
      <c r="I162" s="5">
        <f t="shared" si="21"/>
        <v>-9.015109699429745E-2</v>
      </c>
      <c r="J162" s="13">
        <v>45544</v>
      </c>
      <c r="K162" s="2">
        <v>37.299999999999997</v>
      </c>
      <c r="L162" s="2"/>
      <c r="M162" s="2"/>
      <c r="N162" s="2"/>
      <c r="O162" s="11">
        <f t="shared" si="7"/>
        <v>37.299999999999997</v>
      </c>
      <c r="P162" s="2"/>
      <c r="Q162" s="5">
        <f t="shared" si="15"/>
        <v>-8.010723746079083E-3</v>
      </c>
      <c r="R162" s="13">
        <v>45544</v>
      </c>
      <c r="S162" s="2">
        <v>338.7</v>
      </c>
      <c r="T162" s="2"/>
      <c r="U162" s="2"/>
      <c r="V162" s="2"/>
      <c r="W162" s="11">
        <f t="shared" si="8"/>
        <v>338.7</v>
      </c>
      <c r="X162" s="2"/>
      <c r="Y162" s="5">
        <f t="shared" si="16"/>
        <v>-4.1249321894238078E-3</v>
      </c>
      <c r="Z162" s="13">
        <v>45544</v>
      </c>
      <c r="AA162" s="2">
        <v>934.9</v>
      </c>
      <c r="AB162" s="2"/>
      <c r="AC162" s="2"/>
      <c r="AD162" s="2"/>
      <c r="AE162" s="2">
        <f t="shared" si="9"/>
        <v>934.9</v>
      </c>
      <c r="AF162" s="2"/>
      <c r="AG162" s="5">
        <f t="shared" si="17"/>
        <v>-5.4403035667795622E-3</v>
      </c>
      <c r="AH162" s="13">
        <v>45544</v>
      </c>
      <c r="AI162" s="2">
        <v>782.1</v>
      </c>
      <c r="AJ162" s="2"/>
      <c r="AK162" s="2"/>
      <c r="AL162" s="2"/>
      <c r="AM162" s="2">
        <f t="shared" si="10"/>
        <v>782.1</v>
      </c>
      <c r="AN162" s="2"/>
      <c r="AO162" s="5">
        <f t="shared" si="18"/>
        <v>-1.2073604120844909E-2</v>
      </c>
      <c r="AP162" s="13">
        <v>45544</v>
      </c>
      <c r="AQ162" s="11">
        <v>647.79999999999995</v>
      </c>
      <c r="AR162" s="2"/>
      <c r="AS162" s="2"/>
      <c r="AT162" s="2"/>
      <c r="AU162" s="11">
        <f t="shared" si="11"/>
        <v>647.79999999999995</v>
      </c>
      <c r="AV162" s="2"/>
      <c r="AW162" s="5">
        <f t="shared" si="19"/>
        <v>-1.2121360532344963E-2</v>
      </c>
      <c r="AX162" s="13">
        <v>45544</v>
      </c>
      <c r="AY162" s="2">
        <v>28.1</v>
      </c>
      <c r="AZ162" s="2"/>
      <c r="BA162" s="2"/>
      <c r="BB162" s="2"/>
      <c r="BC162" s="2">
        <f t="shared" si="12"/>
        <v>28.1</v>
      </c>
      <c r="BD162" s="2"/>
      <c r="BE162" s="5">
        <f t="shared" si="20"/>
        <v>-3.5524016043677721E-3</v>
      </c>
      <c r="BF162" s="13">
        <v>45544</v>
      </c>
      <c r="BG162" s="2">
        <v>212.3</v>
      </c>
      <c r="BH162" s="2"/>
      <c r="BI162" s="2"/>
      <c r="BJ162" s="2"/>
      <c r="BK162" s="2">
        <f t="shared" si="13"/>
        <v>212.3</v>
      </c>
      <c r="BL162" s="2"/>
      <c r="BM162" s="5">
        <f t="shared" si="22"/>
        <v>5.6684138549354633E-3</v>
      </c>
    </row>
    <row r="163" spans="1:65" ht="15.75" customHeight="1" x14ac:dyDescent="0.35">
      <c r="A163" s="675"/>
      <c r="B163" s="13">
        <v>45545</v>
      </c>
      <c r="C163" s="2">
        <v>11.2</v>
      </c>
      <c r="D163" s="2"/>
      <c r="E163" s="2"/>
      <c r="F163" s="2"/>
      <c r="G163" s="11">
        <f t="shared" si="14"/>
        <v>11.2</v>
      </c>
      <c r="H163" s="2"/>
      <c r="I163" s="5">
        <f t="shared" si="21"/>
        <v>5.5059777183027389E-2</v>
      </c>
      <c r="J163" s="13">
        <v>45545</v>
      </c>
      <c r="K163" s="2">
        <v>37.299999999999997</v>
      </c>
      <c r="L163" s="2"/>
      <c r="M163" s="2"/>
      <c r="N163" s="2"/>
      <c r="O163" s="11">
        <f t="shared" si="7"/>
        <v>37.299999999999997</v>
      </c>
      <c r="P163" s="2"/>
      <c r="Q163" s="5">
        <f t="shared" si="15"/>
        <v>0</v>
      </c>
      <c r="R163" s="13">
        <v>45545</v>
      </c>
      <c r="S163" s="2">
        <v>339.8</v>
      </c>
      <c r="T163" s="2"/>
      <c r="U163" s="2"/>
      <c r="V163" s="2"/>
      <c r="W163" s="11">
        <f t="shared" si="8"/>
        <v>339.8</v>
      </c>
      <c r="X163" s="2"/>
      <c r="Y163" s="5">
        <f t="shared" si="16"/>
        <v>3.242449414105618E-3</v>
      </c>
      <c r="Z163" s="13">
        <v>45545</v>
      </c>
      <c r="AA163" s="2">
        <v>938.6</v>
      </c>
      <c r="AB163" s="2"/>
      <c r="AC163" s="2"/>
      <c r="AD163" s="2"/>
      <c r="AE163" s="2">
        <f t="shared" si="9"/>
        <v>938.6</v>
      </c>
      <c r="AF163" s="2"/>
      <c r="AG163" s="5">
        <f t="shared" si="17"/>
        <v>3.949831663047354E-3</v>
      </c>
      <c r="AH163" s="13">
        <v>45545</v>
      </c>
      <c r="AI163" s="2">
        <v>788</v>
      </c>
      <c r="AJ163" s="2"/>
      <c r="AK163" s="2"/>
      <c r="AL163" s="2"/>
      <c r="AM163" s="2">
        <f t="shared" si="10"/>
        <v>788</v>
      </c>
      <c r="AN163" s="2"/>
      <c r="AO163" s="5">
        <f t="shared" si="18"/>
        <v>7.5154802503134511E-3</v>
      </c>
      <c r="AP163" s="13">
        <v>45545</v>
      </c>
      <c r="AQ163" s="11">
        <v>651.9</v>
      </c>
      <c r="AR163" s="2"/>
      <c r="AS163" s="2"/>
      <c r="AT163" s="2"/>
      <c r="AU163" s="11">
        <f t="shared" si="11"/>
        <v>651.9</v>
      </c>
      <c r="AV163" s="2"/>
      <c r="AW163" s="5">
        <f t="shared" si="19"/>
        <v>6.3091691932647556E-3</v>
      </c>
      <c r="AX163" s="13">
        <v>45545</v>
      </c>
      <c r="AY163" s="2">
        <v>27.9</v>
      </c>
      <c r="AZ163" s="2"/>
      <c r="BA163" s="2"/>
      <c r="BB163" s="2"/>
      <c r="BC163" s="2">
        <f t="shared" si="12"/>
        <v>27.9</v>
      </c>
      <c r="BD163" s="2"/>
      <c r="BE163" s="5">
        <f t="shared" si="20"/>
        <v>-7.1428875123802247E-3</v>
      </c>
      <c r="BF163" s="13">
        <v>45545</v>
      </c>
      <c r="BG163" s="2">
        <v>212.3</v>
      </c>
      <c r="BH163" s="2"/>
      <c r="BI163" s="2"/>
      <c r="BJ163" s="2"/>
      <c r="BK163" s="2">
        <f t="shared" si="13"/>
        <v>212.3</v>
      </c>
      <c r="BL163" s="2"/>
      <c r="BM163" s="5">
        <f t="shared" si="22"/>
        <v>0</v>
      </c>
    </row>
    <row r="164" spans="1:65" ht="15.75" customHeight="1" x14ac:dyDescent="0.35">
      <c r="A164" s="675"/>
      <c r="B164" s="13">
        <v>45546</v>
      </c>
      <c r="C164" s="2">
        <v>11</v>
      </c>
      <c r="D164" s="2"/>
      <c r="E164" s="2"/>
      <c r="F164" s="2"/>
      <c r="G164" s="11">
        <f t="shared" si="14"/>
        <v>11</v>
      </c>
      <c r="H164" s="2"/>
      <c r="I164" s="5">
        <f t="shared" si="21"/>
        <v>-1.801850550267825E-2</v>
      </c>
      <c r="J164" s="13">
        <v>45546</v>
      </c>
      <c r="K164" s="2">
        <v>37.6</v>
      </c>
      <c r="L164" s="2"/>
      <c r="M164" s="2"/>
      <c r="N164" s="2"/>
      <c r="O164" s="11">
        <f t="shared" si="7"/>
        <v>37.6</v>
      </c>
      <c r="P164" s="2"/>
      <c r="Q164" s="5">
        <f t="shared" si="15"/>
        <v>8.010723746078979E-3</v>
      </c>
      <c r="R164" s="13">
        <v>45546</v>
      </c>
      <c r="S164" s="2">
        <v>336.4</v>
      </c>
      <c r="T164" s="2"/>
      <c r="U164" s="2"/>
      <c r="V164" s="2"/>
      <c r="W164" s="11">
        <f t="shared" si="8"/>
        <v>336.4</v>
      </c>
      <c r="X164" s="2"/>
      <c r="Y164" s="5">
        <f t="shared" si="16"/>
        <v>-1.0056281139038723E-2</v>
      </c>
      <c r="Z164" s="13">
        <v>45546</v>
      </c>
      <c r="AA164" s="2">
        <v>935</v>
      </c>
      <c r="AB164" s="2"/>
      <c r="AC164" s="2"/>
      <c r="AD164" s="2"/>
      <c r="AE164" s="2">
        <f t="shared" si="9"/>
        <v>935</v>
      </c>
      <c r="AF164" s="2"/>
      <c r="AG164" s="5">
        <f t="shared" si="17"/>
        <v>-3.8428740716302543E-3</v>
      </c>
      <c r="AH164" s="13">
        <v>45546</v>
      </c>
      <c r="AI164" s="2">
        <v>788.4</v>
      </c>
      <c r="AJ164" s="2"/>
      <c r="AK164" s="2"/>
      <c r="AL164" s="2"/>
      <c r="AM164" s="2">
        <f t="shared" si="10"/>
        <v>788.4</v>
      </c>
      <c r="AN164" s="2"/>
      <c r="AO164" s="5">
        <f t="shared" si="18"/>
        <v>5.0748542068593629E-4</v>
      </c>
      <c r="AP164" s="13">
        <v>45546</v>
      </c>
      <c r="AQ164" s="11">
        <v>642.20000000000005</v>
      </c>
      <c r="AR164" s="2"/>
      <c r="AS164" s="2"/>
      <c r="AT164" s="2"/>
      <c r="AU164" s="11">
        <f t="shared" si="11"/>
        <v>642.20000000000005</v>
      </c>
      <c r="AV164" s="2"/>
      <c r="AW164" s="5">
        <f t="shared" si="19"/>
        <v>-1.4991394275080002E-2</v>
      </c>
      <c r="AX164" s="13">
        <v>45546</v>
      </c>
      <c r="AY164" s="2">
        <v>28.1</v>
      </c>
      <c r="AZ164" s="2"/>
      <c r="BA164" s="2"/>
      <c r="BB164" s="2"/>
      <c r="BC164" s="2">
        <f t="shared" si="12"/>
        <v>28.1</v>
      </c>
      <c r="BD164" s="2"/>
      <c r="BE164" s="5">
        <f t="shared" si="20"/>
        <v>7.1428875123802039E-3</v>
      </c>
      <c r="BF164" s="13">
        <v>45546</v>
      </c>
      <c r="BG164" s="2">
        <v>204.3</v>
      </c>
      <c r="BH164" s="2"/>
      <c r="BI164" s="2"/>
      <c r="BJ164" s="2"/>
      <c r="BK164" s="2">
        <f t="shared" si="13"/>
        <v>204.3</v>
      </c>
      <c r="BL164" s="2"/>
      <c r="BM164" s="5">
        <f t="shared" si="22"/>
        <v>-3.8410866885634082E-2</v>
      </c>
    </row>
    <row r="165" spans="1:65" ht="15.75" customHeight="1" x14ac:dyDescent="0.35">
      <c r="A165" s="675"/>
      <c r="B165" s="13">
        <v>45547</v>
      </c>
      <c r="C165" s="2">
        <v>11.4</v>
      </c>
      <c r="D165" s="2"/>
      <c r="E165" s="2"/>
      <c r="F165" s="2"/>
      <c r="G165" s="11">
        <f t="shared" si="14"/>
        <v>11.4</v>
      </c>
      <c r="H165" s="2"/>
      <c r="I165" s="5">
        <f t="shared" si="21"/>
        <v>3.5718082602079246E-2</v>
      </c>
      <c r="J165" s="13">
        <v>45547</v>
      </c>
      <c r="K165" s="2">
        <v>37.700000000000003</v>
      </c>
      <c r="L165" s="2"/>
      <c r="M165" s="2"/>
      <c r="N165" s="2"/>
      <c r="O165" s="11">
        <f t="shared" si="7"/>
        <v>37.700000000000003</v>
      </c>
      <c r="P165" s="2"/>
      <c r="Q165" s="5">
        <f t="shared" si="15"/>
        <v>2.6560440581162104E-3</v>
      </c>
      <c r="R165" s="13">
        <v>45547</v>
      </c>
      <c r="S165" s="2">
        <v>331.6</v>
      </c>
      <c r="T165" s="2"/>
      <c r="U165" s="2"/>
      <c r="V165" s="2"/>
      <c r="W165" s="11">
        <f t="shared" si="8"/>
        <v>331.6</v>
      </c>
      <c r="X165" s="2"/>
      <c r="Y165" s="5">
        <f t="shared" si="16"/>
        <v>-1.4371504837652899E-2</v>
      </c>
      <c r="Z165" s="13">
        <v>45547</v>
      </c>
      <c r="AA165" s="2">
        <v>933.1</v>
      </c>
      <c r="AB165" s="2"/>
      <c r="AC165" s="2"/>
      <c r="AD165" s="2"/>
      <c r="AE165" s="2">
        <f t="shared" si="9"/>
        <v>933.1</v>
      </c>
      <c r="AF165" s="2"/>
      <c r="AG165" s="5">
        <f t="shared" si="17"/>
        <v>-2.0341530487106366E-3</v>
      </c>
      <c r="AH165" s="13">
        <v>45547</v>
      </c>
      <c r="AI165" s="2">
        <v>785.7</v>
      </c>
      <c r="AJ165" s="2"/>
      <c r="AK165" s="2"/>
      <c r="AL165" s="2"/>
      <c r="AM165" s="2">
        <f t="shared" si="10"/>
        <v>785.7</v>
      </c>
      <c r="AN165" s="2"/>
      <c r="AO165" s="5">
        <f t="shared" si="18"/>
        <v>-3.4305350967891368E-3</v>
      </c>
      <c r="AP165" s="13">
        <v>45547</v>
      </c>
      <c r="AQ165" s="11">
        <v>644.20000000000005</v>
      </c>
      <c r="AR165" s="2"/>
      <c r="AS165" s="2"/>
      <c r="AT165" s="2"/>
      <c r="AU165" s="11">
        <f t="shared" si="11"/>
        <v>644.20000000000005</v>
      </c>
      <c r="AV165" s="2"/>
      <c r="AW165" s="5">
        <f t="shared" si="19"/>
        <v>3.1094552416849911E-3</v>
      </c>
      <c r="AX165" s="13">
        <v>45547</v>
      </c>
      <c r="AY165" s="2">
        <v>28.3</v>
      </c>
      <c r="AZ165" s="2"/>
      <c r="BA165" s="2"/>
      <c r="BB165" s="2"/>
      <c r="BC165" s="2">
        <f t="shared" si="12"/>
        <v>28.3</v>
      </c>
      <c r="BD165" s="2"/>
      <c r="BE165" s="5">
        <f t="shared" si="20"/>
        <v>7.0922283094918366E-3</v>
      </c>
      <c r="BF165" s="13">
        <v>45547</v>
      </c>
      <c r="BG165" s="2">
        <v>195.5</v>
      </c>
      <c r="BH165" s="2"/>
      <c r="BI165" s="2"/>
      <c r="BJ165" s="2"/>
      <c r="BK165" s="2">
        <f t="shared" si="13"/>
        <v>195.5</v>
      </c>
      <c r="BL165" s="2"/>
      <c r="BM165" s="5">
        <f t="shared" si="22"/>
        <v>-4.402912239815595E-2</v>
      </c>
    </row>
    <row r="166" spans="1:65" ht="15.75" customHeight="1" x14ac:dyDescent="0.35">
      <c r="A166" s="675"/>
      <c r="B166" s="13">
        <v>45550</v>
      </c>
      <c r="C166" s="2">
        <v>11.3</v>
      </c>
      <c r="D166" s="2"/>
      <c r="E166" s="2"/>
      <c r="F166" s="2"/>
      <c r="G166" s="11">
        <f t="shared" si="14"/>
        <v>11.3</v>
      </c>
      <c r="H166" s="2"/>
      <c r="I166" s="5">
        <f t="shared" si="21"/>
        <v>-8.810629682154807E-3</v>
      </c>
      <c r="J166" s="13">
        <v>45550</v>
      </c>
      <c r="K166" s="2">
        <v>37.799999999999997</v>
      </c>
      <c r="L166" s="2"/>
      <c r="M166" s="2"/>
      <c r="N166" s="2"/>
      <c r="O166" s="11">
        <f t="shared" si="7"/>
        <v>37.799999999999997</v>
      </c>
      <c r="P166" s="2"/>
      <c r="Q166" s="5">
        <f t="shared" si="15"/>
        <v>2.6490081715768625E-3</v>
      </c>
      <c r="R166" s="13">
        <v>45550</v>
      </c>
      <c r="S166" s="2">
        <v>334.1</v>
      </c>
      <c r="T166" s="2"/>
      <c r="U166" s="2"/>
      <c r="V166" s="2"/>
      <c r="W166" s="11">
        <f t="shared" si="8"/>
        <v>334.1</v>
      </c>
      <c r="X166" s="2"/>
      <c r="Y166" s="5">
        <f t="shared" si="16"/>
        <v>7.5109261015709056E-3</v>
      </c>
      <c r="Z166" s="13">
        <v>45550</v>
      </c>
      <c r="AA166" s="2">
        <v>931.4</v>
      </c>
      <c r="AB166" s="2"/>
      <c r="AC166" s="2"/>
      <c r="AD166" s="2"/>
      <c r="AE166" s="2">
        <f t="shared" si="9"/>
        <v>931.4</v>
      </c>
      <c r="AF166" s="2"/>
      <c r="AG166" s="5">
        <f t="shared" si="17"/>
        <v>-1.823545691699488E-3</v>
      </c>
      <c r="AH166" s="13">
        <v>45550</v>
      </c>
      <c r="AI166" s="2">
        <v>772.6</v>
      </c>
      <c r="AJ166" s="2"/>
      <c r="AK166" s="2"/>
      <c r="AL166" s="2"/>
      <c r="AM166" s="2">
        <f t="shared" si="10"/>
        <v>772.6</v>
      </c>
      <c r="AN166" s="2"/>
      <c r="AO166" s="5">
        <f t="shared" si="18"/>
        <v>-1.6813589949595E-2</v>
      </c>
      <c r="AP166" s="13">
        <v>45550</v>
      </c>
      <c r="AQ166" s="11">
        <v>650.4</v>
      </c>
      <c r="AR166" s="2"/>
      <c r="AS166" s="2"/>
      <c r="AT166" s="2"/>
      <c r="AU166" s="11">
        <f t="shared" si="11"/>
        <v>650.4</v>
      </c>
      <c r="AV166" s="2"/>
      <c r="AW166" s="5">
        <f t="shared" si="19"/>
        <v>9.578321336502325E-3</v>
      </c>
      <c r="AX166" s="13">
        <v>45550</v>
      </c>
      <c r="AY166" s="2">
        <v>28</v>
      </c>
      <c r="AZ166" s="2"/>
      <c r="BA166" s="2"/>
      <c r="BB166" s="2"/>
      <c r="BC166" s="2">
        <f t="shared" si="12"/>
        <v>28</v>
      </c>
      <c r="BD166" s="2"/>
      <c r="BE166" s="5">
        <f t="shared" si="20"/>
        <v>-1.0657294473988093E-2</v>
      </c>
      <c r="BF166" s="13">
        <v>45550</v>
      </c>
      <c r="BG166" s="2">
        <v>189.8</v>
      </c>
      <c r="BH166" s="2"/>
      <c r="BI166" s="2"/>
      <c r="BJ166" s="2"/>
      <c r="BK166" s="2">
        <f t="shared" si="13"/>
        <v>189.8</v>
      </c>
      <c r="BL166" s="2"/>
      <c r="BM166" s="5">
        <f t="shared" si="22"/>
        <v>-2.9589493249592938E-2</v>
      </c>
    </row>
    <row r="167" spans="1:65" ht="15.75" customHeight="1" x14ac:dyDescent="0.35">
      <c r="A167" s="675"/>
      <c r="B167" s="13">
        <v>45552</v>
      </c>
      <c r="C167" s="2">
        <v>11.1</v>
      </c>
      <c r="D167" s="2"/>
      <c r="E167" s="2"/>
      <c r="F167" s="2"/>
      <c r="G167" s="11">
        <f t="shared" si="14"/>
        <v>11.1</v>
      </c>
      <c r="H167" s="2"/>
      <c r="I167" s="5">
        <f t="shared" si="21"/>
        <v>-1.7857617400006572E-2</v>
      </c>
      <c r="J167" s="13">
        <v>45552</v>
      </c>
      <c r="K167" s="2">
        <v>38.299999999999997</v>
      </c>
      <c r="L167" s="2"/>
      <c r="M167" s="2"/>
      <c r="N167" s="2"/>
      <c r="O167" s="11">
        <f t="shared" si="7"/>
        <v>38.299999999999997</v>
      </c>
      <c r="P167" s="2"/>
      <c r="Q167" s="5">
        <f t="shared" si="15"/>
        <v>1.3140793561058328E-2</v>
      </c>
      <c r="R167" s="13">
        <v>45552</v>
      </c>
      <c r="S167" s="2">
        <v>330.8</v>
      </c>
      <c r="T167" s="2"/>
      <c r="U167" s="2"/>
      <c r="V167" s="2"/>
      <c r="W167" s="11">
        <f t="shared" si="8"/>
        <v>330.8</v>
      </c>
      <c r="X167" s="2"/>
      <c r="Y167" s="5">
        <f t="shared" si="16"/>
        <v>-9.9263862131746781E-3</v>
      </c>
      <c r="Z167" s="13">
        <v>45552</v>
      </c>
      <c r="AA167" s="2">
        <v>930.7</v>
      </c>
      <c r="AB167" s="2"/>
      <c r="AC167" s="2"/>
      <c r="AD167" s="2"/>
      <c r="AE167" s="2">
        <f t="shared" si="9"/>
        <v>930.7</v>
      </c>
      <c r="AF167" s="2"/>
      <c r="AG167" s="5">
        <f t="shared" si="17"/>
        <v>-7.5183935661192946E-4</v>
      </c>
      <c r="AH167" s="13">
        <v>45552</v>
      </c>
      <c r="AI167" s="2">
        <v>762.9</v>
      </c>
      <c r="AJ167" s="2"/>
      <c r="AK167" s="2"/>
      <c r="AL167" s="2"/>
      <c r="AM167" s="2">
        <f t="shared" si="10"/>
        <v>762.9</v>
      </c>
      <c r="AN167" s="2"/>
      <c r="AO167" s="5">
        <f t="shared" si="18"/>
        <v>-1.2634489135997396E-2</v>
      </c>
      <c r="AP167" s="13">
        <v>45552</v>
      </c>
      <c r="AQ167" s="11">
        <v>637.6</v>
      </c>
      <c r="AR167" s="2"/>
      <c r="AS167" s="2"/>
      <c r="AT167" s="2"/>
      <c r="AU167" s="11">
        <f t="shared" si="11"/>
        <v>637.6</v>
      </c>
      <c r="AV167" s="2"/>
      <c r="AW167" s="5">
        <f t="shared" si="19"/>
        <v>-1.9876430757595508E-2</v>
      </c>
      <c r="AX167" s="13">
        <v>45552</v>
      </c>
      <c r="AY167" s="2">
        <v>27.5</v>
      </c>
      <c r="AZ167" s="2"/>
      <c r="BA167" s="2"/>
      <c r="BB167" s="2"/>
      <c r="BC167" s="2">
        <f t="shared" si="12"/>
        <v>27.5</v>
      </c>
      <c r="BD167" s="2"/>
      <c r="BE167" s="5">
        <f t="shared" si="20"/>
        <v>-1.8018505502678365E-2</v>
      </c>
      <c r="BF167" s="13">
        <v>45552</v>
      </c>
      <c r="BG167" s="2">
        <v>184.6</v>
      </c>
      <c r="BH167" s="2"/>
      <c r="BI167" s="2"/>
      <c r="BJ167" s="2"/>
      <c r="BK167" s="2">
        <f t="shared" si="13"/>
        <v>184.6</v>
      </c>
      <c r="BL167" s="2"/>
      <c r="BM167" s="5">
        <f t="shared" si="22"/>
        <v>-2.777956410707582E-2</v>
      </c>
    </row>
    <row r="168" spans="1:65" ht="15.75" customHeight="1" x14ac:dyDescent="0.35">
      <c r="A168" s="675"/>
      <c r="B168" s="13">
        <v>45553</v>
      </c>
      <c r="C168" s="2">
        <v>11.4</v>
      </c>
      <c r="D168" s="2"/>
      <c r="E168" s="2"/>
      <c r="F168" s="2"/>
      <c r="G168" s="11">
        <f t="shared" si="14"/>
        <v>11.4</v>
      </c>
      <c r="H168" s="2"/>
      <c r="I168" s="5">
        <f t="shared" si="21"/>
        <v>2.6668247082161489E-2</v>
      </c>
      <c r="J168" s="13">
        <v>45553</v>
      </c>
      <c r="K168" s="2">
        <v>37.299999999999997</v>
      </c>
      <c r="L168" s="2"/>
      <c r="M168" s="2"/>
      <c r="N168" s="2"/>
      <c r="O168" s="11">
        <f t="shared" si="7"/>
        <v>37.299999999999997</v>
      </c>
      <c r="P168" s="2"/>
      <c r="Q168" s="5">
        <f t="shared" si="15"/>
        <v>-2.6456569536830468E-2</v>
      </c>
      <c r="R168" s="13">
        <v>45553</v>
      </c>
      <c r="S168" s="2">
        <v>328.5</v>
      </c>
      <c r="T168" s="2"/>
      <c r="U168" s="2"/>
      <c r="V168" s="2"/>
      <c r="W168" s="11">
        <f t="shared" si="8"/>
        <v>328.5</v>
      </c>
      <c r="X168" s="2"/>
      <c r="Y168" s="5">
        <f t="shared" si="16"/>
        <v>-6.9771252248710868E-3</v>
      </c>
      <c r="Z168" s="13">
        <v>45553</v>
      </c>
      <c r="AA168" s="2">
        <v>930.6</v>
      </c>
      <c r="AB168" s="2"/>
      <c r="AC168" s="2"/>
      <c r="AD168" s="2"/>
      <c r="AE168" s="2">
        <f t="shared" si="9"/>
        <v>930.6</v>
      </c>
      <c r="AF168" s="2"/>
      <c r="AG168" s="5">
        <f t="shared" si="17"/>
        <v>-1.0745178111672974E-4</v>
      </c>
      <c r="AH168" s="13">
        <v>45553</v>
      </c>
      <c r="AI168" s="2">
        <v>755.8</v>
      </c>
      <c r="AJ168" s="2"/>
      <c r="AK168" s="2"/>
      <c r="AL168" s="2"/>
      <c r="AM168" s="2">
        <f t="shared" si="10"/>
        <v>755.8</v>
      </c>
      <c r="AN168" s="2"/>
      <c r="AO168" s="5">
        <f t="shared" si="18"/>
        <v>-9.3501701807950453E-3</v>
      </c>
      <c r="AP168" s="13">
        <v>45553</v>
      </c>
      <c r="AQ168" s="11">
        <v>620.9</v>
      </c>
      <c r="AR168" s="2"/>
      <c r="AS168" s="2"/>
      <c r="AT168" s="2"/>
      <c r="AU168" s="11">
        <f t="shared" si="11"/>
        <v>620.9</v>
      </c>
      <c r="AV168" s="2"/>
      <c r="AW168" s="5">
        <f t="shared" si="19"/>
        <v>-2.6541089105158254E-2</v>
      </c>
      <c r="AX168" s="13">
        <v>45553</v>
      </c>
      <c r="AY168" s="2">
        <v>27.6</v>
      </c>
      <c r="AZ168" s="2"/>
      <c r="BA168" s="2"/>
      <c r="BB168" s="2"/>
      <c r="BC168" s="2">
        <f t="shared" si="12"/>
        <v>27.6</v>
      </c>
      <c r="BD168" s="2"/>
      <c r="BE168" s="5">
        <f t="shared" si="20"/>
        <v>3.6297680505787311E-3</v>
      </c>
      <c r="BF168" s="13">
        <v>45553</v>
      </c>
      <c r="BG168" s="2">
        <v>193.7</v>
      </c>
      <c r="BH168" s="2"/>
      <c r="BI168" s="2"/>
      <c r="BJ168" s="2"/>
      <c r="BK168" s="2">
        <f t="shared" si="13"/>
        <v>193.7</v>
      </c>
      <c r="BL168" s="2"/>
      <c r="BM168" s="5">
        <f t="shared" si="22"/>
        <v>4.8119248344198347E-2</v>
      </c>
    </row>
    <row r="169" spans="1:65" ht="15.75" customHeight="1" x14ac:dyDescent="0.35">
      <c r="A169" s="675"/>
      <c r="B169" s="13">
        <v>45554</v>
      </c>
      <c r="C169" s="2">
        <v>11.6</v>
      </c>
      <c r="D169" s="2"/>
      <c r="E169" s="2"/>
      <c r="F169" s="2"/>
      <c r="G169" s="11">
        <f t="shared" si="14"/>
        <v>11.6</v>
      </c>
      <c r="H169" s="2"/>
      <c r="I169" s="5">
        <f t="shared" si="21"/>
        <v>1.739174271186902E-2</v>
      </c>
      <c r="J169" s="13">
        <v>45554</v>
      </c>
      <c r="K169" s="2">
        <v>38.200000000000003</v>
      </c>
      <c r="L169" s="2"/>
      <c r="M169" s="2"/>
      <c r="N169" s="2"/>
      <c r="O169" s="11">
        <f t="shared" si="7"/>
        <v>38.200000000000003</v>
      </c>
      <c r="P169" s="2"/>
      <c r="Q169" s="5">
        <f t="shared" si="15"/>
        <v>2.3842188962759872E-2</v>
      </c>
      <c r="R169" s="13">
        <v>45554</v>
      </c>
      <c r="S169" s="2">
        <v>343.4</v>
      </c>
      <c r="T169" s="2"/>
      <c r="U169" s="2"/>
      <c r="V169" s="2"/>
      <c r="W169" s="11">
        <f t="shared" si="8"/>
        <v>343.4</v>
      </c>
      <c r="X169" s="2"/>
      <c r="Y169" s="5">
        <f t="shared" si="16"/>
        <v>4.4359110538709834E-2</v>
      </c>
      <c r="Z169" s="13">
        <v>45554</v>
      </c>
      <c r="AA169" s="2">
        <v>928.1</v>
      </c>
      <c r="AB169" s="2"/>
      <c r="AC169" s="2"/>
      <c r="AD169" s="2"/>
      <c r="AE169" s="2">
        <f t="shared" si="9"/>
        <v>928.1</v>
      </c>
      <c r="AF169" s="2"/>
      <c r="AG169" s="5">
        <f t="shared" si="17"/>
        <v>-2.6900538092010443E-3</v>
      </c>
      <c r="AH169" s="13">
        <v>45554</v>
      </c>
      <c r="AI169" s="2">
        <v>776.1</v>
      </c>
      <c r="AJ169" s="2"/>
      <c r="AK169" s="2"/>
      <c r="AL169" s="2"/>
      <c r="AM169" s="2">
        <f t="shared" si="10"/>
        <v>776.1</v>
      </c>
      <c r="AN169" s="2"/>
      <c r="AO169" s="5">
        <f t="shared" si="18"/>
        <v>2.6504586944704641E-2</v>
      </c>
      <c r="AP169" s="13">
        <v>45554</v>
      </c>
      <c r="AQ169" s="11">
        <v>636.4</v>
      </c>
      <c r="AR169" s="2"/>
      <c r="AS169" s="2"/>
      <c r="AT169" s="2"/>
      <c r="AU169" s="11">
        <f t="shared" si="11"/>
        <v>636.4</v>
      </c>
      <c r="AV169" s="2"/>
      <c r="AW169" s="5">
        <f t="shared" si="19"/>
        <v>2.4657258092784733E-2</v>
      </c>
      <c r="AX169" s="13">
        <v>45554</v>
      </c>
      <c r="AY169" s="2">
        <v>27.5</v>
      </c>
      <c r="AZ169" s="2"/>
      <c r="BA169" s="2"/>
      <c r="BB169" s="2"/>
      <c r="BC169" s="2">
        <f t="shared" si="12"/>
        <v>27.5</v>
      </c>
      <c r="BD169" s="2"/>
      <c r="BE169" s="5">
        <f t="shared" si="20"/>
        <v>-3.6297680505787237E-3</v>
      </c>
      <c r="BF169" s="13">
        <v>45554</v>
      </c>
      <c r="BG169" s="2">
        <v>195.1</v>
      </c>
      <c r="BH169" s="2"/>
      <c r="BI169" s="2"/>
      <c r="BJ169" s="2"/>
      <c r="BK169" s="2">
        <f t="shared" si="13"/>
        <v>195.1</v>
      </c>
      <c r="BL169" s="2"/>
      <c r="BM169" s="5">
        <f t="shared" si="22"/>
        <v>7.2016772161154251E-3</v>
      </c>
    </row>
    <row r="170" spans="1:65" ht="15.75" customHeight="1" x14ac:dyDescent="0.35">
      <c r="A170" s="675"/>
      <c r="B170" s="13">
        <v>45557</v>
      </c>
      <c r="C170" s="2">
        <v>11.7</v>
      </c>
      <c r="D170" s="2"/>
      <c r="E170" s="2"/>
      <c r="F170" s="2"/>
      <c r="G170" s="11">
        <f t="shared" si="14"/>
        <v>11.7</v>
      </c>
      <c r="H170" s="2"/>
      <c r="I170" s="5">
        <f t="shared" si="21"/>
        <v>8.583743691391435E-3</v>
      </c>
      <c r="J170" s="13">
        <v>45557</v>
      </c>
      <c r="K170" s="2">
        <v>37.1</v>
      </c>
      <c r="L170" s="2"/>
      <c r="M170" s="2"/>
      <c r="N170" s="2"/>
      <c r="O170" s="11">
        <f t="shared" si="7"/>
        <v>37.1</v>
      </c>
      <c r="P170" s="2"/>
      <c r="Q170" s="5">
        <f t="shared" si="15"/>
        <v>-2.9218545999140103E-2</v>
      </c>
      <c r="R170" s="13">
        <v>45557</v>
      </c>
      <c r="S170" s="2">
        <v>339.7</v>
      </c>
      <c r="T170" s="2"/>
      <c r="U170" s="2"/>
      <c r="V170" s="2"/>
      <c r="W170" s="11">
        <f t="shared" si="8"/>
        <v>339.7</v>
      </c>
      <c r="X170" s="2"/>
      <c r="Y170" s="5">
        <f t="shared" si="16"/>
        <v>-1.083307329683688E-2</v>
      </c>
      <c r="Z170" s="13">
        <v>45557</v>
      </c>
      <c r="AA170" s="2">
        <v>927.1</v>
      </c>
      <c r="AB170" s="2"/>
      <c r="AC170" s="2"/>
      <c r="AD170" s="2"/>
      <c r="AE170" s="2">
        <f t="shared" si="9"/>
        <v>927.1</v>
      </c>
      <c r="AF170" s="2"/>
      <c r="AG170" s="5">
        <f t="shared" si="17"/>
        <v>-1.078050988410445E-3</v>
      </c>
      <c r="AH170" s="13">
        <v>45557</v>
      </c>
      <c r="AI170" s="2">
        <v>763</v>
      </c>
      <c r="AJ170" s="2"/>
      <c r="AK170" s="2"/>
      <c r="AL170" s="2"/>
      <c r="AM170" s="2">
        <f t="shared" si="10"/>
        <v>763</v>
      </c>
      <c r="AN170" s="2"/>
      <c r="AO170" s="5">
        <f t="shared" si="18"/>
        <v>-1.702334657563611E-2</v>
      </c>
      <c r="AP170" s="13">
        <v>45557</v>
      </c>
      <c r="AQ170" s="11">
        <v>630.9</v>
      </c>
      <c r="AR170" s="2"/>
      <c r="AS170" s="2"/>
      <c r="AT170" s="2"/>
      <c r="AU170" s="11">
        <f t="shared" si="11"/>
        <v>630.9</v>
      </c>
      <c r="AV170" s="2"/>
      <c r="AW170" s="5">
        <f t="shared" si="19"/>
        <v>-8.6799250868680074E-3</v>
      </c>
      <c r="AX170" s="13">
        <v>45557</v>
      </c>
      <c r="AY170" s="2">
        <v>27.4</v>
      </c>
      <c r="AZ170" s="2"/>
      <c r="BA170" s="2"/>
      <c r="BB170" s="2"/>
      <c r="BC170" s="2">
        <f t="shared" si="12"/>
        <v>27.4</v>
      </c>
      <c r="BD170" s="2"/>
      <c r="BE170" s="5">
        <f t="shared" si="20"/>
        <v>-3.6429912785010919E-3</v>
      </c>
      <c r="BF170" s="13">
        <v>45557</v>
      </c>
      <c r="BG170" s="2">
        <v>186.4</v>
      </c>
      <c r="BH170" s="2"/>
      <c r="BI170" s="2"/>
      <c r="BJ170" s="2"/>
      <c r="BK170" s="2">
        <f t="shared" si="13"/>
        <v>186.4</v>
      </c>
      <c r="BL170" s="2"/>
      <c r="BM170" s="5">
        <f t="shared" si="22"/>
        <v>-4.5617345377574704E-2</v>
      </c>
    </row>
    <row r="171" spans="1:65" ht="15.75" customHeight="1" x14ac:dyDescent="0.35">
      <c r="A171" s="675"/>
      <c r="B171" s="13">
        <v>45558</v>
      </c>
      <c r="C171" s="2">
        <v>11.8</v>
      </c>
      <c r="D171" s="2"/>
      <c r="E171" s="2"/>
      <c r="F171" s="2"/>
      <c r="G171" s="11">
        <f t="shared" si="14"/>
        <v>11.8</v>
      </c>
      <c r="H171" s="2"/>
      <c r="I171" s="5">
        <f t="shared" si="21"/>
        <v>8.5106896679088308E-3</v>
      </c>
      <c r="J171" s="13">
        <v>45558</v>
      </c>
      <c r="K171" s="2">
        <v>37.6</v>
      </c>
      <c r="L171" s="2"/>
      <c r="M171" s="2"/>
      <c r="N171" s="2"/>
      <c r="O171" s="11">
        <f t="shared" si="7"/>
        <v>37.6</v>
      </c>
      <c r="P171" s="2"/>
      <c r="Q171" s="5">
        <f t="shared" si="15"/>
        <v>1.3387080782459279E-2</v>
      </c>
      <c r="R171" s="13">
        <v>45558</v>
      </c>
      <c r="S171" s="2">
        <v>342.8</v>
      </c>
      <c r="T171" s="2"/>
      <c r="U171" s="2"/>
      <c r="V171" s="2"/>
      <c r="W171" s="11">
        <f t="shared" si="8"/>
        <v>342.8</v>
      </c>
      <c r="X171" s="2"/>
      <c r="Y171" s="5">
        <f t="shared" si="16"/>
        <v>9.0843115570864927E-3</v>
      </c>
      <c r="Z171" s="13">
        <v>45558</v>
      </c>
      <c r="AA171" s="2">
        <v>928.6</v>
      </c>
      <c r="AB171" s="2"/>
      <c r="AC171" s="2"/>
      <c r="AD171" s="2"/>
      <c r="AE171" s="2">
        <f t="shared" si="9"/>
        <v>928.6</v>
      </c>
      <c r="AF171" s="2"/>
      <c r="AG171" s="5">
        <f t="shared" si="17"/>
        <v>1.6166409728845849E-3</v>
      </c>
      <c r="AH171" s="13">
        <v>45558</v>
      </c>
      <c r="AI171" s="2">
        <v>759.6</v>
      </c>
      <c r="AJ171" s="2"/>
      <c r="AK171" s="2"/>
      <c r="AL171" s="2"/>
      <c r="AM171" s="2">
        <f t="shared" si="10"/>
        <v>759.6</v>
      </c>
      <c r="AN171" s="2"/>
      <c r="AO171" s="5">
        <f t="shared" si="18"/>
        <v>-4.4660523463261846E-3</v>
      </c>
      <c r="AP171" s="13">
        <v>45558</v>
      </c>
      <c r="AQ171" s="11">
        <v>624</v>
      </c>
      <c r="AR171" s="2"/>
      <c r="AS171" s="2"/>
      <c r="AT171" s="2"/>
      <c r="AU171" s="11">
        <f t="shared" si="11"/>
        <v>624</v>
      </c>
      <c r="AV171" s="2"/>
      <c r="AW171" s="5">
        <f t="shared" si="19"/>
        <v>-1.0997003007336121E-2</v>
      </c>
      <c r="AX171" s="13">
        <v>45558</v>
      </c>
      <c r="AY171" s="2">
        <v>27.9</v>
      </c>
      <c r="AZ171" s="2"/>
      <c r="BA171" s="2"/>
      <c r="BB171" s="2"/>
      <c r="BC171" s="2">
        <f t="shared" si="12"/>
        <v>27.9</v>
      </c>
      <c r="BD171" s="2"/>
      <c r="BE171" s="5">
        <f t="shared" si="20"/>
        <v>1.8083675433295327E-2</v>
      </c>
      <c r="BF171" s="13">
        <v>45558</v>
      </c>
      <c r="BG171" s="2">
        <v>184.7</v>
      </c>
      <c r="BH171" s="2"/>
      <c r="BI171" s="2"/>
      <c r="BJ171" s="2"/>
      <c r="BK171" s="2">
        <f t="shared" si="13"/>
        <v>184.7</v>
      </c>
      <c r="BL171" s="2"/>
      <c r="BM171" s="5">
        <f t="shared" si="22"/>
        <v>-9.162015046296634E-3</v>
      </c>
    </row>
    <row r="172" spans="1:65" ht="15.75" customHeight="1" x14ac:dyDescent="0.35">
      <c r="A172" s="675"/>
      <c r="B172" s="13">
        <v>45559</v>
      </c>
      <c r="C172" s="2">
        <v>11.6</v>
      </c>
      <c r="D172" s="2"/>
      <c r="E172" s="2"/>
      <c r="F172" s="2"/>
      <c r="G172" s="11">
        <f t="shared" si="14"/>
        <v>11.6</v>
      </c>
      <c r="H172" s="2"/>
      <c r="I172" s="5">
        <f t="shared" si="21"/>
        <v>-1.7094433359300183E-2</v>
      </c>
      <c r="J172" s="13">
        <v>45559</v>
      </c>
      <c r="K172" s="2">
        <v>37.6</v>
      </c>
      <c r="L172" s="2"/>
      <c r="M172" s="2"/>
      <c r="N172" s="2"/>
      <c r="O172" s="11">
        <f t="shared" si="7"/>
        <v>37.6</v>
      </c>
      <c r="P172" s="2"/>
      <c r="Q172" s="5">
        <f t="shared" si="15"/>
        <v>0</v>
      </c>
      <c r="R172" s="13">
        <v>45559</v>
      </c>
      <c r="S172" s="2">
        <v>349.4</v>
      </c>
      <c r="T172" s="2"/>
      <c r="U172" s="2"/>
      <c r="V172" s="2"/>
      <c r="W172" s="11">
        <f t="shared" si="8"/>
        <v>349.4</v>
      </c>
      <c r="X172" s="2"/>
      <c r="Y172" s="5">
        <f t="shared" si="16"/>
        <v>1.9070210976331301E-2</v>
      </c>
      <c r="Z172" s="13">
        <v>45559</v>
      </c>
      <c r="AA172" s="2">
        <v>929</v>
      </c>
      <c r="AB172" s="2"/>
      <c r="AC172" s="2"/>
      <c r="AD172" s="2"/>
      <c r="AE172" s="2">
        <f t="shared" si="9"/>
        <v>929</v>
      </c>
      <c r="AF172" s="2"/>
      <c r="AG172" s="5">
        <f t="shared" si="17"/>
        <v>4.3066322801714566E-4</v>
      </c>
      <c r="AH172" s="13">
        <v>45559</v>
      </c>
      <c r="AI172" s="2">
        <v>759</v>
      </c>
      <c r="AJ172" s="2"/>
      <c r="AK172" s="2"/>
      <c r="AL172" s="2"/>
      <c r="AM172" s="2">
        <f t="shared" si="10"/>
        <v>759</v>
      </c>
      <c r="AN172" s="2"/>
      <c r="AO172" s="5">
        <f t="shared" si="18"/>
        <v>-7.902015425009138E-4</v>
      </c>
      <c r="AP172" s="13">
        <v>45559</v>
      </c>
      <c r="AQ172" s="11">
        <v>619.6</v>
      </c>
      <c r="AR172" s="2"/>
      <c r="AS172" s="2"/>
      <c r="AT172" s="2"/>
      <c r="AU172" s="11">
        <f t="shared" si="11"/>
        <v>619.6</v>
      </c>
      <c r="AV172" s="2"/>
      <c r="AW172" s="5">
        <f t="shared" si="19"/>
        <v>-7.0762598267140736E-3</v>
      </c>
      <c r="AX172" s="13">
        <v>45559</v>
      </c>
      <c r="AY172" s="2">
        <v>26.7</v>
      </c>
      <c r="AZ172" s="2"/>
      <c r="BA172" s="2"/>
      <c r="BB172" s="2"/>
      <c r="BC172" s="2">
        <f t="shared" si="12"/>
        <v>26.7</v>
      </c>
      <c r="BD172" s="2"/>
      <c r="BE172" s="5">
        <f t="shared" si="20"/>
        <v>-4.3963123421116058E-2</v>
      </c>
      <c r="BF172" s="13">
        <v>45559</v>
      </c>
      <c r="BG172" s="2">
        <v>192.2</v>
      </c>
      <c r="BH172" s="2"/>
      <c r="BI172" s="2"/>
      <c r="BJ172" s="2"/>
      <c r="BK172" s="2">
        <f t="shared" si="13"/>
        <v>192.2</v>
      </c>
      <c r="BL172" s="2"/>
      <c r="BM172" s="5">
        <f t="shared" si="22"/>
        <v>3.9803609330997851E-2</v>
      </c>
    </row>
    <row r="173" spans="1:65" ht="15.75" customHeight="1" x14ac:dyDescent="0.35">
      <c r="A173" s="675"/>
      <c r="B173" s="13">
        <v>45560</v>
      </c>
      <c r="C173" s="2">
        <v>11.4</v>
      </c>
      <c r="D173" s="2"/>
      <c r="E173" s="2"/>
      <c r="F173" s="2"/>
      <c r="G173" s="11">
        <f t="shared" si="14"/>
        <v>11.4</v>
      </c>
      <c r="H173" s="2"/>
      <c r="I173" s="5">
        <f t="shared" si="21"/>
        <v>-1.7391742711869107E-2</v>
      </c>
      <c r="J173" s="13">
        <v>45560</v>
      </c>
      <c r="K173" s="2">
        <v>35.799999999999997</v>
      </c>
      <c r="L173" s="2"/>
      <c r="M173" s="2"/>
      <c r="N173" s="2"/>
      <c r="O173" s="11">
        <f t="shared" si="7"/>
        <v>35.799999999999997</v>
      </c>
      <c r="P173" s="2"/>
      <c r="Q173" s="5">
        <f t="shared" si="15"/>
        <v>-4.9056156989194313E-2</v>
      </c>
      <c r="R173" s="13">
        <v>45560</v>
      </c>
      <c r="S173" s="2">
        <v>351.4</v>
      </c>
      <c r="T173" s="2"/>
      <c r="U173" s="2"/>
      <c r="V173" s="2"/>
      <c r="W173" s="11">
        <f t="shared" si="8"/>
        <v>351.4</v>
      </c>
      <c r="X173" s="2"/>
      <c r="Y173" s="5">
        <f t="shared" si="16"/>
        <v>5.7077780530407178E-3</v>
      </c>
      <c r="Z173" s="13">
        <v>45560</v>
      </c>
      <c r="AA173" s="2">
        <v>928.6</v>
      </c>
      <c r="AB173" s="2"/>
      <c r="AC173" s="2"/>
      <c r="AD173" s="2"/>
      <c r="AE173" s="2">
        <f t="shared" si="9"/>
        <v>928.6</v>
      </c>
      <c r="AF173" s="2"/>
      <c r="AG173" s="5">
        <f t="shared" si="17"/>
        <v>-4.306632280171642E-4</v>
      </c>
      <c r="AH173" s="13">
        <v>45560</v>
      </c>
      <c r="AI173" s="2">
        <v>749.9</v>
      </c>
      <c r="AJ173" s="2"/>
      <c r="AK173" s="2"/>
      <c r="AL173" s="2"/>
      <c r="AM173" s="2">
        <f t="shared" si="10"/>
        <v>749.9</v>
      </c>
      <c r="AN173" s="2"/>
      <c r="AO173" s="5">
        <f t="shared" si="18"/>
        <v>-1.2061913088286231E-2</v>
      </c>
      <c r="AP173" s="13">
        <v>45560</v>
      </c>
      <c r="AQ173" s="11">
        <v>611.1</v>
      </c>
      <c r="AR173" s="2"/>
      <c r="AS173" s="2"/>
      <c r="AT173" s="2"/>
      <c r="AU173" s="11">
        <f t="shared" si="11"/>
        <v>611.1</v>
      </c>
      <c r="AV173" s="2"/>
      <c r="AW173" s="5">
        <f t="shared" si="19"/>
        <v>-1.3813496641843746E-2</v>
      </c>
      <c r="AX173" s="13">
        <v>45560</v>
      </c>
      <c r="AY173" s="2">
        <v>25.7</v>
      </c>
      <c r="AZ173" s="2"/>
      <c r="BA173" s="2"/>
      <c r="BB173" s="2"/>
      <c r="BC173" s="2">
        <f t="shared" si="12"/>
        <v>25.7</v>
      </c>
      <c r="BD173" s="2"/>
      <c r="BE173" s="5">
        <f t="shared" si="20"/>
        <v>-3.8172573505029714E-2</v>
      </c>
      <c r="BF173" s="13">
        <v>45560</v>
      </c>
      <c r="BG173" s="2">
        <v>186.8</v>
      </c>
      <c r="BH173" s="2"/>
      <c r="BI173" s="2"/>
      <c r="BJ173" s="2"/>
      <c r="BK173" s="2">
        <f t="shared" si="13"/>
        <v>186.8</v>
      </c>
      <c r="BL173" s="2"/>
      <c r="BM173" s="5">
        <f t="shared" si="22"/>
        <v>-2.8497970741449767E-2</v>
      </c>
    </row>
    <row r="174" spans="1:65" ht="15.75" customHeight="1" x14ac:dyDescent="0.35">
      <c r="A174" s="675"/>
      <c r="B174" s="13">
        <v>45561</v>
      </c>
      <c r="C174" s="2">
        <v>11.9</v>
      </c>
      <c r="D174" s="2"/>
      <c r="E174" s="2"/>
      <c r="F174" s="2"/>
      <c r="G174" s="11">
        <f t="shared" si="14"/>
        <v>11.9</v>
      </c>
      <c r="H174" s="2"/>
      <c r="I174" s="5">
        <f t="shared" si="21"/>
        <v>4.2925044717033844E-2</v>
      </c>
      <c r="J174" s="13">
        <v>45561</v>
      </c>
      <c r="K174" s="2">
        <v>35.4</v>
      </c>
      <c r="L174" s="2"/>
      <c r="M174" s="2"/>
      <c r="N174" s="2"/>
      <c r="O174" s="11">
        <f t="shared" si="7"/>
        <v>35.4</v>
      </c>
      <c r="P174" s="2"/>
      <c r="Q174" s="5">
        <f t="shared" si="15"/>
        <v>-1.1236073266925842E-2</v>
      </c>
      <c r="R174" s="13">
        <v>45561</v>
      </c>
      <c r="S174" s="2">
        <v>349.4</v>
      </c>
      <c r="T174" s="2"/>
      <c r="U174" s="2"/>
      <c r="V174" s="2"/>
      <c r="W174" s="11">
        <f t="shared" si="8"/>
        <v>349.4</v>
      </c>
      <c r="X174" s="2"/>
      <c r="Y174" s="5">
        <f t="shared" si="16"/>
        <v>-5.7077780530406536E-3</v>
      </c>
      <c r="Z174" s="13">
        <v>45561</v>
      </c>
      <c r="AA174" s="2">
        <v>928.4</v>
      </c>
      <c r="AB174" s="2"/>
      <c r="AC174" s="2"/>
      <c r="AD174" s="2"/>
      <c r="AE174" s="2">
        <f t="shared" si="9"/>
        <v>928.4</v>
      </c>
      <c r="AF174" s="2"/>
      <c r="AG174" s="5">
        <f t="shared" si="17"/>
        <v>-2.1540118553945052E-4</v>
      </c>
      <c r="AH174" s="13">
        <v>45561</v>
      </c>
      <c r="AI174" s="2">
        <v>740.3</v>
      </c>
      <c r="AJ174" s="2"/>
      <c r="AK174" s="2"/>
      <c r="AL174" s="2"/>
      <c r="AM174" s="2">
        <f t="shared" si="10"/>
        <v>740.3</v>
      </c>
      <c r="AN174" s="2"/>
      <c r="AO174" s="5">
        <f t="shared" si="18"/>
        <v>-1.2884354858291109E-2</v>
      </c>
      <c r="AP174" s="13">
        <v>45561</v>
      </c>
      <c r="AQ174" s="11">
        <v>597.70000000000005</v>
      </c>
      <c r="AR174" s="2"/>
      <c r="AS174" s="2"/>
      <c r="AT174" s="2"/>
      <c r="AU174" s="11">
        <f t="shared" si="11"/>
        <v>597.70000000000005</v>
      </c>
      <c r="AV174" s="2"/>
      <c r="AW174" s="5">
        <f t="shared" si="19"/>
        <v>-2.2171656070661249E-2</v>
      </c>
      <c r="AX174" s="13">
        <v>45561</v>
      </c>
      <c r="AY174" s="2">
        <v>25.3</v>
      </c>
      <c r="AZ174" s="2"/>
      <c r="BA174" s="2"/>
      <c r="BB174" s="2"/>
      <c r="BC174" s="2">
        <f t="shared" si="12"/>
        <v>25.3</v>
      </c>
      <c r="BD174" s="2"/>
      <c r="BE174" s="5">
        <f t="shared" si="20"/>
        <v>-1.5686596167699508E-2</v>
      </c>
      <c r="BF174" s="13">
        <v>45561</v>
      </c>
      <c r="BG174" s="2">
        <v>183.7</v>
      </c>
      <c r="BH174" s="2"/>
      <c r="BI174" s="2"/>
      <c r="BJ174" s="2"/>
      <c r="BK174" s="2">
        <f t="shared" si="13"/>
        <v>183.7</v>
      </c>
      <c r="BL174" s="2"/>
      <c r="BM174" s="5">
        <f t="shared" si="22"/>
        <v>-1.6734533573662405E-2</v>
      </c>
    </row>
    <row r="175" spans="1:65" ht="15.75" customHeight="1" x14ac:dyDescent="0.35">
      <c r="A175" s="675"/>
      <c r="B175" s="13">
        <v>45564</v>
      </c>
      <c r="C175" s="2">
        <v>11.7</v>
      </c>
      <c r="D175" s="2"/>
      <c r="E175" s="2"/>
      <c r="F175" s="2"/>
      <c r="G175" s="11">
        <f t="shared" si="14"/>
        <v>11.7</v>
      </c>
      <c r="H175" s="2"/>
      <c r="I175" s="5">
        <f t="shared" si="21"/>
        <v>-1.694955831377332E-2</v>
      </c>
      <c r="J175" s="13">
        <v>45564</v>
      </c>
      <c r="K175" s="2">
        <v>35.6</v>
      </c>
      <c r="L175" s="2"/>
      <c r="M175" s="2"/>
      <c r="N175" s="2"/>
      <c r="O175" s="11">
        <f t="shared" si="7"/>
        <v>35.6</v>
      </c>
      <c r="P175" s="2"/>
      <c r="Q175" s="5">
        <f t="shared" si="15"/>
        <v>5.6338177182560642E-3</v>
      </c>
      <c r="R175" s="13">
        <v>45564</v>
      </c>
      <c r="S175" s="2">
        <v>349.3</v>
      </c>
      <c r="T175" s="2"/>
      <c r="U175" s="2"/>
      <c r="V175" s="2"/>
      <c r="W175" s="11">
        <f t="shared" si="8"/>
        <v>349.3</v>
      </c>
      <c r="X175" s="2"/>
      <c r="Y175" s="5">
        <f t="shared" si="16"/>
        <v>-2.8624588716980845E-4</v>
      </c>
      <c r="Z175" s="13">
        <v>45564</v>
      </c>
      <c r="AA175" s="2">
        <v>928.9</v>
      </c>
      <c r="AB175" s="2"/>
      <c r="AC175" s="2"/>
      <c r="AD175" s="2"/>
      <c r="AE175" s="2">
        <f t="shared" si="9"/>
        <v>928.9</v>
      </c>
      <c r="AF175" s="2"/>
      <c r="AG175" s="5">
        <f t="shared" si="17"/>
        <v>5.3841599319309329E-4</v>
      </c>
      <c r="AH175" s="13">
        <v>45564</v>
      </c>
      <c r="AI175" s="2">
        <v>723.2</v>
      </c>
      <c r="AJ175" s="2"/>
      <c r="AK175" s="2"/>
      <c r="AL175" s="2"/>
      <c r="AM175" s="2">
        <f t="shared" si="10"/>
        <v>723.2</v>
      </c>
      <c r="AN175" s="2"/>
      <c r="AO175" s="5">
        <f t="shared" si="18"/>
        <v>-2.3369700371085787E-2</v>
      </c>
      <c r="AP175" s="13">
        <v>45564</v>
      </c>
      <c r="AQ175" s="11">
        <v>595.5</v>
      </c>
      <c r="AR175" s="2"/>
      <c r="AS175" s="2"/>
      <c r="AT175" s="2"/>
      <c r="AU175" s="11">
        <f t="shared" si="11"/>
        <v>595.5</v>
      </c>
      <c r="AV175" s="2"/>
      <c r="AW175" s="5">
        <f t="shared" si="19"/>
        <v>-3.6875670348537771E-3</v>
      </c>
      <c r="AX175" s="13">
        <v>45564</v>
      </c>
      <c r="AY175" s="2">
        <v>24.9</v>
      </c>
      <c r="AZ175" s="2"/>
      <c r="BA175" s="2"/>
      <c r="BB175" s="2"/>
      <c r="BC175" s="2">
        <f t="shared" si="12"/>
        <v>24.9</v>
      </c>
      <c r="BD175" s="2"/>
      <c r="BE175" s="5">
        <f t="shared" si="20"/>
        <v>-1.5936592262812754E-2</v>
      </c>
      <c r="BF175" s="13">
        <v>45564</v>
      </c>
      <c r="BG175" s="2">
        <v>183.4</v>
      </c>
      <c r="BH175" s="2"/>
      <c r="BI175" s="2"/>
      <c r="BJ175" s="2"/>
      <c r="BK175" s="2">
        <f t="shared" si="13"/>
        <v>183.4</v>
      </c>
      <c r="BL175" s="2"/>
      <c r="BM175" s="5">
        <f t="shared" si="22"/>
        <v>-1.634432398715364E-3</v>
      </c>
    </row>
    <row r="176" spans="1:65" ht="15.75" customHeight="1" x14ac:dyDescent="0.35">
      <c r="A176" s="675"/>
      <c r="B176" s="13">
        <v>45565</v>
      </c>
      <c r="C176" s="2">
        <v>11.4</v>
      </c>
      <c r="D176" s="2"/>
      <c r="E176" s="2"/>
      <c r="F176" s="2"/>
      <c r="G176" s="11">
        <f t="shared" si="14"/>
        <v>11.4</v>
      </c>
      <c r="H176" s="2"/>
      <c r="I176" s="5">
        <f t="shared" si="21"/>
        <v>-2.5975486403260563E-2</v>
      </c>
      <c r="J176" s="13">
        <v>45565</v>
      </c>
      <c r="K176" s="2">
        <v>36</v>
      </c>
      <c r="L176" s="2"/>
      <c r="M176" s="2"/>
      <c r="N176" s="2"/>
      <c r="O176" s="11">
        <f t="shared" si="7"/>
        <v>36</v>
      </c>
      <c r="P176" s="2"/>
      <c r="Q176" s="5">
        <f t="shared" si="15"/>
        <v>1.1173300598125255E-2</v>
      </c>
      <c r="R176" s="13">
        <v>45565</v>
      </c>
      <c r="S176" s="2">
        <v>350.2</v>
      </c>
      <c r="T176" s="2"/>
      <c r="U176" s="2"/>
      <c r="V176" s="2"/>
      <c r="W176" s="11">
        <f t="shared" si="8"/>
        <v>350.2</v>
      </c>
      <c r="X176" s="2"/>
      <c r="Y176" s="5">
        <f t="shared" si="16"/>
        <v>2.5732680389652083E-3</v>
      </c>
      <c r="Z176" s="13">
        <v>45565</v>
      </c>
      <c r="AA176" s="2">
        <v>934.4</v>
      </c>
      <c r="AB176" s="2"/>
      <c r="AC176" s="2"/>
      <c r="AD176" s="2"/>
      <c r="AE176" s="2">
        <f t="shared" si="9"/>
        <v>934.4</v>
      </c>
      <c r="AF176" s="2"/>
      <c r="AG176" s="5">
        <f t="shared" si="17"/>
        <v>5.9035216804873896E-3</v>
      </c>
      <c r="AH176" s="13">
        <v>45565</v>
      </c>
      <c r="AI176" s="2">
        <v>700.6</v>
      </c>
      <c r="AJ176" s="2"/>
      <c r="AK176" s="2"/>
      <c r="AL176" s="2"/>
      <c r="AM176" s="2">
        <f t="shared" si="10"/>
        <v>700.6</v>
      </c>
      <c r="AN176" s="2"/>
      <c r="AO176" s="5">
        <f t="shared" si="18"/>
        <v>-3.1748698314580298E-2</v>
      </c>
      <c r="AP176" s="13">
        <v>45565</v>
      </c>
      <c r="AQ176" s="11">
        <v>595.5</v>
      </c>
      <c r="AR176" s="2"/>
      <c r="AS176" s="2"/>
      <c r="AT176" s="2"/>
      <c r="AU176" s="11">
        <f t="shared" si="11"/>
        <v>595.5</v>
      </c>
      <c r="AV176" s="2"/>
      <c r="AW176" s="5">
        <f t="shared" si="19"/>
        <v>0</v>
      </c>
      <c r="AX176" s="13">
        <v>45565</v>
      </c>
      <c r="AY176" s="2">
        <v>24.4</v>
      </c>
      <c r="AZ176" s="2"/>
      <c r="BA176" s="2"/>
      <c r="BB176" s="2"/>
      <c r="BC176" s="2">
        <f t="shared" si="12"/>
        <v>24.4</v>
      </c>
      <c r="BD176" s="2"/>
      <c r="BE176" s="5">
        <f t="shared" si="20"/>
        <v>-2.0284671171505776E-2</v>
      </c>
      <c r="BF176" s="13">
        <v>45565</v>
      </c>
      <c r="BG176" s="2">
        <v>184.5</v>
      </c>
      <c r="BH176" s="2"/>
      <c r="BI176" s="2"/>
      <c r="BJ176" s="2"/>
      <c r="BK176" s="2">
        <f t="shared" si="13"/>
        <v>184.5</v>
      </c>
      <c r="BL176" s="2"/>
      <c r="BM176" s="5">
        <f t="shared" si="22"/>
        <v>5.9799036582173261E-3</v>
      </c>
    </row>
    <row r="177" spans="1:65" ht="15.75" customHeight="1" x14ac:dyDescent="0.35">
      <c r="A177" s="675" t="s">
        <v>68</v>
      </c>
      <c r="B177" s="13">
        <v>45566</v>
      </c>
      <c r="C177" s="2">
        <v>11</v>
      </c>
      <c r="D177" s="2"/>
      <c r="E177" s="2"/>
      <c r="F177" s="2"/>
      <c r="G177" s="11">
        <f t="shared" si="14"/>
        <v>11</v>
      </c>
      <c r="H177" s="2"/>
      <c r="I177" s="5">
        <f t="shared" si="21"/>
        <v>-3.5718082602079232E-2</v>
      </c>
      <c r="J177" s="13">
        <v>45566</v>
      </c>
      <c r="K177" s="2">
        <v>35.5</v>
      </c>
      <c r="L177" s="2"/>
      <c r="M177" s="2"/>
      <c r="N177" s="2"/>
      <c r="O177" s="11">
        <f t="shared" si="7"/>
        <v>35.5</v>
      </c>
      <c r="P177" s="2"/>
      <c r="Q177" s="5">
        <f t="shared" si="15"/>
        <v>-1.3986241974739839E-2</v>
      </c>
      <c r="R177" s="13">
        <v>45566</v>
      </c>
      <c r="S177" s="2">
        <v>348.5</v>
      </c>
      <c r="T177" s="2"/>
      <c r="U177" s="2"/>
      <c r="V177" s="2"/>
      <c r="W177" s="11">
        <f t="shared" si="8"/>
        <v>348.5</v>
      </c>
      <c r="X177" s="2"/>
      <c r="Y177" s="5">
        <f t="shared" si="16"/>
        <v>-4.8661896511728994E-3</v>
      </c>
      <c r="Z177" s="13">
        <v>45566</v>
      </c>
      <c r="AA177" s="2">
        <v>936</v>
      </c>
      <c r="AB177" s="2"/>
      <c r="AC177" s="2"/>
      <c r="AD177" s="2"/>
      <c r="AE177" s="2">
        <f t="shared" si="9"/>
        <v>936</v>
      </c>
      <c r="AF177" s="2"/>
      <c r="AG177" s="5">
        <f t="shared" si="17"/>
        <v>1.7108644036293876E-3</v>
      </c>
      <c r="AH177" s="13">
        <v>45566</v>
      </c>
      <c r="AI177" s="2">
        <v>702.9</v>
      </c>
      <c r="AJ177" s="2"/>
      <c r="AK177" s="2"/>
      <c r="AL177" s="2"/>
      <c r="AM177" s="2">
        <f t="shared" si="10"/>
        <v>702.9</v>
      </c>
      <c r="AN177" s="2"/>
      <c r="AO177" s="5">
        <f t="shared" si="18"/>
        <v>3.27752341847309E-3</v>
      </c>
      <c r="AP177" s="13">
        <v>45566</v>
      </c>
      <c r="AQ177" s="11">
        <v>567.5</v>
      </c>
      <c r="AR177" s="2"/>
      <c r="AS177" s="2"/>
      <c r="AT177" s="2"/>
      <c r="AU177" s="11">
        <f t="shared" si="11"/>
        <v>567.5</v>
      </c>
      <c r="AV177" s="2">
        <v>35</v>
      </c>
      <c r="AW177" s="5">
        <f t="shared" si="19"/>
        <v>1.1686276569455263E-2</v>
      </c>
      <c r="AX177" s="13">
        <v>45566</v>
      </c>
      <c r="AY177" s="2">
        <v>23.6</v>
      </c>
      <c r="AZ177" s="2"/>
      <c r="BA177" s="2"/>
      <c r="BB177" s="2"/>
      <c r="BC177" s="2">
        <f t="shared" si="12"/>
        <v>23.6</v>
      </c>
      <c r="BD177" s="2"/>
      <c r="BE177" s="5">
        <f t="shared" si="20"/>
        <v>-3.3336420267591718E-2</v>
      </c>
      <c r="BF177" s="13">
        <v>45566</v>
      </c>
      <c r="BG177" s="2">
        <v>177.6</v>
      </c>
      <c r="BH177" s="2"/>
      <c r="BI177" s="2"/>
      <c r="BJ177" s="2"/>
      <c r="BK177" s="2">
        <f t="shared" si="13"/>
        <v>177.6</v>
      </c>
      <c r="BL177" s="2"/>
      <c r="BM177" s="5">
        <f t="shared" si="22"/>
        <v>-3.8115632922512258E-2</v>
      </c>
    </row>
    <row r="178" spans="1:65" ht="15.75" customHeight="1" x14ac:dyDescent="0.35">
      <c r="A178" s="675"/>
      <c r="B178" s="13">
        <v>45567</v>
      </c>
      <c r="C178" s="2">
        <v>10.8</v>
      </c>
      <c r="D178" s="2"/>
      <c r="E178" s="2"/>
      <c r="F178" s="2"/>
      <c r="G178" s="11">
        <f t="shared" si="14"/>
        <v>10.8</v>
      </c>
      <c r="H178" s="2"/>
      <c r="I178" s="5">
        <f t="shared" si="21"/>
        <v>-1.834913866819643E-2</v>
      </c>
      <c r="J178" s="13">
        <v>45567</v>
      </c>
      <c r="K178" s="2">
        <v>34.700000000000003</v>
      </c>
      <c r="L178" s="2"/>
      <c r="M178" s="2"/>
      <c r="N178" s="2"/>
      <c r="O178" s="11">
        <f t="shared" si="7"/>
        <v>34.700000000000003</v>
      </c>
      <c r="P178" s="2"/>
      <c r="Q178" s="5">
        <f t="shared" si="15"/>
        <v>-2.2793009528556573E-2</v>
      </c>
      <c r="R178" s="13">
        <v>45567</v>
      </c>
      <c r="S178" s="2">
        <v>341.1</v>
      </c>
      <c r="T178" s="2"/>
      <c r="U178" s="2"/>
      <c r="V178" s="2"/>
      <c r="W178" s="11">
        <f t="shared" si="8"/>
        <v>341.1</v>
      </c>
      <c r="X178" s="2"/>
      <c r="Y178" s="5">
        <f t="shared" si="16"/>
        <v>-2.1462540775978419E-2</v>
      </c>
      <c r="Z178" s="13">
        <v>45567</v>
      </c>
      <c r="AA178" s="2">
        <v>929.3</v>
      </c>
      <c r="AB178" s="2"/>
      <c r="AC178" s="2"/>
      <c r="AD178" s="2"/>
      <c r="AE178" s="2">
        <f t="shared" si="9"/>
        <v>929.3</v>
      </c>
      <c r="AF178" s="2"/>
      <c r="AG178" s="5">
        <f t="shared" si="17"/>
        <v>-7.1838619142985021E-3</v>
      </c>
      <c r="AH178" s="13">
        <v>45567</v>
      </c>
      <c r="AI178" s="2">
        <v>696.5</v>
      </c>
      <c r="AJ178" s="2"/>
      <c r="AK178" s="2"/>
      <c r="AL178" s="2"/>
      <c r="AM178" s="2">
        <f t="shared" si="10"/>
        <v>696.5</v>
      </c>
      <c r="AN178" s="2"/>
      <c r="AO178" s="5">
        <f t="shared" si="18"/>
        <v>-9.1468409619991919E-3</v>
      </c>
      <c r="AP178" s="13">
        <v>45567</v>
      </c>
      <c r="AQ178" s="11">
        <v>553.20000000000005</v>
      </c>
      <c r="AR178" s="2"/>
      <c r="AS178" s="2"/>
      <c r="AT178" s="2"/>
      <c r="AU178" s="11">
        <f t="shared" si="11"/>
        <v>553.20000000000005</v>
      </c>
      <c r="AV178" s="2"/>
      <c r="AW178" s="5">
        <f t="shared" si="19"/>
        <v>-2.5521149564954531E-2</v>
      </c>
      <c r="AX178" s="13">
        <v>45567</v>
      </c>
      <c r="AY178" s="2">
        <v>23.5</v>
      </c>
      <c r="AZ178" s="2"/>
      <c r="BA178" s="2"/>
      <c r="BB178" s="2"/>
      <c r="BC178" s="2">
        <f t="shared" si="12"/>
        <v>23.5</v>
      </c>
      <c r="BD178" s="2"/>
      <c r="BE178" s="5">
        <f t="shared" si="20"/>
        <v>-4.2462908814512078E-3</v>
      </c>
      <c r="BF178" s="13">
        <v>45567</v>
      </c>
      <c r="BG178" s="2">
        <v>167.6</v>
      </c>
      <c r="BH178" s="2"/>
      <c r="BI178" s="2"/>
      <c r="BJ178" s="2"/>
      <c r="BK178" s="2">
        <f t="shared" si="13"/>
        <v>167.6</v>
      </c>
      <c r="BL178" s="2"/>
      <c r="BM178" s="5">
        <f t="shared" si="22"/>
        <v>-5.7953642510087E-2</v>
      </c>
    </row>
    <row r="179" spans="1:65" ht="15.75" customHeight="1" x14ac:dyDescent="0.35">
      <c r="A179" s="675"/>
      <c r="B179" s="13">
        <v>45568</v>
      </c>
      <c r="C179" s="2">
        <v>10.7</v>
      </c>
      <c r="D179" s="2"/>
      <c r="E179" s="2"/>
      <c r="F179" s="2"/>
      <c r="G179" s="11">
        <f t="shared" si="14"/>
        <v>10.7</v>
      </c>
      <c r="H179" s="2"/>
      <c r="I179" s="5">
        <f t="shared" si="21"/>
        <v>-9.302392662313674E-3</v>
      </c>
      <c r="J179" s="13">
        <v>45568</v>
      </c>
      <c r="K179" s="2">
        <v>33.6</v>
      </c>
      <c r="L179" s="2"/>
      <c r="M179" s="2"/>
      <c r="N179" s="2"/>
      <c r="O179" s="11">
        <f t="shared" si="7"/>
        <v>33.6</v>
      </c>
      <c r="P179" s="2"/>
      <c r="Q179" s="5">
        <f t="shared" si="15"/>
        <v>-3.2213619983654962E-2</v>
      </c>
      <c r="R179" s="13">
        <v>45568</v>
      </c>
      <c r="S179" s="2">
        <v>337.9</v>
      </c>
      <c r="T179" s="2"/>
      <c r="U179" s="2"/>
      <c r="V179" s="2"/>
      <c r="W179" s="11">
        <f t="shared" si="8"/>
        <v>337.9</v>
      </c>
      <c r="X179" s="2"/>
      <c r="Y179" s="5">
        <f t="shared" si="16"/>
        <v>-9.4256957043558805E-3</v>
      </c>
      <c r="Z179" s="13">
        <v>45568</v>
      </c>
      <c r="AA179" s="2">
        <v>929.6</v>
      </c>
      <c r="AB179" s="2"/>
      <c r="AC179" s="2"/>
      <c r="AD179" s="2"/>
      <c r="AE179" s="2">
        <f t="shared" si="9"/>
        <v>929.6</v>
      </c>
      <c r="AF179" s="2"/>
      <c r="AG179" s="5">
        <f t="shared" si="17"/>
        <v>3.2277153435319073E-4</v>
      </c>
      <c r="AH179" s="13">
        <v>45568</v>
      </c>
      <c r="AI179" s="2">
        <v>705.3</v>
      </c>
      <c r="AJ179" s="2"/>
      <c r="AK179" s="2"/>
      <c r="AL179" s="2"/>
      <c r="AM179" s="2">
        <f t="shared" si="10"/>
        <v>705.3</v>
      </c>
      <c r="AN179" s="2"/>
      <c r="AO179" s="5">
        <f t="shared" si="18"/>
        <v>1.2555450994272986E-2</v>
      </c>
      <c r="AP179" s="13">
        <v>45568</v>
      </c>
      <c r="AQ179" s="11">
        <v>557.20000000000005</v>
      </c>
      <c r="AR179" s="2"/>
      <c r="AS179" s="2"/>
      <c r="AT179" s="2"/>
      <c r="AU179" s="11">
        <f t="shared" si="11"/>
        <v>557.20000000000005</v>
      </c>
      <c r="AV179" s="2"/>
      <c r="AW179" s="5">
        <f t="shared" si="19"/>
        <v>7.2046421150475104E-3</v>
      </c>
      <c r="AX179" s="13">
        <v>45568</v>
      </c>
      <c r="AY179" s="2">
        <v>23.4</v>
      </c>
      <c r="AZ179" s="2"/>
      <c r="BA179" s="2"/>
      <c r="BB179" s="2"/>
      <c r="BC179" s="2">
        <f t="shared" si="12"/>
        <v>23.4</v>
      </c>
      <c r="BD179" s="2"/>
      <c r="BE179" s="5">
        <f t="shared" si="20"/>
        <v>-4.2643987864575397E-3</v>
      </c>
      <c r="BF179" s="13">
        <v>45568</v>
      </c>
      <c r="BG179" s="2">
        <v>170.1</v>
      </c>
      <c r="BH179" s="2"/>
      <c r="BI179" s="2"/>
      <c r="BJ179" s="2"/>
      <c r="BK179" s="2">
        <f t="shared" si="13"/>
        <v>170.1</v>
      </c>
      <c r="BL179" s="2"/>
      <c r="BM179" s="5">
        <f t="shared" si="22"/>
        <v>1.4806311353833472E-2</v>
      </c>
    </row>
    <row r="180" spans="1:65" ht="15.75" customHeight="1" x14ac:dyDescent="0.35">
      <c r="A180" s="675"/>
      <c r="B180" s="13">
        <v>45571</v>
      </c>
      <c r="C180" s="2">
        <v>10.5</v>
      </c>
      <c r="D180" s="2"/>
      <c r="E180" s="2"/>
      <c r="F180" s="2"/>
      <c r="G180" s="11">
        <f t="shared" si="14"/>
        <v>10.5</v>
      </c>
      <c r="H180" s="2"/>
      <c r="I180" s="5">
        <f t="shared" si="21"/>
        <v>-1.8868484304382691E-2</v>
      </c>
      <c r="J180" s="13">
        <v>45571</v>
      </c>
      <c r="K180" s="2">
        <v>33.6</v>
      </c>
      <c r="L180" s="2"/>
      <c r="M180" s="2"/>
      <c r="N180" s="2"/>
      <c r="O180" s="11">
        <f t="shared" si="7"/>
        <v>33.6</v>
      </c>
      <c r="P180" s="2"/>
      <c r="Q180" s="5">
        <f t="shared" si="15"/>
        <v>0</v>
      </c>
      <c r="R180" s="13">
        <v>45571</v>
      </c>
      <c r="S180" s="2">
        <v>332</v>
      </c>
      <c r="T180" s="2"/>
      <c r="U180" s="2"/>
      <c r="V180" s="2"/>
      <c r="W180" s="11">
        <f t="shared" si="8"/>
        <v>332</v>
      </c>
      <c r="X180" s="2"/>
      <c r="Y180" s="5">
        <f t="shared" si="16"/>
        <v>-1.7615024803755625E-2</v>
      </c>
      <c r="Z180" s="13">
        <v>45571</v>
      </c>
      <c r="AA180" s="2">
        <v>928.4</v>
      </c>
      <c r="AB180" s="2"/>
      <c r="AC180" s="2"/>
      <c r="AD180" s="2"/>
      <c r="AE180" s="2">
        <f t="shared" si="9"/>
        <v>928.4</v>
      </c>
      <c r="AF180" s="2"/>
      <c r="AG180" s="5">
        <f t="shared" si="17"/>
        <v>-1.2917116973648712E-3</v>
      </c>
      <c r="AH180" s="13">
        <v>45571</v>
      </c>
      <c r="AI180" s="2">
        <v>702.1</v>
      </c>
      <c r="AJ180" s="2"/>
      <c r="AK180" s="2"/>
      <c r="AL180" s="2"/>
      <c r="AM180" s="2">
        <f t="shared" si="10"/>
        <v>702.1</v>
      </c>
      <c r="AN180" s="2"/>
      <c r="AO180" s="5">
        <f t="shared" si="18"/>
        <v>-4.5474001909302968E-3</v>
      </c>
      <c r="AP180" s="13">
        <v>45571</v>
      </c>
      <c r="AQ180" s="11">
        <v>548.5</v>
      </c>
      <c r="AR180" s="2"/>
      <c r="AS180" s="2"/>
      <c r="AT180" s="2"/>
      <c r="AU180" s="11">
        <f t="shared" si="11"/>
        <v>548.5</v>
      </c>
      <c r="AV180" s="2"/>
      <c r="AW180" s="5">
        <f t="shared" si="19"/>
        <v>-1.5736962190365821E-2</v>
      </c>
      <c r="AX180" s="13">
        <v>45571</v>
      </c>
      <c r="AY180" s="2">
        <v>23.4</v>
      </c>
      <c r="AZ180" s="2"/>
      <c r="BA180" s="2"/>
      <c r="BB180" s="2"/>
      <c r="BC180" s="2">
        <f t="shared" si="12"/>
        <v>23.4</v>
      </c>
      <c r="BD180" s="2"/>
      <c r="BE180" s="5">
        <f t="shared" si="20"/>
        <v>0</v>
      </c>
      <c r="BF180" s="13">
        <v>45571</v>
      </c>
      <c r="BG180" s="2">
        <v>161.4</v>
      </c>
      <c r="BH180" s="2"/>
      <c r="BI180" s="2"/>
      <c r="BJ180" s="2"/>
      <c r="BK180" s="2">
        <f t="shared" si="13"/>
        <v>161.4</v>
      </c>
      <c r="BL180" s="2"/>
      <c r="BM180" s="5">
        <f t="shared" si="22"/>
        <v>-5.2500743565967595E-2</v>
      </c>
    </row>
    <row r="181" spans="1:65" ht="15.75" customHeight="1" x14ac:dyDescent="0.35">
      <c r="A181" s="675"/>
      <c r="B181" s="13">
        <v>45572</v>
      </c>
      <c r="C181" s="2">
        <v>10.6</v>
      </c>
      <c r="D181" s="2"/>
      <c r="E181" s="2"/>
      <c r="F181" s="2"/>
      <c r="G181" s="11">
        <f t="shared" si="14"/>
        <v>10.6</v>
      </c>
      <c r="H181" s="2"/>
      <c r="I181" s="5">
        <f t="shared" si="21"/>
        <v>9.4787439545437387E-3</v>
      </c>
      <c r="J181" s="13">
        <v>45572</v>
      </c>
      <c r="K181" s="2">
        <v>33.299999999999997</v>
      </c>
      <c r="L181" s="2"/>
      <c r="M181" s="2"/>
      <c r="N181" s="2"/>
      <c r="O181" s="11">
        <f t="shared" si="7"/>
        <v>33.299999999999997</v>
      </c>
      <c r="P181" s="2"/>
      <c r="Q181" s="5">
        <f t="shared" si="15"/>
        <v>-8.9686699827604879E-3</v>
      </c>
      <c r="R181" s="13">
        <v>45572</v>
      </c>
      <c r="S181" s="2">
        <v>325.8</v>
      </c>
      <c r="T181" s="2"/>
      <c r="U181" s="2"/>
      <c r="V181" s="2"/>
      <c r="W181" s="11">
        <f t="shared" si="8"/>
        <v>325.8</v>
      </c>
      <c r="X181" s="2"/>
      <c r="Y181" s="5">
        <f t="shared" si="16"/>
        <v>-1.8851272748543754E-2</v>
      </c>
      <c r="Z181" s="13">
        <v>45572</v>
      </c>
      <c r="AA181" s="2">
        <v>929.5</v>
      </c>
      <c r="AB181" s="2"/>
      <c r="AC181" s="2"/>
      <c r="AD181" s="2"/>
      <c r="AE181" s="2">
        <f t="shared" si="9"/>
        <v>929.5</v>
      </c>
      <c r="AF181" s="2"/>
      <c r="AG181" s="5">
        <f t="shared" si="17"/>
        <v>1.184132761216772E-3</v>
      </c>
      <c r="AH181" s="13">
        <v>45572</v>
      </c>
      <c r="AI181" s="2">
        <v>695.7</v>
      </c>
      <c r="AJ181" s="2"/>
      <c r="AK181" s="2"/>
      <c r="AL181" s="2"/>
      <c r="AM181" s="2">
        <f t="shared" si="10"/>
        <v>695.7</v>
      </c>
      <c r="AN181" s="2"/>
      <c r="AO181" s="5">
        <f t="shared" si="18"/>
        <v>-9.1573110936074235E-3</v>
      </c>
      <c r="AP181" s="13">
        <v>45572</v>
      </c>
      <c r="AQ181" s="11">
        <v>522.20000000000005</v>
      </c>
      <c r="AR181" s="2"/>
      <c r="AS181" s="2"/>
      <c r="AT181" s="2"/>
      <c r="AU181" s="11">
        <f t="shared" si="11"/>
        <v>522.20000000000005</v>
      </c>
      <c r="AV181" s="2"/>
      <c r="AW181" s="5">
        <f t="shared" si="19"/>
        <v>-4.9136623450256399E-2</v>
      </c>
      <c r="AX181" s="13">
        <v>45572</v>
      </c>
      <c r="AY181" s="2">
        <v>23</v>
      </c>
      <c r="AZ181" s="2"/>
      <c r="BA181" s="2"/>
      <c r="BB181" s="2"/>
      <c r="BC181" s="2">
        <f t="shared" si="12"/>
        <v>23</v>
      </c>
      <c r="BD181" s="2"/>
      <c r="BE181" s="5">
        <f t="shared" si="20"/>
        <v>-1.7241806434505992E-2</v>
      </c>
      <c r="BF181" s="13">
        <v>45572</v>
      </c>
      <c r="BG181" s="2">
        <v>159.1</v>
      </c>
      <c r="BH181" s="2"/>
      <c r="BI181" s="2"/>
      <c r="BJ181" s="2"/>
      <c r="BK181" s="2">
        <f t="shared" si="13"/>
        <v>159.1</v>
      </c>
      <c r="BL181" s="2"/>
      <c r="BM181" s="5">
        <f t="shared" si="22"/>
        <v>-1.4352820492107267E-2</v>
      </c>
    </row>
    <row r="182" spans="1:65" ht="15.75" customHeight="1" x14ac:dyDescent="0.35">
      <c r="A182" s="675"/>
      <c r="B182" s="13">
        <v>45573</v>
      </c>
      <c r="C182" s="2">
        <v>10.5</v>
      </c>
      <c r="D182" s="2"/>
      <c r="E182" s="2"/>
      <c r="F182" s="2"/>
      <c r="G182" s="11">
        <f t="shared" si="14"/>
        <v>10.5</v>
      </c>
      <c r="H182" s="2"/>
      <c r="I182" s="5">
        <f t="shared" si="21"/>
        <v>-9.47874395454377E-3</v>
      </c>
      <c r="J182" s="13">
        <v>45573</v>
      </c>
      <c r="K182" s="2">
        <v>32.6</v>
      </c>
      <c r="L182" s="2"/>
      <c r="M182" s="2"/>
      <c r="N182" s="2"/>
      <c r="O182" s="11">
        <f t="shared" si="7"/>
        <v>32.6</v>
      </c>
      <c r="P182" s="2"/>
      <c r="Q182" s="5">
        <f t="shared" si="15"/>
        <v>-2.124510861373604E-2</v>
      </c>
      <c r="R182" s="13">
        <v>45573</v>
      </c>
      <c r="S182" s="2">
        <v>329.4</v>
      </c>
      <c r="T182" s="2"/>
      <c r="U182" s="2"/>
      <c r="V182" s="2"/>
      <c r="W182" s="11">
        <f t="shared" si="8"/>
        <v>329.4</v>
      </c>
      <c r="X182" s="2"/>
      <c r="Y182" s="5">
        <f t="shared" si="16"/>
        <v>1.0989121575595165E-2</v>
      </c>
      <c r="Z182" s="13">
        <v>45573</v>
      </c>
      <c r="AA182" s="2">
        <v>926.9</v>
      </c>
      <c r="AB182" s="2"/>
      <c r="AC182" s="2"/>
      <c r="AD182" s="2"/>
      <c r="AE182" s="2">
        <f t="shared" si="9"/>
        <v>926.9</v>
      </c>
      <c r="AF182" s="2"/>
      <c r="AG182" s="5">
        <f t="shared" si="17"/>
        <v>-2.801122279711779E-3</v>
      </c>
      <c r="AH182" s="13">
        <v>45573</v>
      </c>
      <c r="AI182" s="2">
        <v>692.2</v>
      </c>
      <c r="AJ182" s="2"/>
      <c r="AK182" s="2"/>
      <c r="AL182" s="2"/>
      <c r="AM182" s="2">
        <f t="shared" si="10"/>
        <v>692.2</v>
      </c>
      <c r="AN182" s="2"/>
      <c r="AO182" s="5">
        <f t="shared" si="18"/>
        <v>-5.0436017283517504E-3</v>
      </c>
      <c r="AP182" s="13">
        <v>45573</v>
      </c>
      <c r="AQ182" s="11">
        <v>517.29999999999995</v>
      </c>
      <c r="AR182" s="2"/>
      <c r="AS182" s="2"/>
      <c r="AT182" s="2"/>
      <c r="AU182" s="11">
        <f t="shared" si="11"/>
        <v>517.29999999999995</v>
      </c>
      <c r="AV182" s="2"/>
      <c r="AW182" s="5">
        <f t="shared" si="19"/>
        <v>-9.4276792555593077E-3</v>
      </c>
      <c r="AX182" s="13">
        <v>45573</v>
      </c>
      <c r="AY182" s="2">
        <v>23.2</v>
      </c>
      <c r="AZ182" s="2"/>
      <c r="BA182" s="2"/>
      <c r="BB182" s="2"/>
      <c r="BC182" s="2">
        <f t="shared" si="12"/>
        <v>23.2</v>
      </c>
      <c r="BD182" s="2"/>
      <c r="BE182" s="5">
        <f t="shared" si="20"/>
        <v>8.6580627431145311E-3</v>
      </c>
      <c r="BF182" s="13">
        <v>45573</v>
      </c>
      <c r="BG182" s="2">
        <v>168</v>
      </c>
      <c r="BH182" s="2"/>
      <c r="BI182" s="2"/>
      <c r="BJ182" s="2"/>
      <c r="BK182" s="2">
        <f t="shared" si="13"/>
        <v>168</v>
      </c>
      <c r="BL182" s="2"/>
      <c r="BM182" s="5">
        <f t="shared" si="22"/>
        <v>5.4431044059517701E-2</v>
      </c>
    </row>
    <row r="183" spans="1:65" ht="15.75" customHeight="1" x14ac:dyDescent="0.35">
      <c r="A183" s="675"/>
      <c r="B183" s="13">
        <v>45574</v>
      </c>
      <c r="C183" s="2">
        <v>10.6</v>
      </c>
      <c r="D183" s="2"/>
      <c r="E183" s="2"/>
      <c r="F183" s="2"/>
      <c r="G183" s="11">
        <f t="shared" si="14"/>
        <v>10.6</v>
      </c>
      <c r="H183" s="2"/>
      <c r="I183" s="5">
        <f t="shared" si="21"/>
        <v>9.4787439545437387E-3</v>
      </c>
      <c r="J183" s="13">
        <v>45574</v>
      </c>
      <c r="K183" s="2">
        <v>35</v>
      </c>
      <c r="L183" s="2"/>
      <c r="M183" s="2"/>
      <c r="N183" s="2"/>
      <c r="O183" s="11">
        <f t="shared" si="7"/>
        <v>35</v>
      </c>
      <c r="P183" s="2"/>
      <c r="Q183" s="5">
        <f t="shared" si="15"/>
        <v>7.1035773116751744E-2</v>
      </c>
      <c r="R183" s="13">
        <v>45574</v>
      </c>
      <c r="S183" s="2">
        <v>338.1</v>
      </c>
      <c r="T183" s="2"/>
      <c r="U183" s="2"/>
      <c r="V183" s="2"/>
      <c r="W183" s="11">
        <f t="shared" si="8"/>
        <v>338.1</v>
      </c>
      <c r="X183" s="2"/>
      <c r="Y183" s="5">
        <f t="shared" si="16"/>
        <v>2.6068891970300424E-2</v>
      </c>
      <c r="Z183" s="13">
        <v>45574</v>
      </c>
      <c r="AA183" s="2">
        <v>933.8</v>
      </c>
      <c r="AB183" s="2"/>
      <c r="AC183" s="2"/>
      <c r="AD183" s="2"/>
      <c r="AE183" s="2">
        <f t="shared" si="9"/>
        <v>933.8</v>
      </c>
      <c r="AF183" s="2"/>
      <c r="AG183" s="5">
        <f t="shared" si="17"/>
        <v>7.4165976550496192E-3</v>
      </c>
      <c r="AH183" s="13">
        <v>45574</v>
      </c>
      <c r="AI183" s="2">
        <v>698</v>
      </c>
      <c r="AJ183" s="2"/>
      <c r="AK183" s="2"/>
      <c r="AL183" s="2"/>
      <c r="AM183" s="2">
        <f t="shared" si="10"/>
        <v>698</v>
      </c>
      <c r="AN183" s="2"/>
      <c r="AO183" s="5">
        <f t="shared" si="18"/>
        <v>8.3441715611286202E-3</v>
      </c>
      <c r="AP183" s="13">
        <v>45574</v>
      </c>
      <c r="AQ183" s="11">
        <v>523.6</v>
      </c>
      <c r="AR183" s="2"/>
      <c r="AS183" s="2"/>
      <c r="AT183" s="2"/>
      <c r="AU183" s="11">
        <f t="shared" si="11"/>
        <v>523.6</v>
      </c>
      <c r="AV183" s="2"/>
      <c r="AW183" s="5">
        <f t="shared" si="19"/>
        <v>1.2105057026275618E-2</v>
      </c>
      <c r="AX183" s="13">
        <v>45574</v>
      </c>
      <c r="AY183" s="2">
        <v>23.9</v>
      </c>
      <c r="AZ183" s="2"/>
      <c r="BA183" s="2"/>
      <c r="BB183" s="2"/>
      <c r="BC183" s="2">
        <f t="shared" si="12"/>
        <v>23.9</v>
      </c>
      <c r="BD183" s="2"/>
      <c r="BE183" s="5">
        <f t="shared" si="20"/>
        <v>2.9726180265200689E-2</v>
      </c>
      <c r="BF183" s="13">
        <v>45574</v>
      </c>
      <c r="BG183" s="2">
        <v>169.6</v>
      </c>
      <c r="BH183" s="2"/>
      <c r="BI183" s="2"/>
      <c r="BJ183" s="2"/>
      <c r="BK183" s="2">
        <f t="shared" si="13"/>
        <v>169.6</v>
      </c>
      <c r="BL183" s="2"/>
      <c r="BM183" s="5">
        <f t="shared" si="22"/>
        <v>9.4787439545437387E-3</v>
      </c>
    </row>
    <row r="184" spans="1:65" ht="15.75" customHeight="1" x14ac:dyDescent="0.35">
      <c r="A184" s="675"/>
      <c r="B184" s="13">
        <v>45579</v>
      </c>
      <c r="C184" s="2">
        <v>10.6</v>
      </c>
      <c r="D184" s="2"/>
      <c r="E184" s="2"/>
      <c r="F184" s="2"/>
      <c r="G184" s="11">
        <f t="shared" si="14"/>
        <v>10.6</v>
      </c>
      <c r="H184" s="2"/>
      <c r="I184" s="5">
        <f t="shared" si="21"/>
        <v>0</v>
      </c>
      <c r="J184" s="13">
        <v>45579</v>
      </c>
      <c r="K184" s="2">
        <v>35</v>
      </c>
      <c r="L184" s="2"/>
      <c r="M184" s="2"/>
      <c r="N184" s="2"/>
      <c r="O184" s="11">
        <f t="shared" si="7"/>
        <v>35</v>
      </c>
      <c r="P184" s="2"/>
      <c r="Q184" s="5">
        <f t="shared" si="15"/>
        <v>0</v>
      </c>
      <c r="R184" s="13">
        <v>45579</v>
      </c>
      <c r="S184" s="2">
        <v>335.5</v>
      </c>
      <c r="T184" s="2"/>
      <c r="U184" s="2"/>
      <c r="V184" s="2"/>
      <c r="W184" s="11">
        <f t="shared" si="8"/>
        <v>335.5</v>
      </c>
      <c r="X184" s="2"/>
      <c r="Y184" s="5">
        <f t="shared" si="16"/>
        <v>-7.719753302103882E-3</v>
      </c>
      <c r="Z184" s="13">
        <v>45579</v>
      </c>
      <c r="AA184" s="2">
        <v>932.3</v>
      </c>
      <c r="AB184" s="2"/>
      <c r="AC184" s="2"/>
      <c r="AD184" s="2"/>
      <c r="AE184" s="2">
        <f t="shared" si="9"/>
        <v>932.3</v>
      </c>
      <c r="AF184" s="2"/>
      <c r="AG184" s="5">
        <f t="shared" si="17"/>
        <v>-1.6076312341886587E-3</v>
      </c>
      <c r="AH184" s="13">
        <v>45579</v>
      </c>
      <c r="AI184" s="2">
        <v>696.4</v>
      </c>
      <c r="AJ184" s="2"/>
      <c r="AK184" s="2"/>
      <c r="AL184" s="2"/>
      <c r="AM184" s="2">
        <f t="shared" si="10"/>
        <v>696.4</v>
      </c>
      <c r="AN184" s="2"/>
      <c r="AO184" s="5">
        <f t="shared" si="18"/>
        <v>-2.2948948683385135E-3</v>
      </c>
      <c r="AP184" s="13">
        <v>45579</v>
      </c>
      <c r="AQ184" s="11">
        <v>487.9</v>
      </c>
      <c r="AR184" s="2"/>
      <c r="AS184" s="2"/>
      <c r="AT184" s="2"/>
      <c r="AU184" s="11">
        <f t="shared" si="11"/>
        <v>487.9</v>
      </c>
      <c r="AV184" s="2"/>
      <c r="AW184" s="5">
        <f t="shared" si="19"/>
        <v>-7.0617567213953417E-2</v>
      </c>
      <c r="AX184" s="13">
        <v>45579</v>
      </c>
      <c r="AY184" s="2">
        <v>23.1</v>
      </c>
      <c r="AZ184" s="2"/>
      <c r="BA184" s="2"/>
      <c r="BB184" s="2"/>
      <c r="BC184" s="2">
        <f t="shared" si="12"/>
        <v>23.1</v>
      </c>
      <c r="BD184" s="2"/>
      <c r="BE184" s="5">
        <f t="shared" si="20"/>
        <v>-3.404584140971699E-2</v>
      </c>
      <c r="BF184" s="13">
        <v>45579</v>
      </c>
      <c r="BG184" s="2">
        <v>173.7</v>
      </c>
      <c r="BH184" s="2"/>
      <c r="BI184" s="2"/>
      <c r="BJ184" s="2"/>
      <c r="BK184" s="2">
        <f t="shared" si="13"/>
        <v>173.7</v>
      </c>
      <c r="BL184" s="2"/>
      <c r="BM184" s="5">
        <f t="shared" si="22"/>
        <v>2.3886949889256583E-2</v>
      </c>
    </row>
    <row r="185" spans="1:65" ht="15.75" customHeight="1" x14ac:dyDescent="0.35">
      <c r="A185" s="675"/>
      <c r="B185" s="13">
        <v>45580</v>
      </c>
      <c r="C185" s="2">
        <v>10.7</v>
      </c>
      <c r="D185" s="2"/>
      <c r="E185" s="2"/>
      <c r="F185" s="2"/>
      <c r="G185" s="11">
        <f t="shared" si="14"/>
        <v>10.7</v>
      </c>
      <c r="H185" s="2"/>
      <c r="I185" s="5">
        <f t="shared" si="21"/>
        <v>9.3897403498389171E-3</v>
      </c>
      <c r="J185" s="13">
        <v>45580</v>
      </c>
      <c r="K185" s="2">
        <v>34.700000000000003</v>
      </c>
      <c r="L185" s="2"/>
      <c r="M185" s="2"/>
      <c r="N185" s="2"/>
      <c r="O185" s="11">
        <f t="shared" si="7"/>
        <v>34.700000000000003</v>
      </c>
      <c r="P185" s="2"/>
      <c r="Q185" s="5">
        <f t="shared" si="15"/>
        <v>-8.6083745366000511E-3</v>
      </c>
      <c r="R185" s="13">
        <v>45580</v>
      </c>
      <c r="S185" s="2">
        <v>335.4</v>
      </c>
      <c r="T185" s="2"/>
      <c r="U185" s="2"/>
      <c r="V185" s="2"/>
      <c r="W185" s="11">
        <f t="shared" si="8"/>
        <v>335.4</v>
      </c>
      <c r="X185" s="2"/>
      <c r="Y185" s="5">
        <f t="shared" si="16"/>
        <v>-2.9810702262802357E-4</v>
      </c>
      <c r="Z185" s="13">
        <v>45580</v>
      </c>
      <c r="AA185" s="2">
        <v>927.3</v>
      </c>
      <c r="AB185" s="2"/>
      <c r="AC185" s="2"/>
      <c r="AD185" s="2"/>
      <c r="AE185" s="2">
        <f t="shared" si="9"/>
        <v>927.3</v>
      </c>
      <c r="AF185" s="2"/>
      <c r="AG185" s="5">
        <f t="shared" si="17"/>
        <v>-5.3775134964676279E-3</v>
      </c>
      <c r="AH185" s="13">
        <v>45580</v>
      </c>
      <c r="AI185" s="2">
        <v>695.9</v>
      </c>
      <c r="AJ185" s="2"/>
      <c r="AK185" s="2"/>
      <c r="AL185" s="2"/>
      <c r="AM185" s="2">
        <f t="shared" si="10"/>
        <v>695.9</v>
      </c>
      <c r="AN185" s="2"/>
      <c r="AO185" s="5">
        <f t="shared" si="18"/>
        <v>-7.1823604322961121E-4</v>
      </c>
      <c r="AP185" s="13">
        <v>45580</v>
      </c>
      <c r="AQ185" s="11">
        <v>484.2</v>
      </c>
      <c r="AR185" s="2"/>
      <c r="AS185" s="2"/>
      <c r="AT185" s="2"/>
      <c r="AU185" s="11">
        <f t="shared" si="11"/>
        <v>484.2</v>
      </c>
      <c r="AV185" s="2"/>
      <c r="AW185" s="5">
        <f t="shared" si="19"/>
        <v>-7.612422317833361E-3</v>
      </c>
      <c r="AX185" s="13">
        <v>45580</v>
      </c>
      <c r="AY185" s="2">
        <v>23.6</v>
      </c>
      <c r="AZ185" s="2"/>
      <c r="BA185" s="2"/>
      <c r="BB185" s="2"/>
      <c r="BC185" s="2">
        <f t="shared" si="12"/>
        <v>23.6</v>
      </c>
      <c r="BD185" s="2"/>
      <c r="BE185" s="5">
        <f t="shared" si="20"/>
        <v>2.1414094503816573E-2</v>
      </c>
      <c r="BF185" s="13">
        <v>45580</v>
      </c>
      <c r="BG185" s="2">
        <v>173.9</v>
      </c>
      <c r="BH185" s="2"/>
      <c r="BI185" s="2"/>
      <c r="BJ185" s="2"/>
      <c r="BK185" s="2">
        <f t="shared" si="13"/>
        <v>173.9</v>
      </c>
      <c r="BL185" s="2"/>
      <c r="BM185" s="5">
        <f t="shared" si="22"/>
        <v>1.1507481131781498E-3</v>
      </c>
    </row>
    <row r="186" spans="1:65" ht="15.75" customHeight="1" x14ac:dyDescent="0.35">
      <c r="A186" s="675"/>
      <c r="B186" s="13">
        <v>45581</v>
      </c>
      <c r="C186" s="2">
        <v>10.6</v>
      </c>
      <c r="D186" s="2"/>
      <c r="E186" s="2"/>
      <c r="F186" s="2"/>
      <c r="G186" s="11">
        <f t="shared" si="14"/>
        <v>10.6</v>
      </c>
      <c r="H186" s="2"/>
      <c r="I186" s="5">
        <f t="shared" si="21"/>
        <v>-9.3897403498390316E-3</v>
      </c>
      <c r="J186" s="13">
        <v>45581</v>
      </c>
      <c r="K186" s="2">
        <v>34.1</v>
      </c>
      <c r="L186" s="2"/>
      <c r="M186" s="2"/>
      <c r="N186" s="2"/>
      <c r="O186" s="11">
        <f t="shared" si="7"/>
        <v>34.1</v>
      </c>
      <c r="P186" s="2"/>
      <c r="Q186" s="5">
        <f t="shared" si="15"/>
        <v>-1.7442302663342485E-2</v>
      </c>
      <c r="R186" s="13">
        <v>45581</v>
      </c>
      <c r="S186" s="2">
        <v>337.6</v>
      </c>
      <c r="T186" s="2"/>
      <c r="U186" s="2"/>
      <c r="V186" s="2"/>
      <c r="W186" s="11">
        <f t="shared" si="8"/>
        <v>337.6</v>
      </c>
      <c r="X186" s="2"/>
      <c r="Y186" s="5">
        <f t="shared" si="16"/>
        <v>6.5379133326936524E-3</v>
      </c>
      <c r="Z186" s="13">
        <v>45581</v>
      </c>
      <c r="AA186" s="2">
        <v>921.5</v>
      </c>
      <c r="AB186" s="2"/>
      <c r="AC186" s="2"/>
      <c r="AD186" s="2"/>
      <c r="AE186" s="2">
        <f t="shared" si="9"/>
        <v>921.5</v>
      </c>
      <c r="AF186" s="2"/>
      <c r="AG186" s="5">
        <f t="shared" si="17"/>
        <v>-6.2743606963023037E-3</v>
      </c>
      <c r="AH186" s="13">
        <v>45581</v>
      </c>
      <c r="AI186" s="2">
        <v>668.7</v>
      </c>
      <c r="AJ186" s="2"/>
      <c r="AK186" s="2"/>
      <c r="AL186" s="2"/>
      <c r="AM186" s="2">
        <f t="shared" si="10"/>
        <v>668.7</v>
      </c>
      <c r="AN186" s="2"/>
      <c r="AO186" s="5">
        <f t="shared" si="18"/>
        <v>-3.9870442790871395E-2</v>
      </c>
      <c r="AP186" s="13">
        <v>45581</v>
      </c>
      <c r="AQ186" s="11">
        <v>494.1</v>
      </c>
      <c r="AR186" s="2"/>
      <c r="AS186" s="2"/>
      <c r="AT186" s="2"/>
      <c r="AU186" s="11">
        <f t="shared" si="11"/>
        <v>494.1</v>
      </c>
      <c r="AV186" s="2"/>
      <c r="AW186" s="5">
        <f t="shared" si="19"/>
        <v>2.0239881347746336E-2</v>
      </c>
      <c r="AX186" s="13">
        <v>45581</v>
      </c>
      <c r="AY186" s="2">
        <v>22.9</v>
      </c>
      <c r="AZ186" s="2"/>
      <c r="BA186" s="2"/>
      <c r="BB186" s="2"/>
      <c r="BC186" s="2">
        <f t="shared" si="12"/>
        <v>22.9</v>
      </c>
      <c r="BD186" s="2"/>
      <c r="BE186" s="5">
        <f t="shared" si="20"/>
        <v>-3.010980147137057E-2</v>
      </c>
      <c r="BF186" s="13">
        <v>45581</v>
      </c>
      <c r="BG186" s="2">
        <v>171.6</v>
      </c>
      <c r="BH186" s="2"/>
      <c r="BI186" s="2"/>
      <c r="BJ186" s="2"/>
      <c r="BK186" s="2">
        <f t="shared" si="13"/>
        <v>171.6</v>
      </c>
      <c r="BL186" s="2"/>
      <c r="BM186" s="5">
        <f t="shared" si="22"/>
        <v>-1.3314234306375457E-2</v>
      </c>
    </row>
    <row r="187" spans="1:65" ht="15.75" customHeight="1" x14ac:dyDescent="0.35">
      <c r="A187" s="675"/>
      <c r="B187" s="13">
        <v>45582</v>
      </c>
      <c r="C187" s="2">
        <v>10.5</v>
      </c>
      <c r="D187" s="2"/>
      <c r="E187" s="2"/>
      <c r="F187" s="2"/>
      <c r="G187" s="11">
        <f t="shared" si="14"/>
        <v>10.5</v>
      </c>
      <c r="H187" s="2"/>
      <c r="I187" s="5">
        <f t="shared" si="21"/>
        <v>-9.47874395454377E-3</v>
      </c>
      <c r="J187" s="13">
        <v>45582</v>
      </c>
      <c r="K187" s="2">
        <v>33.799999999999997</v>
      </c>
      <c r="L187" s="2"/>
      <c r="M187" s="2"/>
      <c r="N187" s="2"/>
      <c r="O187" s="11">
        <f t="shared" si="7"/>
        <v>33.799999999999997</v>
      </c>
      <c r="P187" s="2"/>
      <c r="Q187" s="5">
        <f t="shared" si="15"/>
        <v>-8.8365818004981118E-3</v>
      </c>
      <c r="R187" s="13">
        <v>45582</v>
      </c>
      <c r="S187" s="2">
        <v>335</v>
      </c>
      <c r="T187" s="2"/>
      <c r="U187" s="2"/>
      <c r="V187" s="2"/>
      <c r="W187" s="11">
        <f t="shared" si="8"/>
        <v>335</v>
      </c>
      <c r="X187" s="2"/>
      <c r="Y187" s="5">
        <f t="shared" si="16"/>
        <v>-7.7312308967356531E-3</v>
      </c>
      <c r="Z187" s="13">
        <v>45582</v>
      </c>
      <c r="AA187" s="2">
        <v>921.5</v>
      </c>
      <c r="AB187" s="2"/>
      <c r="AC187" s="2"/>
      <c r="AD187" s="2"/>
      <c r="AE187" s="2">
        <f t="shared" si="9"/>
        <v>921.5</v>
      </c>
      <c r="AF187" s="2"/>
      <c r="AG187" s="5">
        <f t="shared" si="17"/>
        <v>0</v>
      </c>
      <c r="AH187" s="13">
        <v>45582</v>
      </c>
      <c r="AI187" s="2">
        <v>662.5</v>
      </c>
      <c r="AJ187" s="2"/>
      <c r="AK187" s="2"/>
      <c r="AL187" s="2"/>
      <c r="AM187" s="2">
        <f t="shared" si="10"/>
        <v>662.5</v>
      </c>
      <c r="AN187" s="2"/>
      <c r="AO187" s="5">
        <f t="shared" si="18"/>
        <v>-9.3149711995557088E-3</v>
      </c>
      <c r="AP187" s="13">
        <v>45582</v>
      </c>
      <c r="AQ187" s="11">
        <v>484.1</v>
      </c>
      <c r="AR187" s="2"/>
      <c r="AS187" s="2"/>
      <c r="AT187" s="2"/>
      <c r="AU187" s="11">
        <f t="shared" si="11"/>
        <v>484.1</v>
      </c>
      <c r="AV187" s="2"/>
      <c r="AW187" s="5">
        <f t="shared" si="19"/>
        <v>-2.0446428906055695E-2</v>
      </c>
      <c r="AX187" s="13">
        <v>45582</v>
      </c>
      <c r="AY187" s="2">
        <v>23.2</v>
      </c>
      <c r="AZ187" s="2"/>
      <c r="BA187" s="2"/>
      <c r="BB187" s="2"/>
      <c r="BC187" s="2">
        <f t="shared" si="12"/>
        <v>23.2</v>
      </c>
      <c r="BD187" s="2"/>
      <c r="BE187" s="5">
        <f t="shared" si="20"/>
        <v>1.3015368112070446E-2</v>
      </c>
      <c r="BF187" s="13">
        <v>45582</v>
      </c>
      <c r="BG187" s="2">
        <v>173</v>
      </c>
      <c r="BH187" s="2"/>
      <c r="BI187" s="2"/>
      <c r="BJ187" s="2"/>
      <c r="BK187" s="2">
        <f t="shared" si="13"/>
        <v>173</v>
      </c>
      <c r="BL187" s="2"/>
      <c r="BM187" s="5">
        <f t="shared" si="22"/>
        <v>8.1254074439171525E-3</v>
      </c>
    </row>
    <row r="188" spans="1:65" ht="15.75" customHeight="1" x14ac:dyDescent="0.35">
      <c r="A188" s="675"/>
      <c r="B188" s="13">
        <v>45585</v>
      </c>
      <c r="C188" s="2">
        <v>10.199999999999999</v>
      </c>
      <c r="D188" s="2"/>
      <c r="E188" s="2"/>
      <c r="F188" s="2"/>
      <c r="G188" s="11">
        <f t="shared" si="14"/>
        <v>10.199999999999999</v>
      </c>
      <c r="H188" s="2"/>
      <c r="I188" s="5">
        <f t="shared" si="21"/>
        <v>-2.8987536873252413E-2</v>
      </c>
      <c r="J188" s="13">
        <v>45585</v>
      </c>
      <c r="K188" s="2">
        <v>35</v>
      </c>
      <c r="L188" s="2"/>
      <c r="M188" s="2"/>
      <c r="N188" s="2"/>
      <c r="O188" s="11">
        <f t="shared" si="7"/>
        <v>35</v>
      </c>
      <c r="P188" s="2"/>
      <c r="Q188" s="5">
        <f t="shared" si="15"/>
        <v>3.4887259000440755E-2</v>
      </c>
      <c r="R188" s="13">
        <v>45585</v>
      </c>
      <c r="S188" s="2">
        <v>332.8</v>
      </c>
      <c r="T188" s="2"/>
      <c r="U188" s="2"/>
      <c r="V188" s="2"/>
      <c r="W188" s="11">
        <f t="shared" si="8"/>
        <v>332.8</v>
      </c>
      <c r="X188" s="2"/>
      <c r="Y188" s="5">
        <f t="shared" si="16"/>
        <v>-6.5888228780128406E-3</v>
      </c>
      <c r="Z188" s="13">
        <v>45585</v>
      </c>
      <c r="AA188" s="2">
        <v>915.3</v>
      </c>
      <c r="AB188" s="2"/>
      <c r="AC188" s="2"/>
      <c r="AD188" s="2"/>
      <c r="AE188" s="2">
        <f t="shared" si="9"/>
        <v>915.3</v>
      </c>
      <c r="AF188" s="2"/>
      <c r="AG188" s="5">
        <f t="shared" si="17"/>
        <v>-6.7508967191443631E-3</v>
      </c>
      <c r="AH188" s="13">
        <v>45585</v>
      </c>
      <c r="AI188" s="2">
        <v>655.1</v>
      </c>
      <c r="AJ188" s="2"/>
      <c r="AK188" s="2"/>
      <c r="AL188" s="2"/>
      <c r="AM188" s="2">
        <f t="shared" si="10"/>
        <v>655.1</v>
      </c>
      <c r="AN188" s="2"/>
      <c r="AO188" s="5">
        <f t="shared" si="18"/>
        <v>-1.1232662122546564E-2</v>
      </c>
      <c r="AP188" s="13">
        <v>45585</v>
      </c>
      <c r="AQ188" s="11">
        <v>468.4</v>
      </c>
      <c r="AR188" s="2"/>
      <c r="AS188" s="2"/>
      <c r="AT188" s="2"/>
      <c r="AU188" s="11">
        <f t="shared" si="11"/>
        <v>468.4</v>
      </c>
      <c r="AV188" s="2"/>
      <c r="AW188" s="5">
        <f t="shared" si="19"/>
        <v>-3.2968865222086446E-2</v>
      </c>
      <c r="AX188" s="13">
        <v>45585</v>
      </c>
      <c r="AY188" s="2">
        <v>22.7</v>
      </c>
      <c r="AZ188" s="2"/>
      <c r="BA188" s="2"/>
      <c r="BB188" s="2"/>
      <c r="BC188" s="2">
        <f t="shared" si="12"/>
        <v>22.7</v>
      </c>
      <c r="BD188" s="2"/>
      <c r="BE188" s="5">
        <f t="shared" si="20"/>
        <v>-2.1787354184907296E-2</v>
      </c>
      <c r="BF188" s="13">
        <v>45585</v>
      </c>
      <c r="BG188" s="2">
        <v>167.1</v>
      </c>
      <c r="BH188" s="2"/>
      <c r="BI188" s="2"/>
      <c r="BJ188" s="2"/>
      <c r="BK188" s="2">
        <f t="shared" si="13"/>
        <v>167.1</v>
      </c>
      <c r="BL188" s="2"/>
      <c r="BM188" s="5">
        <f t="shared" si="22"/>
        <v>-3.4699158896430986E-2</v>
      </c>
    </row>
    <row r="189" spans="1:65" ht="15.75" customHeight="1" x14ac:dyDescent="0.35">
      <c r="A189" s="675"/>
      <c r="B189" s="13">
        <v>45586</v>
      </c>
      <c r="C189" s="2">
        <v>10.3</v>
      </c>
      <c r="D189" s="2"/>
      <c r="E189" s="2"/>
      <c r="F189" s="2"/>
      <c r="G189" s="11">
        <f t="shared" si="14"/>
        <v>10.3</v>
      </c>
      <c r="H189" s="2"/>
      <c r="I189" s="5">
        <f t="shared" si="21"/>
        <v>9.7561749453648743E-3</v>
      </c>
      <c r="J189" s="13">
        <v>45586</v>
      </c>
      <c r="K189" s="2">
        <v>36.200000000000003</v>
      </c>
      <c r="L189" s="2"/>
      <c r="M189" s="2"/>
      <c r="N189" s="2"/>
      <c r="O189" s="11">
        <f t="shared" si="7"/>
        <v>36.200000000000003</v>
      </c>
      <c r="P189" s="2"/>
      <c r="Q189" s="5">
        <f t="shared" si="15"/>
        <v>3.3711057342311876E-2</v>
      </c>
      <c r="R189" s="13">
        <v>45586</v>
      </c>
      <c r="S189" s="2">
        <v>329.3</v>
      </c>
      <c r="T189" s="2"/>
      <c r="U189" s="2"/>
      <c r="V189" s="2"/>
      <c r="W189" s="11">
        <f t="shared" si="8"/>
        <v>329.3</v>
      </c>
      <c r="X189" s="2"/>
      <c r="Y189" s="5">
        <f t="shared" si="16"/>
        <v>-1.0572519564734878E-2</v>
      </c>
      <c r="Z189" s="13">
        <v>45586</v>
      </c>
      <c r="AA189" s="2">
        <v>912.5</v>
      </c>
      <c r="AB189" s="2"/>
      <c r="AC189" s="2"/>
      <c r="AD189" s="2"/>
      <c r="AE189" s="2">
        <f t="shared" si="9"/>
        <v>912.5</v>
      </c>
      <c r="AF189" s="2"/>
      <c r="AG189" s="5">
        <f t="shared" si="17"/>
        <v>-3.0637949340870337E-3</v>
      </c>
      <c r="AH189" s="13">
        <v>45586</v>
      </c>
      <c r="AI189" s="2">
        <v>655.1</v>
      </c>
      <c r="AJ189" s="2"/>
      <c r="AK189" s="2"/>
      <c r="AL189" s="2"/>
      <c r="AM189" s="2">
        <f t="shared" si="10"/>
        <v>655.1</v>
      </c>
      <c r="AN189" s="2"/>
      <c r="AO189" s="5">
        <f t="shared" si="18"/>
        <v>0</v>
      </c>
      <c r="AP189" s="13">
        <v>45586</v>
      </c>
      <c r="AQ189" s="11">
        <v>472.4</v>
      </c>
      <c r="AR189" s="2"/>
      <c r="AS189" s="2"/>
      <c r="AT189" s="2"/>
      <c r="AU189" s="11">
        <f t="shared" si="11"/>
        <v>472.4</v>
      </c>
      <c r="AV189" s="2"/>
      <c r="AW189" s="5">
        <f t="shared" si="19"/>
        <v>8.5034525996448892E-3</v>
      </c>
      <c r="AX189" s="13">
        <v>45586</v>
      </c>
      <c r="AY189" s="2">
        <v>22.8</v>
      </c>
      <c r="AZ189" s="2"/>
      <c r="BA189" s="2"/>
      <c r="BB189" s="2"/>
      <c r="BC189" s="2">
        <f t="shared" si="12"/>
        <v>22.8</v>
      </c>
      <c r="BD189" s="2"/>
      <c r="BE189" s="5">
        <f t="shared" si="20"/>
        <v>4.3956114730381293E-3</v>
      </c>
      <c r="BF189" s="13">
        <v>45586</v>
      </c>
      <c r="BG189" s="2">
        <v>168</v>
      </c>
      <c r="BH189" s="2"/>
      <c r="BI189" s="2"/>
      <c r="BJ189" s="2"/>
      <c r="BK189" s="2">
        <f t="shared" si="13"/>
        <v>168</v>
      </c>
      <c r="BL189" s="2"/>
      <c r="BM189" s="5">
        <f t="shared" si="22"/>
        <v>5.3715438019108488E-3</v>
      </c>
    </row>
    <row r="190" spans="1:65" ht="15.75" customHeight="1" x14ac:dyDescent="0.35">
      <c r="A190" s="675"/>
      <c r="B190" s="13">
        <v>45587</v>
      </c>
      <c r="C190" s="2">
        <v>10.5</v>
      </c>
      <c r="D190" s="2"/>
      <c r="E190" s="2"/>
      <c r="F190" s="2"/>
      <c r="G190" s="11">
        <f t="shared" si="14"/>
        <v>10.5</v>
      </c>
      <c r="H190" s="2"/>
      <c r="I190" s="5">
        <f t="shared" si="21"/>
        <v>1.9231361927887592E-2</v>
      </c>
      <c r="J190" s="13">
        <v>45587</v>
      </c>
      <c r="K190" s="2">
        <v>36.9</v>
      </c>
      <c r="L190" s="2"/>
      <c r="M190" s="2"/>
      <c r="N190" s="2"/>
      <c r="O190" s="11">
        <f t="shared" si="7"/>
        <v>36.9</v>
      </c>
      <c r="P190" s="2"/>
      <c r="Q190" s="5">
        <f t="shared" si="15"/>
        <v>1.9152432214755918E-2</v>
      </c>
      <c r="R190" s="13">
        <v>45587</v>
      </c>
      <c r="S190" s="2">
        <v>330.7</v>
      </c>
      <c r="T190" s="2"/>
      <c r="U190" s="2"/>
      <c r="V190" s="2"/>
      <c r="W190" s="11">
        <f t="shared" si="8"/>
        <v>330.7</v>
      </c>
      <c r="X190" s="2"/>
      <c r="Y190" s="5">
        <f t="shared" si="16"/>
        <v>4.2424306054283248E-3</v>
      </c>
      <c r="Z190" s="13">
        <v>45587</v>
      </c>
      <c r="AA190" s="2">
        <v>915.9</v>
      </c>
      <c r="AB190" s="2"/>
      <c r="AC190" s="2"/>
      <c r="AD190" s="2"/>
      <c r="AE190" s="2">
        <f t="shared" si="9"/>
        <v>915.9</v>
      </c>
      <c r="AF190" s="2"/>
      <c r="AG190" s="5">
        <f t="shared" si="17"/>
        <v>3.7191029522953656E-3</v>
      </c>
      <c r="AH190" s="13">
        <v>45587</v>
      </c>
      <c r="AI190" s="2">
        <v>683.5</v>
      </c>
      <c r="AJ190" s="2"/>
      <c r="AK190" s="2"/>
      <c r="AL190" s="2"/>
      <c r="AM190" s="2">
        <f t="shared" si="10"/>
        <v>683.5</v>
      </c>
      <c r="AN190" s="2">
        <v>9.1999999999999993</v>
      </c>
      <c r="AO190" s="5">
        <f t="shared" si="18"/>
        <v>5.5809109290728777E-2</v>
      </c>
      <c r="AP190" s="13">
        <v>45587</v>
      </c>
      <c r="AQ190" s="11">
        <v>473.4</v>
      </c>
      <c r="AR190" s="2"/>
      <c r="AS190" s="2"/>
      <c r="AT190" s="2"/>
      <c r="AU190" s="11">
        <f t="shared" si="11"/>
        <v>473.4</v>
      </c>
      <c r="AV190" s="2"/>
      <c r="AW190" s="5">
        <f t="shared" si="19"/>
        <v>2.114612756676328E-3</v>
      </c>
      <c r="AX190" s="13">
        <v>45587</v>
      </c>
      <c r="AY190" s="2">
        <v>22.9</v>
      </c>
      <c r="AZ190" s="2"/>
      <c r="BA190" s="2"/>
      <c r="BB190" s="2"/>
      <c r="BC190" s="2">
        <f t="shared" si="12"/>
        <v>22.9</v>
      </c>
      <c r="BD190" s="2"/>
      <c r="BE190" s="5">
        <f t="shared" si="20"/>
        <v>4.3763745997987815E-3</v>
      </c>
      <c r="BF190" s="13">
        <v>45587</v>
      </c>
      <c r="BG190" s="2">
        <v>169.7</v>
      </c>
      <c r="BH190" s="2"/>
      <c r="BI190" s="2"/>
      <c r="BJ190" s="2"/>
      <c r="BK190" s="2">
        <f t="shared" si="13"/>
        <v>169.7</v>
      </c>
      <c r="BL190" s="2"/>
      <c r="BM190" s="5">
        <f t="shared" si="22"/>
        <v>1.0068192836921671E-2</v>
      </c>
    </row>
    <row r="191" spans="1:65" ht="15.75" customHeight="1" x14ac:dyDescent="0.35">
      <c r="A191" s="675"/>
      <c r="B191" s="13">
        <v>45588</v>
      </c>
      <c r="C191" s="2">
        <v>10.4</v>
      </c>
      <c r="D191" s="2"/>
      <c r="E191" s="2"/>
      <c r="F191" s="2"/>
      <c r="G191" s="11">
        <f t="shared" si="14"/>
        <v>10.4</v>
      </c>
      <c r="H191" s="2"/>
      <c r="I191" s="5">
        <f t="shared" si="21"/>
        <v>-9.5694510161506725E-3</v>
      </c>
      <c r="J191" s="13">
        <v>45588</v>
      </c>
      <c r="K191" s="2">
        <v>36</v>
      </c>
      <c r="L191" s="2"/>
      <c r="M191" s="2"/>
      <c r="N191" s="2"/>
      <c r="O191" s="11">
        <f t="shared" si="7"/>
        <v>36</v>
      </c>
      <c r="P191" s="2"/>
      <c r="Q191" s="5">
        <f t="shared" si="15"/>
        <v>-2.4692612590371411E-2</v>
      </c>
      <c r="R191" s="13">
        <v>45588</v>
      </c>
      <c r="S191" s="2">
        <v>322.3</v>
      </c>
      <c r="T191" s="2"/>
      <c r="U191" s="2"/>
      <c r="V191" s="2"/>
      <c r="W191" s="11">
        <f t="shared" si="8"/>
        <v>322.3</v>
      </c>
      <c r="X191" s="2"/>
      <c r="Y191" s="5">
        <f t="shared" si="16"/>
        <v>-2.5728831166354875E-2</v>
      </c>
      <c r="Z191" s="13">
        <v>45588</v>
      </c>
      <c r="AA191" s="2">
        <v>918.6</v>
      </c>
      <c r="AB191" s="2"/>
      <c r="AC191" s="2"/>
      <c r="AD191" s="2"/>
      <c r="AE191" s="2">
        <f t="shared" si="9"/>
        <v>918.6</v>
      </c>
      <c r="AF191" s="2"/>
      <c r="AG191" s="5">
        <f t="shared" si="17"/>
        <v>2.9435834827513489E-3</v>
      </c>
      <c r="AH191" s="13">
        <v>45588</v>
      </c>
      <c r="AI191" s="2">
        <v>686.2</v>
      </c>
      <c r="AJ191" s="2"/>
      <c r="AK191" s="2"/>
      <c r="AL191" s="2"/>
      <c r="AM191" s="2">
        <f t="shared" si="10"/>
        <v>686.2</v>
      </c>
      <c r="AN191" s="2"/>
      <c r="AO191" s="5">
        <f t="shared" si="18"/>
        <v>3.9424742603451557E-3</v>
      </c>
      <c r="AP191" s="13">
        <v>45588</v>
      </c>
      <c r="AQ191" s="11">
        <v>469.8</v>
      </c>
      <c r="AR191" s="2"/>
      <c r="AS191" s="2"/>
      <c r="AT191" s="2"/>
      <c r="AU191" s="11">
        <f t="shared" si="11"/>
        <v>469.8</v>
      </c>
      <c r="AV191" s="2"/>
      <c r="AW191" s="5">
        <f t="shared" si="19"/>
        <v>-7.633624855071095E-3</v>
      </c>
      <c r="AX191" s="13">
        <v>45588</v>
      </c>
      <c r="AY191" s="2">
        <v>22.8</v>
      </c>
      <c r="AZ191" s="2"/>
      <c r="BA191" s="2"/>
      <c r="BB191" s="2"/>
      <c r="BC191" s="2">
        <f t="shared" si="12"/>
        <v>22.8</v>
      </c>
      <c r="BD191" s="2"/>
      <c r="BE191" s="5">
        <f t="shared" si="20"/>
        <v>-4.3763745997987772E-3</v>
      </c>
      <c r="BF191" s="13">
        <v>45588</v>
      </c>
      <c r="BG191" s="2">
        <v>164.2</v>
      </c>
      <c r="BH191" s="2"/>
      <c r="BI191" s="2"/>
      <c r="BJ191" s="2"/>
      <c r="BK191" s="2">
        <f t="shared" si="13"/>
        <v>164.2</v>
      </c>
      <c r="BL191" s="2"/>
      <c r="BM191" s="5">
        <f t="shared" si="22"/>
        <v>-3.2946975221852817E-2</v>
      </c>
    </row>
    <row r="192" spans="1:65" ht="15.75" customHeight="1" x14ac:dyDescent="0.35">
      <c r="A192" s="675"/>
      <c r="B192" s="13">
        <v>45589</v>
      </c>
      <c r="C192" s="2">
        <v>10.5</v>
      </c>
      <c r="D192" s="2"/>
      <c r="E192" s="2"/>
      <c r="F192" s="2"/>
      <c r="G192" s="11">
        <f t="shared" si="14"/>
        <v>10.5</v>
      </c>
      <c r="H192" s="2"/>
      <c r="I192" s="5">
        <f t="shared" si="21"/>
        <v>9.5694510161506725E-3</v>
      </c>
      <c r="J192" s="13">
        <v>45589</v>
      </c>
      <c r="K192" s="2">
        <v>35.1</v>
      </c>
      <c r="L192" s="2"/>
      <c r="M192" s="2"/>
      <c r="N192" s="2"/>
      <c r="O192" s="11">
        <f t="shared" si="7"/>
        <v>35.1</v>
      </c>
      <c r="P192" s="2"/>
      <c r="Q192" s="5">
        <f t="shared" si="15"/>
        <v>-2.5317807984289783E-2</v>
      </c>
      <c r="R192" s="13">
        <v>45589</v>
      </c>
      <c r="S192" s="2">
        <v>316.89999999999998</v>
      </c>
      <c r="T192" s="2"/>
      <c r="U192" s="2"/>
      <c r="V192" s="2"/>
      <c r="W192" s="11">
        <f t="shared" si="8"/>
        <v>316.89999999999998</v>
      </c>
      <c r="X192" s="2"/>
      <c r="Y192" s="5">
        <f t="shared" si="16"/>
        <v>-1.6896522124517161E-2</v>
      </c>
      <c r="Z192" s="13">
        <v>45589</v>
      </c>
      <c r="AA192" s="2">
        <v>910.6</v>
      </c>
      <c r="AB192" s="2"/>
      <c r="AC192" s="2"/>
      <c r="AD192" s="2"/>
      <c r="AE192" s="2">
        <f t="shared" si="9"/>
        <v>910.6</v>
      </c>
      <c r="AF192" s="2"/>
      <c r="AG192" s="5">
        <f t="shared" si="17"/>
        <v>-8.7470489910113757E-3</v>
      </c>
      <c r="AH192" s="13">
        <v>45589</v>
      </c>
      <c r="AI192" s="2">
        <v>674.4</v>
      </c>
      <c r="AJ192" s="2"/>
      <c r="AK192" s="2"/>
      <c r="AL192" s="2"/>
      <c r="AM192" s="2">
        <f t="shared" si="10"/>
        <v>674.4</v>
      </c>
      <c r="AN192" s="2"/>
      <c r="AO192" s="5">
        <f t="shared" si="18"/>
        <v>-1.7345723736703695E-2</v>
      </c>
      <c r="AP192" s="13">
        <v>45589</v>
      </c>
      <c r="AQ192" s="11">
        <v>466</v>
      </c>
      <c r="AR192" s="2"/>
      <c r="AS192" s="2"/>
      <c r="AT192" s="2"/>
      <c r="AU192" s="11">
        <f t="shared" si="11"/>
        <v>466</v>
      </c>
      <c r="AV192" s="2"/>
      <c r="AW192" s="5">
        <f t="shared" si="19"/>
        <v>-8.1214380991665881E-3</v>
      </c>
      <c r="AX192" s="13">
        <v>45589</v>
      </c>
      <c r="AY192" s="2">
        <v>22.3</v>
      </c>
      <c r="AZ192" s="2"/>
      <c r="BA192" s="2"/>
      <c r="BB192" s="2"/>
      <c r="BC192" s="2">
        <f t="shared" si="12"/>
        <v>22.3</v>
      </c>
      <c r="BD192" s="2"/>
      <c r="BE192" s="5">
        <f t="shared" si="20"/>
        <v>-2.2173857494321967E-2</v>
      </c>
      <c r="BF192" s="13">
        <v>45589</v>
      </c>
      <c r="BG192" s="2">
        <v>163.1</v>
      </c>
      <c r="BH192" s="2"/>
      <c r="BI192" s="2"/>
      <c r="BJ192" s="2"/>
      <c r="BK192" s="2">
        <f t="shared" si="13"/>
        <v>163.1</v>
      </c>
      <c r="BL192" s="2"/>
      <c r="BM192" s="5">
        <f t="shared" si="22"/>
        <v>-6.7216873913596049E-3</v>
      </c>
    </row>
    <row r="193" spans="1:65" ht="15.75" customHeight="1" x14ac:dyDescent="0.35">
      <c r="A193" s="675"/>
      <c r="B193" s="13">
        <v>45592</v>
      </c>
      <c r="C193" s="2">
        <v>9.9</v>
      </c>
      <c r="D193" s="2"/>
      <c r="E193" s="2"/>
      <c r="F193" s="2"/>
      <c r="G193" s="11">
        <f t="shared" si="14"/>
        <v>9.9</v>
      </c>
      <c r="H193" s="2"/>
      <c r="I193" s="5">
        <f t="shared" si="21"/>
        <v>-5.8840500022933465E-2</v>
      </c>
      <c r="J193" s="13">
        <v>45592</v>
      </c>
      <c r="K193" s="2">
        <v>33.700000000000003</v>
      </c>
      <c r="L193" s="2"/>
      <c r="M193" s="2"/>
      <c r="N193" s="2"/>
      <c r="O193" s="11">
        <f t="shared" si="7"/>
        <v>33.700000000000003</v>
      </c>
      <c r="P193" s="2"/>
      <c r="Q193" s="5">
        <f t="shared" si="15"/>
        <v>-4.070329311350409E-2</v>
      </c>
      <c r="R193" s="13">
        <v>45592</v>
      </c>
      <c r="S193" s="2">
        <v>305.7</v>
      </c>
      <c r="T193" s="2"/>
      <c r="U193" s="2"/>
      <c r="V193" s="2"/>
      <c r="W193" s="11">
        <f t="shared" si="8"/>
        <v>305.7</v>
      </c>
      <c r="X193" s="2"/>
      <c r="Y193" s="5">
        <f t="shared" si="16"/>
        <v>-3.5982037800086172E-2</v>
      </c>
      <c r="Z193" s="13">
        <v>45592</v>
      </c>
      <c r="AA193" s="2">
        <v>892.3</v>
      </c>
      <c r="AB193" s="2"/>
      <c r="AC193" s="2"/>
      <c r="AD193" s="2"/>
      <c r="AE193" s="2">
        <f t="shared" si="9"/>
        <v>892.3</v>
      </c>
      <c r="AF193" s="2"/>
      <c r="AG193" s="5">
        <f t="shared" si="17"/>
        <v>-2.0301323994576046E-2</v>
      </c>
      <c r="AH193" s="13">
        <v>45592</v>
      </c>
      <c r="AI193" s="2">
        <v>638.9</v>
      </c>
      <c r="AJ193" s="2"/>
      <c r="AK193" s="2"/>
      <c r="AL193" s="2"/>
      <c r="AM193" s="2">
        <f t="shared" si="10"/>
        <v>638.9</v>
      </c>
      <c r="AN193" s="2"/>
      <c r="AO193" s="5">
        <f t="shared" si="18"/>
        <v>-5.4075459079348125E-2</v>
      </c>
      <c r="AP193" s="13">
        <v>45592</v>
      </c>
      <c r="AQ193" s="11">
        <v>457.6</v>
      </c>
      <c r="AR193" s="2"/>
      <c r="AS193" s="2"/>
      <c r="AT193" s="2"/>
      <c r="AU193" s="11">
        <f t="shared" si="11"/>
        <v>457.6</v>
      </c>
      <c r="AV193" s="2"/>
      <c r="AW193" s="5">
        <f t="shared" si="19"/>
        <v>-1.8190194060057695E-2</v>
      </c>
      <c r="AX193" s="13">
        <v>45592</v>
      </c>
      <c r="AY193" s="2">
        <v>20.399999999999999</v>
      </c>
      <c r="AZ193" s="2"/>
      <c r="BA193" s="2"/>
      <c r="BB193" s="2"/>
      <c r="BC193" s="2">
        <f t="shared" si="12"/>
        <v>20.399999999999999</v>
      </c>
      <c r="BD193" s="2"/>
      <c r="BE193" s="5">
        <f t="shared" si="20"/>
        <v>-8.9051777615902522E-2</v>
      </c>
      <c r="BF193" s="13">
        <v>45592</v>
      </c>
      <c r="BG193" s="2">
        <v>157.5</v>
      </c>
      <c r="BH193" s="2"/>
      <c r="BI193" s="2"/>
      <c r="BJ193" s="2"/>
      <c r="BK193" s="2">
        <f t="shared" si="13"/>
        <v>157.5</v>
      </c>
      <c r="BL193" s="2"/>
      <c r="BM193" s="5">
        <f t="shared" si="22"/>
        <v>-3.4938051361280344E-2</v>
      </c>
    </row>
    <row r="194" spans="1:65" ht="15.75" customHeight="1" x14ac:dyDescent="0.35">
      <c r="A194" s="675"/>
      <c r="B194" s="13">
        <v>45593</v>
      </c>
      <c r="C194" s="2">
        <v>10.1</v>
      </c>
      <c r="D194" s="2"/>
      <c r="E194" s="2"/>
      <c r="F194" s="2"/>
      <c r="G194" s="11">
        <f t="shared" si="14"/>
        <v>10.1</v>
      </c>
      <c r="H194" s="2"/>
      <c r="I194" s="5">
        <f t="shared" si="21"/>
        <v>2.0000666706669435E-2</v>
      </c>
      <c r="J194" s="13">
        <v>45593</v>
      </c>
      <c r="K194" s="2">
        <v>33</v>
      </c>
      <c r="L194" s="2"/>
      <c r="M194" s="2"/>
      <c r="N194" s="2"/>
      <c r="O194" s="11">
        <f t="shared" si="7"/>
        <v>33</v>
      </c>
      <c r="P194" s="2"/>
      <c r="Q194" s="5">
        <f t="shared" si="15"/>
        <v>-2.0990275891835858E-2</v>
      </c>
      <c r="R194" s="13">
        <v>45593</v>
      </c>
      <c r="S194" s="2">
        <v>304.60000000000002</v>
      </c>
      <c r="T194" s="2"/>
      <c r="U194" s="2"/>
      <c r="V194" s="2"/>
      <c r="W194" s="11">
        <f t="shared" si="8"/>
        <v>304.60000000000002</v>
      </c>
      <c r="X194" s="2"/>
      <c r="Y194" s="5">
        <f t="shared" si="16"/>
        <v>-3.604788435727241E-3</v>
      </c>
      <c r="Z194" s="13">
        <v>45593</v>
      </c>
      <c r="AA194" s="2">
        <v>900.8</v>
      </c>
      <c r="AB194" s="2"/>
      <c r="AC194" s="2"/>
      <c r="AD194" s="2"/>
      <c r="AE194" s="2">
        <f t="shared" si="9"/>
        <v>900.8</v>
      </c>
      <c r="AF194" s="2"/>
      <c r="AG194" s="5">
        <f t="shared" si="17"/>
        <v>9.4808584793201079E-3</v>
      </c>
      <c r="AH194" s="13">
        <v>45593</v>
      </c>
      <c r="AI194" s="2">
        <v>642.5</v>
      </c>
      <c r="AJ194" s="2"/>
      <c r="AK194" s="2"/>
      <c r="AL194" s="2"/>
      <c r="AM194" s="2">
        <f t="shared" si="10"/>
        <v>642.5</v>
      </c>
      <c r="AN194" s="2"/>
      <c r="AO194" s="5">
        <f t="shared" si="18"/>
        <v>5.6188691610772499E-3</v>
      </c>
      <c r="AP194" s="13">
        <v>45593</v>
      </c>
      <c r="AQ194" s="11">
        <v>452.9</v>
      </c>
      <c r="AR194" s="2"/>
      <c r="AS194" s="2"/>
      <c r="AT194" s="2"/>
      <c r="AU194" s="11">
        <f t="shared" si="11"/>
        <v>452.9</v>
      </c>
      <c r="AV194" s="2"/>
      <c r="AW194" s="5">
        <f t="shared" si="19"/>
        <v>-1.0324089503420002E-2</v>
      </c>
      <c r="AX194" s="13">
        <v>45593</v>
      </c>
      <c r="AY194" s="2">
        <v>20.3</v>
      </c>
      <c r="AZ194" s="2"/>
      <c r="BA194" s="2"/>
      <c r="BB194" s="2"/>
      <c r="BC194" s="2">
        <f t="shared" si="12"/>
        <v>20.3</v>
      </c>
      <c r="BD194" s="2"/>
      <c r="BE194" s="5">
        <f t="shared" si="20"/>
        <v>-4.9140148024289293E-3</v>
      </c>
      <c r="BF194" s="13">
        <v>45593</v>
      </c>
      <c r="BG194" s="2">
        <v>142.30000000000001</v>
      </c>
      <c r="BH194" s="2"/>
      <c r="BI194" s="2"/>
      <c r="BJ194" s="2"/>
      <c r="BK194" s="2">
        <f t="shared" si="13"/>
        <v>142.30000000000001</v>
      </c>
      <c r="BL194" s="2"/>
      <c r="BM194" s="5">
        <f t="shared" si="22"/>
        <v>-0.10148795316988099</v>
      </c>
    </row>
    <row r="195" spans="1:65" ht="15.75" customHeight="1" x14ac:dyDescent="0.35">
      <c r="A195" s="675"/>
      <c r="B195" s="13">
        <v>45594</v>
      </c>
      <c r="C195" s="2">
        <v>10.3</v>
      </c>
      <c r="D195" s="2"/>
      <c r="E195" s="2"/>
      <c r="F195" s="2"/>
      <c r="G195" s="11">
        <f t="shared" si="14"/>
        <v>10.3</v>
      </c>
      <c r="H195" s="2"/>
      <c r="I195" s="5">
        <f t="shared" si="21"/>
        <v>1.9608471388376337E-2</v>
      </c>
      <c r="J195" s="13">
        <v>45594</v>
      </c>
      <c r="K195" s="2">
        <v>34.1</v>
      </c>
      <c r="L195" s="2"/>
      <c r="M195" s="2"/>
      <c r="N195" s="2"/>
      <c r="O195" s="11">
        <f t="shared" si="7"/>
        <v>34.1</v>
      </c>
      <c r="P195" s="2"/>
      <c r="Q195" s="5">
        <f t="shared" si="15"/>
        <v>3.278982282299097E-2</v>
      </c>
      <c r="R195" s="13">
        <v>45594</v>
      </c>
      <c r="S195" s="2">
        <v>311.2</v>
      </c>
      <c r="T195" s="2"/>
      <c r="U195" s="2"/>
      <c r="V195" s="2"/>
      <c r="W195" s="11">
        <f t="shared" si="8"/>
        <v>311.2</v>
      </c>
      <c r="X195" s="2"/>
      <c r="Y195" s="5">
        <f t="shared" si="16"/>
        <v>2.1436351843174929E-2</v>
      </c>
      <c r="Z195" s="13">
        <v>45594</v>
      </c>
      <c r="AA195" s="2">
        <v>925.7</v>
      </c>
      <c r="AB195" s="2"/>
      <c r="AC195" s="2"/>
      <c r="AD195" s="2"/>
      <c r="AE195" s="2">
        <f t="shared" si="9"/>
        <v>925.7</v>
      </c>
      <c r="AF195" s="2"/>
      <c r="AG195" s="5">
        <f t="shared" si="17"/>
        <v>2.7266950687739728E-2</v>
      </c>
      <c r="AH195" s="13">
        <v>45594</v>
      </c>
      <c r="AI195" s="2">
        <v>651.29999999999995</v>
      </c>
      <c r="AJ195" s="2"/>
      <c r="AK195" s="2"/>
      <c r="AL195" s="2"/>
      <c r="AM195" s="2">
        <f t="shared" si="10"/>
        <v>651.29999999999995</v>
      </c>
      <c r="AN195" s="2"/>
      <c r="AO195" s="5">
        <f t="shared" si="18"/>
        <v>1.3603548782980982E-2</v>
      </c>
      <c r="AP195" s="13">
        <v>45594</v>
      </c>
      <c r="AQ195" s="11">
        <v>466.1</v>
      </c>
      <c r="AR195" s="2"/>
      <c r="AS195" s="2"/>
      <c r="AT195" s="2"/>
      <c r="AU195" s="11">
        <f t="shared" si="11"/>
        <v>466.1</v>
      </c>
      <c r="AV195" s="2"/>
      <c r="AW195" s="5">
        <f t="shared" si="19"/>
        <v>2.8728852816527276E-2</v>
      </c>
      <c r="AX195" s="13">
        <v>45594</v>
      </c>
      <c r="AY195" s="2">
        <v>20.3</v>
      </c>
      <c r="AZ195" s="2"/>
      <c r="BA195" s="2"/>
      <c r="BB195" s="2"/>
      <c r="BC195" s="2">
        <f t="shared" si="12"/>
        <v>20.3</v>
      </c>
      <c r="BD195" s="2"/>
      <c r="BE195" s="5">
        <f t="shared" si="20"/>
        <v>0</v>
      </c>
      <c r="BF195" s="13">
        <v>45594</v>
      </c>
      <c r="BG195" s="2">
        <v>146.5</v>
      </c>
      <c r="BH195" s="2"/>
      <c r="BI195" s="2"/>
      <c r="BJ195" s="2"/>
      <c r="BK195" s="2">
        <f t="shared" si="13"/>
        <v>146.5</v>
      </c>
      <c r="BL195" s="2"/>
      <c r="BM195" s="5">
        <f t="shared" si="22"/>
        <v>2.9087923361315254E-2</v>
      </c>
    </row>
    <row r="196" spans="1:65" ht="15.75" customHeight="1" x14ac:dyDescent="0.35">
      <c r="A196" s="675"/>
      <c r="B196" s="13">
        <v>45595</v>
      </c>
      <c r="C196" s="2">
        <v>10.8</v>
      </c>
      <c r="D196" s="2"/>
      <c r="E196" s="2"/>
      <c r="F196" s="2"/>
      <c r="G196" s="11">
        <f t="shared" si="14"/>
        <v>10.8</v>
      </c>
      <c r="H196" s="2"/>
      <c r="I196" s="5">
        <f t="shared" si="21"/>
        <v>4.7402238894583899E-2</v>
      </c>
      <c r="J196" s="13">
        <v>45595</v>
      </c>
      <c r="K196" s="2">
        <v>35.5</v>
      </c>
      <c r="L196" s="2"/>
      <c r="M196" s="2"/>
      <c r="N196" s="2"/>
      <c r="O196" s="11">
        <f t="shared" si="7"/>
        <v>35.5</v>
      </c>
      <c r="P196" s="2"/>
      <c r="Q196" s="5">
        <f t="shared" si="15"/>
        <v>4.0235312191898971E-2</v>
      </c>
      <c r="R196" s="13">
        <v>45595</v>
      </c>
      <c r="S196" s="2">
        <v>317.5</v>
      </c>
      <c r="T196" s="2"/>
      <c r="U196" s="2"/>
      <c r="V196" s="2"/>
      <c r="W196" s="11">
        <f t="shared" si="8"/>
        <v>317.5</v>
      </c>
      <c r="X196" s="2"/>
      <c r="Y196" s="5">
        <f t="shared" si="16"/>
        <v>2.0042026028509848E-2</v>
      </c>
      <c r="Z196" s="13">
        <v>45595</v>
      </c>
      <c r="AA196" s="2">
        <v>947.7</v>
      </c>
      <c r="AB196" s="2"/>
      <c r="AC196" s="2"/>
      <c r="AD196" s="2"/>
      <c r="AE196" s="2">
        <f t="shared" si="9"/>
        <v>947.7</v>
      </c>
      <c r="AF196" s="2"/>
      <c r="AG196" s="5">
        <f t="shared" si="17"/>
        <v>2.3487788402983711E-2</v>
      </c>
      <c r="AH196" s="13">
        <v>45595</v>
      </c>
      <c r="AI196" s="2">
        <v>662.1</v>
      </c>
      <c r="AJ196" s="2"/>
      <c r="AK196" s="2"/>
      <c r="AL196" s="2"/>
      <c r="AM196" s="2">
        <f t="shared" si="10"/>
        <v>662.1</v>
      </c>
      <c r="AN196" s="2"/>
      <c r="AO196" s="5">
        <f t="shared" si="18"/>
        <v>1.6446236378444751E-2</v>
      </c>
      <c r="AP196" s="13">
        <v>45595</v>
      </c>
      <c r="AQ196" s="11">
        <v>505.4</v>
      </c>
      <c r="AR196" s="2"/>
      <c r="AS196" s="2"/>
      <c r="AT196" s="2"/>
      <c r="AU196" s="11">
        <f t="shared" si="11"/>
        <v>505.4</v>
      </c>
      <c r="AV196" s="2"/>
      <c r="AW196" s="5">
        <f t="shared" si="19"/>
        <v>8.0949991575398519E-2</v>
      </c>
      <c r="AX196" s="13">
        <v>45595</v>
      </c>
      <c r="AY196" s="2">
        <v>21.5</v>
      </c>
      <c r="AZ196" s="2"/>
      <c r="BA196" s="2"/>
      <c r="BB196" s="2"/>
      <c r="BC196" s="2">
        <f t="shared" si="12"/>
        <v>21.5</v>
      </c>
      <c r="BD196" s="2"/>
      <c r="BE196" s="5">
        <f t="shared" si="20"/>
        <v>5.7432049085875396E-2</v>
      </c>
      <c r="BF196" s="13">
        <v>45595</v>
      </c>
      <c r="BG196" s="2">
        <v>151.19999999999999</v>
      </c>
      <c r="BH196" s="2"/>
      <c r="BI196" s="2"/>
      <c r="BJ196" s="2"/>
      <c r="BK196" s="2">
        <f t="shared" si="13"/>
        <v>151.19999999999999</v>
      </c>
      <c r="BL196" s="2"/>
      <c r="BM196" s="5">
        <f t="shared" si="22"/>
        <v>3.1578035288310574E-2</v>
      </c>
    </row>
    <row r="197" spans="1:65" ht="15.75" customHeight="1" x14ac:dyDescent="0.35">
      <c r="A197" s="675"/>
      <c r="B197" s="13">
        <v>45596</v>
      </c>
      <c r="C197" s="2">
        <v>11</v>
      </c>
      <c r="D197" s="2"/>
      <c r="E197" s="2"/>
      <c r="F197" s="2"/>
      <c r="G197" s="11">
        <f t="shared" si="14"/>
        <v>11</v>
      </c>
      <c r="H197" s="2"/>
      <c r="I197" s="5">
        <f t="shared" si="21"/>
        <v>1.8349138668196398E-2</v>
      </c>
      <c r="J197" s="13">
        <v>45596</v>
      </c>
      <c r="K197" s="2">
        <v>35</v>
      </c>
      <c r="L197" s="2"/>
      <c r="M197" s="2"/>
      <c r="N197" s="2"/>
      <c r="O197" s="11">
        <f t="shared" si="7"/>
        <v>35</v>
      </c>
      <c r="P197" s="2"/>
      <c r="Q197" s="5">
        <f t="shared" si="15"/>
        <v>-1.4184634991956413E-2</v>
      </c>
      <c r="R197" s="13">
        <v>45596</v>
      </c>
      <c r="S197" s="2">
        <v>314.2</v>
      </c>
      <c r="T197" s="2"/>
      <c r="U197" s="2"/>
      <c r="V197" s="2"/>
      <c r="W197" s="11">
        <f t="shared" si="8"/>
        <v>314.2</v>
      </c>
      <c r="X197" s="2"/>
      <c r="Y197" s="5">
        <f t="shared" si="16"/>
        <v>-1.0448092511225632E-2</v>
      </c>
      <c r="Z197" s="13">
        <v>45596</v>
      </c>
      <c r="AA197" s="2">
        <v>926.6</v>
      </c>
      <c r="AB197" s="2"/>
      <c r="AC197" s="2"/>
      <c r="AD197" s="2"/>
      <c r="AE197" s="2">
        <f t="shared" si="9"/>
        <v>926.6</v>
      </c>
      <c r="AF197" s="2"/>
      <c r="AG197" s="5">
        <f t="shared" si="17"/>
        <v>-2.2516023493601184E-2</v>
      </c>
      <c r="AH197" s="13">
        <v>45596</v>
      </c>
      <c r="AI197" s="2">
        <v>670</v>
      </c>
      <c r="AJ197" s="2"/>
      <c r="AK197" s="2"/>
      <c r="AL197" s="2"/>
      <c r="AM197" s="2">
        <f t="shared" si="10"/>
        <v>670</v>
      </c>
      <c r="AN197" s="2"/>
      <c r="AO197" s="5">
        <f t="shared" si="18"/>
        <v>1.1861110454211217E-2</v>
      </c>
      <c r="AP197" s="13">
        <v>45596</v>
      </c>
      <c r="AQ197" s="11">
        <v>511</v>
      </c>
      <c r="AR197" s="2"/>
      <c r="AS197" s="2"/>
      <c r="AT197" s="2"/>
      <c r="AU197" s="11">
        <f t="shared" si="11"/>
        <v>511</v>
      </c>
      <c r="AV197" s="2"/>
      <c r="AW197" s="5">
        <f t="shared" si="19"/>
        <v>1.1019395249610698E-2</v>
      </c>
      <c r="AX197" s="13">
        <v>45596</v>
      </c>
      <c r="AY197" s="2">
        <v>21.6</v>
      </c>
      <c r="AZ197" s="2"/>
      <c r="BA197" s="2"/>
      <c r="BB197" s="2"/>
      <c r="BC197" s="2">
        <f t="shared" si="12"/>
        <v>21.6</v>
      </c>
      <c r="BD197" s="2"/>
      <c r="BE197" s="5">
        <f t="shared" si="20"/>
        <v>4.6403795565023009E-3</v>
      </c>
      <c r="BF197" s="13">
        <v>45596</v>
      </c>
      <c r="BG197" s="2">
        <v>148</v>
      </c>
      <c r="BH197" s="2"/>
      <c r="BI197" s="2"/>
      <c r="BJ197" s="2"/>
      <c r="BK197" s="2">
        <f t="shared" si="13"/>
        <v>148</v>
      </c>
      <c r="BL197" s="2"/>
      <c r="BM197" s="5">
        <f t="shared" si="22"/>
        <v>-2.1391189981317445E-2</v>
      </c>
    </row>
    <row r="198" spans="1:65" ht="15.75" customHeight="1" x14ac:dyDescent="0.35">
      <c r="A198" s="675"/>
      <c r="B198" s="13">
        <v>45599</v>
      </c>
      <c r="C198" s="2">
        <v>10.8</v>
      </c>
      <c r="D198" s="2"/>
      <c r="E198" s="2"/>
      <c r="F198" s="2"/>
      <c r="G198" s="11">
        <f t="shared" si="14"/>
        <v>10.8</v>
      </c>
      <c r="H198" s="2"/>
      <c r="I198" s="5">
        <f t="shared" si="21"/>
        <v>-1.834913866819643E-2</v>
      </c>
      <c r="J198" s="13">
        <v>45599</v>
      </c>
      <c r="K198" s="2">
        <v>34.1</v>
      </c>
      <c r="L198" s="2"/>
      <c r="M198" s="2"/>
      <c r="N198" s="2"/>
      <c r="O198" s="11">
        <f t="shared" si="7"/>
        <v>34.1</v>
      </c>
      <c r="P198" s="2"/>
      <c r="Q198" s="5">
        <f t="shared" si="15"/>
        <v>-2.605067719994255E-2</v>
      </c>
      <c r="R198" s="13">
        <v>45599</v>
      </c>
      <c r="S198" s="2">
        <v>310.39999999999998</v>
      </c>
      <c r="T198" s="2"/>
      <c r="U198" s="2"/>
      <c r="V198" s="2"/>
      <c r="W198" s="11">
        <f t="shared" si="8"/>
        <v>310.39999999999998</v>
      </c>
      <c r="X198" s="2"/>
      <c r="Y198" s="5">
        <f t="shared" si="16"/>
        <v>-1.2167937512457127E-2</v>
      </c>
      <c r="Z198" s="13">
        <v>45599</v>
      </c>
      <c r="AA198" s="2">
        <v>916.6</v>
      </c>
      <c r="AB198" s="2"/>
      <c r="AC198" s="2"/>
      <c r="AD198" s="2"/>
      <c r="AE198" s="2">
        <f t="shared" si="9"/>
        <v>916.6</v>
      </c>
      <c r="AF198" s="2"/>
      <c r="AG198" s="5">
        <f t="shared" si="17"/>
        <v>-1.0850800907524303E-2</v>
      </c>
      <c r="AH198" s="13">
        <v>45599</v>
      </c>
      <c r="AI198" s="2">
        <v>663</v>
      </c>
      <c r="AJ198" s="2"/>
      <c r="AK198" s="2"/>
      <c r="AL198" s="2"/>
      <c r="AM198" s="2">
        <f t="shared" si="10"/>
        <v>663</v>
      </c>
      <c r="AN198" s="2"/>
      <c r="AO198" s="5">
        <f t="shared" si="18"/>
        <v>-1.0502722199149288E-2</v>
      </c>
      <c r="AP198" s="13">
        <v>45599</v>
      </c>
      <c r="AQ198" s="11">
        <v>500.2</v>
      </c>
      <c r="AR198" s="2"/>
      <c r="AS198" s="2"/>
      <c r="AT198" s="2"/>
      <c r="AU198" s="11">
        <f t="shared" si="11"/>
        <v>500.2</v>
      </c>
      <c r="AV198" s="2"/>
      <c r="AW198" s="5">
        <f t="shared" si="19"/>
        <v>-2.1361571760185733E-2</v>
      </c>
      <c r="AX198" s="13">
        <v>45599</v>
      </c>
      <c r="AY198" s="2">
        <v>21.8</v>
      </c>
      <c r="AZ198" s="2"/>
      <c r="BA198" s="2"/>
      <c r="BB198" s="2"/>
      <c r="BC198" s="2">
        <f t="shared" si="12"/>
        <v>21.8</v>
      </c>
      <c r="BD198" s="2"/>
      <c r="BE198" s="5">
        <f t="shared" si="20"/>
        <v>9.2166551049240476E-3</v>
      </c>
      <c r="BF198" s="13">
        <v>45599</v>
      </c>
      <c r="BG198" s="2">
        <v>147.1</v>
      </c>
      <c r="BH198" s="2"/>
      <c r="BI198" s="2"/>
      <c r="BJ198" s="2"/>
      <c r="BK198" s="2">
        <f t="shared" si="13"/>
        <v>147.1</v>
      </c>
      <c r="BL198" s="2"/>
      <c r="BM198" s="5">
        <f t="shared" si="22"/>
        <v>-6.0996461567232223E-3</v>
      </c>
    </row>
    <row r="199" spans="1:65" ht="15.75" customHeight="1" x14ac:dyDescent="0.35">
      <c r="A199" s="675"/>
      <c r="B199" s="13">
        <v>45600</v>
      </c>
      <c r="C199" s="2">
        <v>10.8</v>
      </c>
      <c r="D199" s="2"/>
      <c r="E199" s="2"/>
      <c r="F199" s="2"/>
      <c r="G199" s="11">
        <f t="shared" si="14"/>
        <v>10.8</v>
      </c>
      <c r="H199" s="2"/>
      <c r="I199" s="5">
        <f t="shared" si="21"/>
        <v>0</v>
      </c>
      <c r="J199" s="13">
        <v>45600</v>
      </c>
      <c r="K199" s="2">
        <v>35.1</v>
      </c>
      <c r="L199" s="2"/>
      <c r="M199" s="2"/>
      <c r="N199" s="2"/>
      <c r="O199" s="11">
        <f t="shared" si="7"/>
        <v>35.1</v>
      </c>
      <c r="P199" s="2"/>
      <c r="Q199" s="5">
        <f t="shared" si="15"/>
        <v>2.8903746182348995E-2</v>
      </c>
      <c r="R199" s="13">
        <v>45600</v>
      </c>
      <c r="S199" s="2">
        <v>314.8</v>
      </c>
      <c r="T199" s="2"/>
      <c r="U199" s="2"/>
      <c r="V199" s="2"/>
      <c r="W199" s="11">
        <f t="shared" si="8"/>
        <v>314.8</v>
      </c>
      <c r="X199" s="2"/>
      <c r="Y199" s="5">
        <f t="shared" si="16"/>
        <v>1.4075728234184647E-2</v>
      </c>
      <c r="Z199" s="13">
        <v>45600</v>
      </c>
      <c r="AA199" s="2">
        <v>916.5</v>
      </c>
      <c r="AB199" s="2"/>
      <c r="AC199" s="2"/>
      <c r="AD199" s="2"/>
      <c r="AE199" s="2">
        <f t="shared" si="9"/>
        <v>916.5</v>
      </c>
      <c r="AF199" s="2"/>
      <c r="AG199" s="5">
        <f t="shared" si="17"/>
        <v>-1.0910479526397714E-4</v>
      </c>
      <c r="AH199" s="13">
        <v>45600</v>
      </c>
      <c r="AI199" s="2">
        <v>661.6</v>
      </c>
      <c r="AJ199" s="2"/>
      <c r="AK199" s="2"/>
      <c r="AL199" s="2"/>
      <c r="AM199" s="2">
        <f t="shared" si="10"/>
        <v>661.6</v>
      </c>
      <c r="AN199" s="2"/>
      <c r="AO199" s="5">
        <f t="shared" si="18"/>
        <v>-2.1138464763809416E-3</v>
      </c>
      <c r="AP199" s="13">
        <v>45600</v>
      </c>
      <c r="AQ199" s="11">
        <v>506.2</v>
      </c>
      <c r="AR199" s="2"/>
      <c r="AS199" s="2"/>
      <c r="AT199" s="2"/>
      <c r="AU199" s="11">
        <f t="shared" si="11"/>
        <v>506.2</v>
      </c>
      <c r="AV199" s="2"/>
      <c r="AW199" s="5">
        <f t="shared" si="19"/>
        <v>1.1923829667504895E-2</v>
      </c>
      <c r="AX199" s="13">
        <v>45600</v>
      </c>
      <c r="AY199" s="2">
        <v>22.1</v>
      </c>
      <c r="AZ199" s="2"/>
      <c r="BA199" s="2"/>
      <c r="BB199" s="2"/>
      <c r="BC199" s="2">
        <f t="shared" si="12"/>
        <v>22.1</v>
      </c>
      <c r="BD199" s="2"/>
      <c r="BE199" s="5">
        <f t="shared" si="20"/>
        <v>1.3667638728663835E-2</v>
      </c>
      <c r="BF199" s="13">
        <v>45600</v>
      </c>
      <c r="BG199" s="2">
        <v>157</v>
      </c>
      <c r="BH199" s="2"/>
      <c r="BI199" s="2"/>
      <c r="BJ199" s="2"/>
      <c r="BK199" s="2">
        <f t="shared" si="13"/>
        <v>157</v>
      </c>
      <c r="BL199" s="2"/>
      <c r="BM199" s="5">
        <f t="shared" si="22"/>
        <v>6.5133177740916315E-2</v>
      </c>
    </row>
    <row r="200" spans="1:65" ht="15.75" customHeight="1" x14ac:dyDescent="0.35">
      <c r="A200" s="675"/>
      <c r="B200" s="13">
        <v>45601</v>
      </c>
      <c r="C200" s="2">
        <v>11.2</v>
      </c>
      <c r="D200" s="2"/>
      <c r="E200" s="2"/>
      <c r="F200" s="2"/>
      <c r="G200" s="11">
        <f t="shared" si="14"/>
        <v>11.2</v>
      </c>
      <c r="H200" s="2"/>
      <c r="I200" s="5">
        <f t="shared" si="21"/>
        <v>3.6367644170874791E-2</v>
      </c>
      <c r="J200" s="13">
        <v>45601</v>
      </c>
      <c r="K200" s="2">
        <v>35.5</v>
      </c>
      <c r="L200" s="2"/>
      <c r="M200" s="2"/>
      <c r="N200" s="2"/>
      <c r="O200" s="11">
        <f t="shared" si="7"/>
        <v>35.5</v>
      </c>
      <c r="P200" s="2"/>
      <c r="Q200" s="5">
        <f t="shared" si="15"/>
        <v>1.1331566009550018E-2</v>
      </c>
      <c r="R200" s="13">
        <v>45601</v>
      </c>
      <c r="S200" s="2">
        <v>316.10000000000002</v>
      </c>
      <c r="T200" s="2"/>
      <c r="U200" s="2"/>
      <c r="V200" s="2"/>
      <c r="W200" s="11">
        <f t="shared" si="8"/>
        <v>316.10000000000002</v>
      </c>
      <c r="X200" s="2"/>
      <c r="Y200" s="5">
        <f t="shared" si="16"/>
        <v>4.1211026783238404E-3</v>
      </c>
      <c r="Z200" s="13">
        <v>45601</v>
      </c>
      <c r="AA200" s="2">
        <v>919.8</v>
      </c>
      <c r="AB200" s="2"/>
      <c r="AC200" s="2"/>
      <c r="AD200" s="2"/>
      <c r="AE200" s="2">
        <f t="shared" si="9"/>
        <v>919.8</v>
      </c>
      <c r="AF200" s="2"/>
      <c r="AG200" s="5">
        <f t="shared" si="17"/>
        <v>3.5941878260637343E-3</v>
      </c>
      <c r="AH200" s="13">
        <v>45601</v>
      </c>
      <c r="AI200" s="2">
        <v>682.3</v>
      </c>
      <c r="AJ200" s="2"/>
      <c r="AK200" s="2"/>
      <c r="AL200" s="2"/>
      <c r="AM200" s="2">
        <f t="shared" si="10"/>
        <v>682.3</v>
      </c>
      <c r="AN200" s="2"/>
      <c r="AO200" s="5">
        <f t="shared" si="18"/>
        <v>3.0808300111896343E-2</v>
      </c>
      <c r="AP200" s="13">
        <v>45601</v>
      </c>
      <c r="AQ200" s="11">
        <v>516.5</v>
      </c>
      <c r="AR200" s="2"/>
      <c r="AS200" s="2"/>
      <c r="AT200" s="2"/>
      <c r="AU200" s="11">
        <f t="shared" si="11"/>
        <v>516.5</v>
      </c>
      <c r="AV200" s="2"/>
      <c r="AW200" s="5">
        <f t="shared" si="19"/>
        <v>2.0143440448669534E-2</v>
      </c>
      <c r="AX200" s="13">
        <v>45601</v>
      </c>
      <c r="AY200" s="2">
        <v>23.6</v>
      </c>
      <c r="AZ200" s="2"/>
      <c r="BA200" s="2"/>
      <c r="BB200" s="2"/>
      <c r="BC200" s="2">
        <f t="shared" si="12"/>
        <v>23.6</v>
      </c>
      <c r="BD200" s="2"/>
      <c r="BE200" s="5">
        <f t="shared" si="20"/>
        <v>6.5669103507857235E-2</v>
      </c>
      <c r="BF200" s="13">
        <v>45601</v>
      </c>
      <c r="BG200" s="2">
        <v>155.6</v>
      </c>
      <c r="BH200" s="2"/>
      <c r="BI200" s="2"/>
      <c r="BJ200" s="2"/>
      <c r="BK200" s="2">
        <f t="shared" si="13"/>
        <v>155.6</v>
      </c>
      <c r="BL200" s="2"/>
      <c r="BM200" s="5">
        <f t="shared" si="22"/>
        <v>-8.9571936040168283E-3</v>
      </c>
    </row>
    <row r="201" spans="1:65" ht="15.75" customHeight="1" x14ac:dyDescent="0.35">
      <c r="A201" s="675"/>
      <c r="B201" s="13">
        <v>45602</v>
      </c>
      <c r="C201" s="2">
        <v>11</v>
      </c>
      <c r="D201" s="2"/>
      <c r="E201" s="2"/>
      <c r="F201" s="2"/>
      <c r="G201" s="11">
        <f t="shared" si="14"/>
        <v>11</v>
      </c>
      <c r="H201" s="2"/>
      <c r="I201" s="5">
        <f t="shared" si="21"/>
        <v>-1.801850550267825E-2</v>
      </c>
      <c r="J201" s="13">
        <v>45602</v>
      </c>
      <c r="K201" s="2">
        <v>34.1</v>
      </c>
      <c r="L201" s="2"/>
      <c r="M201" s="2"/>
      <c r="N201" s="2"/>
      <c r="O201" s="11">
        <f t="shared" si="7"/>
        <v>34.1</v>
      </c>
      <c r="P201" s="2"/>
      <c r="Q201" s="5">
        <f t="shared" si="15"/>
        <v>-4.023531219189895E-2</v>
      </c>
      <c r="R201" s="13">
        <v>45602</v>
      </c>
      <c r="S201" s="2">
        <v>315.7</v>
      </c>
      <c r="T201" s="2"/>
      <c r="U201" s="2"/>
      <c r="V201" s="2"/>
      <c r="W201" s="11">
        <f t="shared" si="8"/>
        <v>315.7</v>
      </c>
      <c r="X201" s="2"/>
      <c r="Y201" s="5">
        <f t="shared" si="16"/>
        <v>-1.2662236576261475E-3</v>
      </c>
      <c r="Z201" s="13">
        <v>45602</v>
      </c>
      <c r="AA201" s="2">
        <v>914.3</v>
      </c>
      <c r="AB201" s="2"/>
      <c r="AC201" s="2"/>
      <c r="AD201" s="2"/>
      <c r="AE201" s="2">
        <f t="shared" si="9"/>
        <v>914.3</v>
      </c>
      <c r="AF201" s="2"/>
      <c r="AG201" s="5">
        <f t="shared" si="17"/>
        <v>-5.9975099354425913E-3</v>
      </c>
      <c r="AH201" s="13">
        <v>45602</v>
      </c>
      <c r="AI201" s="2">
        <v>673.2</v>
      </c>
      <c r="AJ201" s="2"/>
      <c r="AK201" s="2"/>
      <c r="AL201" s="2"/>
      <c r="AM201" s="2">
        <f t="shared" si="10"/>
        <v>673.2</v>
      </c>
      <c r="AN201" s="2"/>
      <c r="AO201" s="5">
        <f t="shared" si="18"/>
        <v>-1.3426981504726907E-2</v>
      </c>
      <c r="AP201" s="13">
        <v>45602</v>
      </c>
      <c r="AQ201" s="11">
        <v>545.6</v>
      </c>
      <c r="AR201" s="2"/>
      <c r="AS201" s="2"/>
      <c r="AT201" s="2"/>
      <c r="AU201" s="11">
        <f t="shared" si="11"/>
        <v>545.6</v>
      </c>
      <c r="AV201" s="2"/>
      <c r="AW201" s="5">
        <f t="shared" si="19"/>
        <v>5.4810817969559243E-2</v>
      </c>
      <c r="AX201" s="13">
        <v>45602</v>
      </c>
      <c r="AY201" s="2">
        <v>22.7</v>
      </c>
      <c r="AZ201" s="2"/>
      <c r="BA201" s="2"/>
      <c r="BB201" s="2"/>
      <c r="BC201" s="2">
        <f t="shared" si="12"/>
        <v>22.7</v>
      </c>
      <c r="BD201" s="2"/>
      <c r="BE201" s="5">
        <f t="shared" si="20"/>
        <v>-3.888178754420752E-2</v>
      </c>
      <c r="BF201" s="13">
        <v>45602</v>
      </c>
      <c r="BG201" s="2">
        <v>152.1</v>
      </c>
      <c r="BH201" s="2"/>
      <c r="BI201" s="2"/>
      <c r="BJ201" s="2"/>
      <c r="BK201" s="2">
        <f t="shared" si="13"/>
        <v>152.1</v>
      </c>
      <c r="BL201" s="2"/>
      <c r="BM201" s="5">
        <f t="shared" si="22"/>
        <v>-2.2750412479044087E-2</v>
      </c>
    </row>
    <row r="202" spans="1:65" ht="15.75" customHeight="1" x14ac:dyDescent="0.35">
      <c r="A202" s="675"/>
      <c r="B202" s="13">
        <v>45603</v>
      </c>
      <c r="C202" s="2">
        <v>10.7</v>
      </c>
      <c r="D202" s="2"/>
      <c r="E202" s="2"/>
      <c r="F202" s="2"/>
      <c r="G202" s="11">
        <f t="shared" si="14"/>
        <v>10.7</v>
      </c>
      <c r="H202" s="2"/>
      <c r="I202" s="5">
        <f t="shared" si="21"/>
        <v>-2.7651531330510123E-2</v>
      </c>
      <c r="J202" s="13">
        <v>45603</v>
      </c>
      <c r="K202" s="2">
        <v>33.700000000000003</v>
      </c>
      <c r="L202" s="2"/>
      <c r="M202" s="2"/>
      <c r="N202" s="2"/>
      <c r="O202" s="11">
        <f t="shared" si="7"/>
        <v>33.700000000000003</v>
      </c>
      <c r="P202" s="2"/>
      <c r="Q202" s="5">
        <f t="shared" si="15"/>
        <v>-1.1799546931155055E-2</v>
      </c>
      <c r="R202" s="13">
        <v>45603</v>
      </c>
      <c r="S202" s="2">
        <v>321.10000000000002</v>
      </c>
      <c r="T202" s="2"/>
      <c r="U202" s="2"/>
      <c r="V202" s="2"/>
      <c r="W202" s="11">
        <f t="shared" si="8"/>
        <v>321.10000000000002</v>
      </c>
      <c r="X202" s="2"/>
      <c r="Y202" s="5">
        <f t="shared" si="16"/>
        <v>1.696020553152236E-2</v>
      </c>
      <c r="Z202" s="13">
        <v>45603</v>
      </c>
      <c r="AA202" s="2">
        <v>910.8</v>
      </c>
      <c r="AB202" s="2"/>
      <c r="AC202" s="2"/>
      <c r="AD202" s="2"/>
      <c r="AE202" s="2">
        <f t="shared" si="9"/>
        <v>910.8</v>
      </c>
      <c r="AF202" s="2"/>
      <c r="AG202" s="5">
        <f t="shared" si="17"/>
        <v>-3.8354109807963535E-3</v>
      </c>
      <c r="AH202" s="13">
        <v>45603</v>
      </c>
      <c r="AI202" s="2">
        <v>672.8</v>
      </c>
      <c r="AJ202" s="2"/>
      <c r="AK202" s="2"/>
      <c r="AL202" s="2"/>
      <c r="AM202" s="2">
        <f t="shared" si="10"/>
        <v>672.8</v>
      </c>
      <c r="AN202" s="2"/>
      <c r="AO202" s="5">
        <f t="shared" si="18"/>
        <v>-5.9435365791273204E-4</v>
      </c>
      <c r="AP202" s="13">
        <v>45603</v>
      </c>
      <c r="AQ202" s="11">
        <v>523.79999999999995</v>
      </c>
      <c r="AR202" s="2"/>
      <c r="AS202" s="2"/>
      <c r="AT202" s="2"/>
      <c r="AU202" s="11">
        <f t="shared" si="11"/>
        <v>523.79999999999995</v>
      </c>
      <c r="AV202" s="2"/>
      <c r="AW202" s="5">
        <f t="shared" si="19"/>
        <v>-4.0776174455640898E-2</v>
      </c>
      <c r="AX202" s="13">
        <v>45603</v>
      </c>
      <c r="AY202" s="2">
        <v>22.7</v>
      </c>
      <c r="AZ202" s="2"/>
      <c r="BA202" s="2"/>
      <c r="BB202" s="2"/>
      <c r="BC202" s="2">
        <f t="shared" si="12"/>
        <v>22.7</v>
      </c>
      <c r="BD202" s="2"/>
      <c r="BE202" s="5">
        <f t="shared" si="20"/>
        <v>0</v>
      </c>
      <c r="BF202" s="13">
        <v>45603</v>
      </c>
      <c r="BG202" s="2">
        <v>150.4</v>
      </c>
      <c r="BH202" s="2"/>
      <c r="BI202" s="2"/>
      <c r="BJ202" s="2"/>
      <c r="BK202" s="2">
        <f t="shared" si="13"/>
        <v>150.4</v>
      </c>
      <c r="BL202" s="2"/>
      <c r="BM202" s="5">
        <f t="shared" si="22"/>
        <v>-1.1239787749507629E-2</v>
      </c>
    </row>
    <row r="203" spans="1:65" ht="15.75" customHeight="1" x14ac:dyDescent="0.35">
      <c r="A203" s="675"/>
      <c r="B203" s="13">
        <v>45606</v>
      </c>
      <c r="C203" s="2">
        <v>10.6</v>
      </c>
      <c r="D203" s="2"/>
      <c r="E203" s="2"/>
      <c r="F203" s="2"/>
      <c r="G203" s="11">
        <f t="shared" si="14"/>
        <v>10.6</v>
      </c>
      <c r="H203" s="2"/>
      <c r="I203" s="5">
        <f t="shared" si="21"/>
        <v>-9.3897403498390316E-3</v>
      </c>
      <c r="J203" s="13">
        <v>45606</v>
      </c>
      <c r="K203" s="2">
        <v>33.1</v>
      </c>
      <c r="L203" s="2"/>
      <c r="M203" s="2"/>
      <c r="N203" s="2"/>
      <c r="O203" s="11">
        <f t="shared" si="7"/>
        <v>33.1</v>
      </c>
      <c r="P203" s="2"/>
      <c r="Q203" s="5">
        <f t="shared" si="15"/>
        <v>-1.7964554975298884E-2</v>
      </c>
      <c r="R203" s="13">
        <v>45606</v>
      </c>
      <c r="S203" s="2">
        <v>318.3</v>
      </c>
      <c r="T203" s="2"/>
      <c r="U203" s="2"/>
      <c r="V203" s="2"/>
      <c r="W203" s="11">
        <f t="shared" si="8"/>
        <v>318.3</v>
      </c>
      <c r="X203" s="2"/>
      <c r="Y203" s="5">
        <f t="shared" si="16"/>
        <v>-8.7582668074211792E-3</v>
      </c>
      <c r="Z203" s="13">
        <v>45606</v>
      </c>
      <c r="AA203" s="2">
        <v>912.9</v>
      </c>
      <c r="AB203" s="2"/>
      <c r="AC203" s="2"/>
      <c r="AD203" s="2"/>
      <c r="AE203" s="2">
        <f t="shared" si="9"/>
        <v>912.9</v>
      </c>
      <c r="AF203" s="2"/>
      <c r="AG203" s="5">
        <f t="shared" si="17"/>
        <v>2.3030113814504812E-3</v>
      </c>
      <c r="AH203" s="13">
        <v>45606</v>
      </c>
      <c r="AI203" s="2">
        <v>661.6</v>
      </c>
      <c r="AJ203" s="2"/>
      <c r="AK203" s="2"/>
      <c r="AL203" s="2"/>
      <c r="AM203" s="2">
        <f t="shared" si="10"/>
        <v>661.6</v>
      </c>
      <c r="AN203" s="2"/>
      <c r="AO203" s="5">
        <f t="shared" si="18"/>
        <v>-1.678696494925664E-2</v>
      </c>
      <c r="AP203" s="13">
        <v>45606</v>
      </c>
      <c r="AQ203" s="11">
        <v>506.4</v>
      </c>
      <c r="AR203" s="2"/>
      <c r="AS203" s="2"/>
      <c r="AT203" s="2"/>
      <c r="AU203" s="11">
        <f t="shared" si="11"/>
        <v>506.4</v>
      </c>
      <c r="AV203" s="2"/>
      <c r="AW203" s="5">
        <f t="shared" si="19"/>
        <v>-3.3783061243645086E-2</v>
      </c>
      <c r="AX203" s="13">
        <v>45606</v>
      </c>
      <c r="AY203" s="2">
        <v>22.5</v>
      </c>
      <c r="AZ203" s="2"/>
      <c r="BA203" s="2"/>
      <c r="BB203" s="2"/>
      <c r="BC203" s="2">
        <f t="shared" si="12"/>
        <v>22.5</v>
      </c>
      <c r="BD203" s="2"/>
      <c r="BE203" s="5">
        <f t="shared" si="20"/>
        <v>-8.8496152769824993E-3</v>
      </c>
      <c r="BF203" s="13">
        <v>45606</v>
      </c>
      <c r="BG203" s="2">
        <v>152</v>
      </c>
      <c r="BH203" s="2"/>
      <c r="BI203" s="2"/>
      <c r="BJ203" s="2"/>
      <c r="BK203" s="2">
        <f t="shared" si="13"/>
        <v>152</v>
      </c>
      <c r="BL203" s="2"/>
      <c r="BM203" s="5">
        <f t="shared" si="22"/>
        <v>1.0582109330537008E-2</v>
      </c>
    </row>
    <row r="204" spans="1:65" ht="15.75" customHeight="1" x14ac:dyDescent="0.35">
      <c r="A204" s="675"/>
      <c r="B204" s="13">
        <v>45607</v>
      </c>
      <c r="C204" s="2">
        <v>10.6</v>
      </c>
      <c r="D204" s="2"/>
      <c r="E204" s="2"/>
      <c r="F204" s="2"/>
      <c r="G204" s="11">
        <f t="shared" si="14"/>
        <v>10.6</v>
      </c>
      <c r="H204" s="2"/>
      <c r="I204" s="5">
        <f t="shared" si="21"/>
        <v>0</v>
      </c>
      <c r="J204" s="13">
        <v>45607</v>
      </c>
      <c r="K204" s="2">
        <v>33.200000000000003</v>
      </c>
      <c r="L204" s="2"/>
      <c r="M204" s="2"/>
      <c r="N204" s="2"/>
      <c r="O204" s="11">
        <f t="shared" si="7"/>
        <v>33.200000000000003</v>
      </c>
      <c r="P204" s="2"/>
      <c r="Q204" s="5">
        <f t="shared" si="15"/>
        <v>3.0165935394257273E-3</v>
      </c>
      <c r="R204" s="13">
        <v>45607</v>
      </c>
      <c r="S204" s="2">
        <v>325.60000000000002</v>
      </c>
      <c r="T204" s="2"/>
      <c r="U204" s="2"/>
      <c r="V204" s="2"/>
      <c r="W204" s="11">
        <f t="shared" si="8"/>
        <v>325.60000000000002</v>
      </c>
      <c r="X204" s="2"/>
      <c r="Y204" s="5">
        <f t="shared" si="16"/>
        <v>2.2675299840338056E-2</v>
      </c>
      <c r="Z204" s="13">
        <v>45607</v>
      </c>
      <c r="AA204" s="2">
        <v>914.7</v>
      </c>
      <c r="AB204" s="2"/>
      <c r="AC204" s="2"/>
      <c r="AD204" s="2"/>
      <c r="AE204" s="2">
        <f t="shared" si="9"/>
        <v>914.7</v>
      </c>
      <c r="AF204" s="2"/>
      <c r="AG204" s="5">
        <f t="shared" si="17"/>
        <v>1.9697970912838265E-3</v>
      </c>
      <c r="AH204" s="13">
        <v>45607</v>
      </c>
      <c r="AI204" s="2">
        <v>663.6</v>
      </c>
      <c r="AJ204" s="2"/>
      <c r="AK204" s="2"/>
      <c r="AL204" s="2"/>
      <c r="AM204" s="2">
        <f t="shared" si="10"/>
        <v>663.6</v>
      </c>
      <c r="AN204" s="2"/>
      <c r="AO204" s="5">
        <f t="shared" si="18"/>
        <v>3.0184146068079612E-3</v>
      </c>
      <c r="AP204" s="13">
        <v>45607</v>
      </c>
      <c r="AQ204" s="11">
        <v>514.79999999999995</v>
      </c>
      <c r="AR204" s="2"/>
      <c r="AS204" s="2"/>
      <c r="AT204" s="2"/>
      <c r="AU204" s="11">
        <f t="shared" si="11"/>
        <v>514.79999999999995</v>
      </c>
      <c r="AV204" s="2"/>
      <c r="AW204" s="5">
        <f t="shared" si="19"/>
        <v>1.6451604892005062E-2</v>
      </c>
      <c r="AX204" s="13">
        <v>45607</v>
      </c>
      <c r="AY204" s="2">
        <v>22.4</v>
      </c>
      <c r="AZ204" s="2"/>
      <c r="BA204" s="2"/>
      <c r="BB204" s="2"/>
      <c r="BC204" s="2">
        <f t="shared" si="12"/>
        <v>22.4</v>
      </c>
      <c r="BD204" s="2"/>
      <c r="BE204" s="5">
        <f t="shared" si="20"/>
        <v>-4.4543503493803087E-3</v>
      </c>
      <c r="BF204" s="13">
        <v>45607</v>
      </c>
      <c r="BG204" s="2">
        <v>150</v>
      </c>
      <c r="BH204" s="2"/>
      <c r="BI204" s="2"/>
      <c r="BJ204" s="2"/>
      <c r="BK204" s="2">
        <f t="shared" si="13"/>
        <v>150</v>
      </c>
      <c r="BL204" s="2"/>
      <c r="BM204" s="5">
        <f t="shared" si="22"/>
        <v>-1.324522675002068E-2</v>
      </c>
    </row>
    <row r="205" spans="1:65" ht="15.75" customHeight="1" x14ac:dyDescent="0.35">
      <c r="A205" s="675"/>
      <c r="B205" s="13">
        <v>45608</v>
      </c>
      <c r="C205" s="2">
        <v>10.3</v>
      </c>
      <c r="D205" s="2"/>
      <c r="E205" s="2"/>
      <c r="F205" s="2"/>
      <c r="G205" s="11">
        <f t="shared" si="14"/>
        <v>10.3</v>
      </c>
      <c r="H205" s="2"/>
      <c r="I205" s="5">
        <f t="shared" si="21"/>
        <v>-2.8710105882431253E-2</v>
      </c>
      <c r="J205" s="13">
        <v>45608</v>
      </c>
      <c r="K205" s="2">
        <v>34</v>
      </c>
      <c r="L205" s="2"/>
      <c r="M205" s="2"/>
      <c r="N205" s="2"/>
      <c r="O205" s="11">
        <f t="shared" si="7"/>
        <v>34</v>
      </c>
      <c r="P205" s="2"/>
      <c r="Q205" s="5">
        <f t="shared" si="15"/>
        <v>2.3810648693718392E-2</v>
      </c>
      <c r="R205" s="13">
        <v>45608</v>
      </c>
      <c r="S205" s="2">
        <v>328.8</v>
      </c>
      <c r="T205" s="2"/>
      <c r="U205" s="2"/>
      <c r="V205" s="2"/>
      <c r="W205" s="11">
        <f t="shared" si="8"/>
        <v>328.8</v>
      </c>
      <c r="X205" s="2"/>
      <c r="Y205" s="5">
        <f t="shared" si="16"/>
        <v>9.7800290536394791E-3</v>
      </c>
      <c r="Z205" s="13">
        <v>45608</v>
      </c>
      <c r="AA205" s="2">
        <v>911.7</v>
      </c>
      <c r="AB205" s="2"/>
      <c r="AC205" s="2"/>
      <c r="AD205" s="2"/>
      <c r="AE205" s="2">
        <f t="shared" si="9"/>
        <v>911.7</v>
      </c>
      <c r="AF205" s="2"/>
      <c r="AG205" s="5">
        <f t="shared" si="17"/>
        <v>-3.2851540714617629E-3</v>
      </c>
      <c r="AH205" s="13">
        <v>45608</v>
      </c>
      <c r="AI205" s="2">
        <v>665.2</v>
      </c>
      <c r="AJ205" s="2"/>
      <c r="AK205" s="2"/>
      <c r="AL205" s="2"/>
      <c r="AM205" s="2">
        <f t="shared" si="10"/>
        <v>665.2</v>
      </c>
      <c r="AN205" s="2"/>
      <c r="AO205" s="5">
        <f t="shared" si="18"/>
        <v>2.4081890024833137E-3</v>
      </c>
      <c r="AP205" s="13">
        <v>45608</v>
      </c>
      <c r="AQ205" s="11">
        <v>494.4</v>
      </c>
      <c r="AR205" s="2"/>
      <c r="AS205" s="2"/>
      <c r="AT205" s="2"/>
      <c r="AU205" s="11">
        <f t="shared" si="11"/>
        <v>494.4</v>
      </c>
      <c r="AV205" s="2"/>
      <c r="AW205" s="5">
        <f t="shared" si="19"/>
        <v>-4.043356957849057E-2</v>
      </c>
      <c r="AX205" s="13">
        <v>45608</v>
      </c>
      <c r="AY205" s="2">
        <v>22.2</v>
      </c>
      <c r="AZ205" s="2"/>
      <c r="BA205" s="2"/>
      <c r="BB205" s="2"/>
      <c r="BC205" s="2">
        <f t="shared" si="12"/>
        <v>22.2</v>
      </c>
      <c r="BD205" s="2"/>
      <c r="BE205" s="5">
        <f t="shared" si="20"/>
        <v>-8.9686699827603751E-3</v>
      </c>
      <c r="BF205" s="13">
        <v>45608</v>
      </c>
      <c r="BG205" s="2">
        <v>152.5</v>
      </c>
      <c r="BH205" s="2"/>
      <c r="BI205" s="2"/>
      <c r="BJ205" s="2"/>
      <c r="BK205" s="2">
        <f t="shared" si="13"/>
        <v>152.5</v>
      </c>
      <c r="BL205" s="2"/>
      <c r="BM205" s="5">
        <f t="shared" si="22"/>
        <v>1.6529301951210506E-2</v>
      </c>
    </row>
    <row r="206" spans="1:65" ht="15.75" customHeight="1" x14ac:dyDescent="0.35">
      <c r="A206" s="675"/>
      <c r="B206" s="13">
        <v>45609</v>
      </c>
      <c r="C206" s="2">
        <v>10.3</v>
      </c>
      <c r="D206" s="2"/>
      <c r="E206" s="2"/>
      <c r="F206" s="2"/>
      <c r="G206" s="11">
        <f t="shared" si="14"/>
        <v>10.3</v>
      </c>
      <c r="H206" s="2"/>
      <c r="I206" s="5">
        <f t="shared" si="21"/>
        <v>0</v>
      </c>
      <c r="J206" s="13">
        <v>45609</v>
      </c>
      <c r="K206" s="2">
        <v>33.700000000000003</v>
      </c>
      <c r="L206" s="2"/>
      <c r="M206" s="2"/>
      <c r="N206" s="2"/>
      <c r="O206" s="11">
        <f t="shared" si="7"/>
        <v>33.700000000000003</v>
      </c>
      <c r="P206" s="2"/>
      <c r="Q206" s="5">
        <f t="shared" si="15"/>
        <v>-8.8626872578453173E-3</v>
      </c>
      <c r="R206" s="13">
        <v>45609</v>
      </c>
      <c r="S206" s="2">
        <v>325.5</v>
      </c>
      <c r="T206" s="2"/>
      <c r="U206" s="2"/>
      <c r="V206" s="2"/>
      <c r="W206" s="11">
        <f t="shared" si="8"/>
        <v>325.5</v>
      </c>
      <c r="X206" s="2"/>
      <c r="Y206" s="5">
        <f t="shared" si="16"/>
        <v>-1.0087201533400919E-2</v>
      </c>
      <c r="Z206" s="13">
        <v>45609</v>
      </c>
      <c r="AA206" s="2">
        <v>906.1</v>
      </c>
      <c r="AB206" s="2"/>
      <c r="AC206" s="2"/>
      <c r="AD206" s="2"/>
      <c r="AE206" s="2">
        <f t="shared" si="9"/>
        <v>906.1</v>
      </c>
      <c r="AF206" s="2"/>
      <c r="AG206" s="5">
        <f t="shared" si="17"/>
        <v>-6.1613133628422188E-3</v>
      </c>
      <c r="AH206" s="13">
        <v>45609</v>
      </c>
      <c r="AI206" s="2">
        <v>658.5</v>
      </c>
      <c r="AJ206" s="2"/>
      <c r="AK206" s="2"/>
      <c r="AL206" s="2"/>
      <c r="AM206" s="2">
        <f t="shared" si="10"/>
        <v>658.5</v>
      </c>
      <c r="AN206" s="2"/>
      <c r="AO206" s="5">
        <f t="shared" si="18"/>
        <v>-1.0123226135436916E-2</v>
      </c>
      <c r="AP206" s="13">
        <v>45609</v>
      </c>
      <c r="AQ206" s="11">
        <v>489.3</v>
      </c>
      <c r="AR206" s="2"/>
      <c r="AS206" s="2"/>
      <c r="AT206" s="2"/>
      <c r="AU206" s="11">
        <f t="shared" si="11"/>
        <v>489.3</v>
      </c>
      <c r="AV206" s="2"/>
      <c r="AW206" s="5">
        <f t="shared" si="19"/>
        <v>-1.0369107848403105E-2</v>
      </c>
      <c r="AX206" s="13">
        <v>45609</v>
      </c>
      <c r="AY206" s="2">
        <v>22</v>
      </c>
      <c r="AZ206" s="2"/>
      <c r="BA206" s="2"/>
      <c r="BB206" s="2"/>
      <c r="BC206" s="2">
        <f t="shared" si="12"/>
        <v>22</v>
      </c>
      <c r="BD206" s="2"/>
      <c r="BE206" s="5">
        <f t="shared" si="20"/>
        <v>-9.0498355199179273E-3</v>
      </c>
      <c r="BF206" s="13">
        <v>45609</v>
      </c>
      <c r="BG206" s="2">
        <v>159.80000000000001</v>
      </c>
      <c r="BH206" s="2"/>
      <c r="BI206" s="2"/>
      <c r="BJ206" s="2"/>
      <c r="BK206" s="2">
        <f t="shared" si="13"/>
        <v>159.80000000000001</v>
      </c>
      <c r="BL206" s="2"/>
      <c r="BM206" s="5">
        <f t="shared" si="22"/>
        <v>4.675843728470809E-2</v>
      </c>
    </row>
    <row r="207" spans="1:65" ht="15.75" customHeight="1" x14ac:dyDescent="0.35">
      <c r="A207" s="675"/>
      <c r="B207" s="13">
        <v>45610</v>
      </c>
      <c r="C207" s="2">
        <v>10.4</v>
      </c>
      <c r="D207" s="2"/>
      <c r="E207" s="2"/>
      <c r="F207" s="2"/>
      <c r="G207" s="11">
        <f t="shared" si="14"/>
        <v>10.4</v>
      </c>
      <c r="H207" s="2"/>
      <c r="I207" s="5">
        <f t="shared" si="21"/>
        <v>9.6619109117368901E-3</v>
      </c>
      <c r="J207" s="13">
        <v>45610</v>
      </c>
      <c r="K207" s="2">
        <v>34.5</v>
      </c>
      <c r="L207" s="2"/>
      <c r="M207" s="2"/>
      <c r="N207" s="2"/>
      <c r="O207" s="11">
        <f t="shared" si="7"/>
        <v>34.5</v>
      </c>
      <c r="P207" s="2"/>
      <c r="Q207" s="5">
        <f t="shared" si="15"/>
        <v>2.3461486678997966E-2</v>
      </c>
      <c r="R207" s="13">
        <v>45610</v>
      </c>
      <c r="S207" s="2">
        <v>326</v>
      </c>
      <c r="T207" s="2"/>
      <c r="U207" s="2"/>
      <c r="V207" s="2"/>
      <c r="W207" s="11">
        <f t="shared" si="8"/>
        <v>326</v>
      </c>
      <c r="X207" s="2"/>
      <c r="Y207" s="5">
        <f t="shared" si="16"/>
        <v>1.5349197180837407E-3</v>
      </c>
      <c r="Z207" s="13">
        <v>45610</v>
      </c>
      <c r="AA207" s="2">
        <v>910.2</v>
      </c>
      <c r="AB207" s="2"/>
      <c r="AC207" s="2"/>
      <c r="AD207" s="2"/>
      <c r="AE207" s="2">
        <f t="shared" si="9"/>
        <v>910.2</v>
      </c>
      <c r="AF207" s="2"/>
      <c r="AG207" s="5">
        <f t="shared" si="17"/>
        <v>4.514680354526613E-3</v>
      </c>
      <c r="AH207" s="13">
        <v>45610</v>
      </c>
      <c r="AI207" s="2">
        <v>656.5</v>
      </c>
      <c r="AJ207" s="2"/>
      <c r="AK207" s="2"/>
      <c r="AL207" s="2"/>
      <c r="AM207" s="2">
        <f t="shared" si="10"/>
        <v>656.5</v>
      </c>
      <c r="AN207" s="2"/>
      <c r="AO207" s="5">
        <f t="shared" si="18"/>
        <v>-3.0418274404848886E-3</v>
      </c>
      <c r="AP207" s="13">
        <v>45610</v>
      </c>
      <c r="AQ207" s="11">
        <v>492.4</v>
      </c>
      <c r="AR207" s="2"/>
      <c r="AS207" s="2"/>
      <c r="AT207" s="2"/>
      <c r="AU207" s="11">
        <f t="shared" si="11"/>
        <v>492.4</v>
      </c>
      <c r="AV207" s="2"/>
      <c r="AW207" s="5">
        <f t="shared" si="19"/>
        <v>6.3155960152205893E-3</v>
      </c>
      <c r="AX207" s="13">
        <v>45610</v>
      </c>
      <c r="AY207" s="2">
        <v>22.6</v>
      </c>
      <c r="AZ207" s="2"/>
      <c r="BA207" s="2"/>
      <c r="BB207" s="2"/>
      <c r="BC207" s="2">
        <f t="shared" si="12"/>
        <v>22.6</v>
      </c>
      <c r="BD207" s="2"/>
      <c r="BE207" s="5">
        <f t="shared" si="20"/>
        <v>2.6907452919924402E-2</v>
      </c>
      <c r="BF207" s="13">
        <v>45610</v>
      </c>
      <c r="BG207" s="2">
        <v>158.30000000000001</v>
      </c>
      <c r="BH207" s="2"/>
      <c r="BI207" s="2"/>
      <c r="BJ207" s="2"/>
      <c r="BK207" s="2">
        <f t="shared" si="13"/>
        <v>158.30000000000001</v>
      </c>
      <c r="BL207" s="2"/>
      <c r="BM207" s="5">
        <f t="shared" si="22"/>
        <v>-9.4310664452078516E-3</v>
      </c>
    </row>
    <row r="208" spans="1:65" ht="15.75" customHeight="1" x14ac:dyDescent="0.35">
      <c r="A208" s="675"/>
      <c r="B208" s="13">
        <v>45613</v>
      </c>
      <c r="C208" s="2">
        <v>10.199999999999999</v>
      </c>
      <c r="D208" s="2"/>
      <c r="E208" s="2"/>
      <c r="F208" s="2"/>
      <c r="G208" s="11">
        <f t="shared" si="14"/>
        <v>10.199999999999999</v>
      </c>
      <c r="H208" s="2"/>
      <c r="I208" s="5">
        <f t="shared" si="21"/>
        <v>-1.9418085857101738E-2</v>
      </c>
      <c r="J208" s="13">
        <v>45613</v>
      </c>
      <c r="K208" s="2">
        <v>34.200000000000003</v>
      </c>
      <c r="L208" s="2"/>
      <c r="M208" s="2"/>
      <c r="N208" s="2"/>
      <c r="O208" s="11">
        <f t="shared" si="7"/>
        <v>34.200000000000003</v>
      </c>
      <c r="P208" s="2"/>
      <c r="Q208" s="5">
        <f t="shared" si="15"/>
        <v>-8.7336799687545534E-3</v>
      </c>
      <c r="R208" s="13">
        <v>45613</v>
      </c>
      <c r="S208" s="2">
        <v>320.7</v>
      </c>
      <c r="T208" s="2"/>
      <c r="U208" s="2"/>
      <c r="V208" s="2"/>
      <c r="W208" s="11">
        <f t="shared" si="8"/>
        <v>320.7</v>
      </c>
      <c r="X208" s="2"/>
      <c r="Y208" s="5">
        <f t="shared" si="16"/>
        <v>-1.6391274667598429E-2</v>
      </c>
      <c r="Z208" s="13">
        <v>45613</v>
      </c>
      <c r="AA208" s="2">
        <v>921</v>
      </c>
      <c r="AB208" s="2"/>
      <c r="AC208" s="2"/>
      <c r="AD208" s="2"/>
      <c r="AE208" s="2">
        <f t="shared" si="9"/>
        <v>921</v>
      </c>
      <c r="AF208" s="2"/>
      <c r="AG208" s="5">
        <f t="shared" si="17"/>
        <v>1.1795680672765273E-2</v>
      </c>
      <c r="AH208" s="13">
        <v>45613</v>
      </c>
      <c r="AI208" s="2">
        <v>655.4</v>
      </c>
      <c r="AJ208" s="2"/>
      <c r="AK208" s="2"/>
      <c r="AL208" s="2"/>
      <c r="AM208" s="2">
        <f t="shared" si="10"/>
        <v>655.4</v>
      </c>
      <c r="AN208" s="2"/>
      <c r="AO208" s="5">
        <f t="shared" si="18"/>
        <v>-1.6769574781366494E-3</v>
      </c>
      <c r="AP208" s="13">
        <v>45613</v>
      </c>
      <c r="AQ208" s="11">
        <v>491.9</v>
      </c>
      <c r="AR208" s="2"/>
      <c r="AS208" s="2"/>
      <c r="AT208" s="2"/>
      <c r="AU208" s="11">
        <f t="shared" si="11"/>
        <v>491.9</v>
      </c>
      <c r="AV208" s="2"/>
      <c r="AW208" s="5">
        <f t="shared" si="19"/>
        <v>-1.0159505090043359E-3</v>
      </c>
      <c r="AX208" s="13">
        <v>45613</v>
      </c>
      <c r="AY208" s="2">
        <v>22.9</v>
      </c>
      <c r="AZ208" s="2"/>
      <c r="BA208" s="2"/>
      <c r="BB208" s="2"/>
      <c r="BC208" s="2">
        <f t="shared" si="12"/>
        <v>22.9</v>
      </c>
      <c r="BD208" s="2"/>
      <c r="BE208" s="5">
        <f t="shared" si="20"/>
        <v>1.3187004281953681E-2</v>
      </c>
      <c r="BF208" s="13">
        <v>45613</v>
      </c>
      <c r="BG208" s="2">
        <v>158.30000000000001</v>
      </c>
      <c r="BH208" s="2"/>
      <c r="BI208" s="2"/>
      <c r="BJ208" s="2"/>
      <c r="BK208" s="2">
        <f t="shared" si="13"/>
        <v>158.30000000000001</v>
      </c>
      <c r="BL208" s="2"/>
      <c r="BM208" s="5">
        <f t="shared" si="22"/>
        <v>0</v>
      </c>
    </row>
    <row r="209" spans="1:65" ht="15.75" customHeight="1" x14ac:dyDescent="0.35">
      <c r="A209" s="675"/>
      <c r="B209" s="13">
        <v>45614</v>
      </c>
      <c r="C209" s="2">
        <v>10.1</v>
      </c>
      <c r="D209" s="2"/>
      <c r="E209" s="2"/>
      <c r="F209" s="2"/>
      <c r="G209" s="11">
        <f t="shared" si="14"/>
        <v>10.1</v>
      </c>
      <c r="H209" s="2"/>
      <c r="I209" s="5">
        <f t="shared" si="21"/>
        <v>-9.8522964430115944E-3</v>
      </c>
      <c r="J209" s="13">
        <v>45614</v>
      </c>
      <c r="K209" s="2">
        <v>33.6</v>
      </c>
      <c r="L209" s="2"/>
      <c r="M209" s="2"/>
      <c r="N209" s="2"/>
      <c r="O209" s="11">
        <f t="shared" si="7"/>
        <v>33.6</v>
      </c>
      <c r="P209" s="2"/>
      <c r="Q209" s="5">
        <f t="shared" si="15"/>
        <v>-1.7699577099400975E-2</v>
      </c>
      <c r="R209" s="13">
        <v>45614</v>
      </c>
      <c r="S209" s="2">
        <v>318.8</v>
      </c>
      <c r="T209" s="2"/>
      <c r="U209" s="2"/>
      <c r="V209" s="2"/>
      <c r="W209" s="11">
        <f t="shared" si="8"/>
        <v>318.8</v>
      </c>
      <c r="X209" s="2"/>
      <c r="Y209" s="5">
        <f t="shared" si="16"/>
        <v>-5.9421597830492025E-3</v>
      </c>
      <c r="Z209" s="13">
        <v>45614</v>
      </c>
      <c r="AA209" s="2">
        <v>914.8</v>
      </c>
      <c r="AB209" s="2"/>
      <c r="AC209" s="2"/>
      <c r="AD209" s="2"/>
      <c r="AE209" s="2">
        <f t="shared" si="9"/>
        <v>914.8</v>
      </c>
      <c r="AF209" s="2"/>
      <c r="AG209" s="5">
        <f t="shared" si="17"/>
        <v>-6.7545741066808631E-3</v>
      </c>
      <c r="AH209" s="13">
        <v>45614</v>
      </c>
      <c r="AI209" s="2">
        <v>652.20000000000005</v>
      </c>
      <c r="AJ209" s="2"/>
      <c r="AK209" s="2"/>
      <c r="AL209" s="2"/>
      <c r="AM209" s="2">
        <f t="shared" si="10"/>
        <v>652.20000000000005</v>
      </c>
      <c r="AN209" s="2"/>
      <c r="AO209" s="5">
        <f t="shared" si="18"/>
        <v>-4.8944729094953492E-3</v>
      </c>
      <c r="AP209" s="13">
        <v>45614</v>
      </c>
      <c r="AQ209" s="11">
        <v>492.2</v>
      </c>
      <c r="AR209" s="2"/>
      <c r="AS209" s="2"/>
      <c r="AT209" s="2"/>
      <c r="AU209" s="11">
        <f t="shared" si="11"/>
        <v>492.2</v>
      </c>
      <c r="AV209" s="2"/>
      <c r="AW209" s="5">
        <f t="shared" si="19"/>
        <v>6.0969415566131037E-4</v>
      </c>
      <c r="AX209" s="13">
        <v>45614</v>
      </c>
      <c r="AY209" s="2">
        <v>22.5</v>
      </c>
      <c r="AZ209" s="2"/>
      <c r="BA209" s="2"/>
      <c r="BB209" s="2"/>
      <c r="BC209" s="2">
        <f t="shared" si="12"/>
        <v>22.5</v>
      </c>
      <c r="BD209" s="2"/>
      <c r="BE209" s="5">
        <f t="shared" si="20"/>
        <v>-1.7621601349819445E-2</v>
      </c>
      <c r="BF209" s="13">
        <v>45614</v>
      </c>
      <c r="BG209" s="2">
        <v>154.69999999999999</v>
      </c>
      <c r="BH209" s="2"/>
      <c r="BI209" s="2"/>
      <c r="BJ209" s="2"/>
      <c r="BK209" s="2">
        <f t="shared" si="13"/>
        <v>154.69999999999999</v>
      </c>
      <c r="BL209" s="2"/>
      <c r="BM209" s="5">
        <f t="shared" si="22"/>
        <v>-2.3004209307946215E-2</v>
      </c>
    </row>
    <row r="210" spans="1:65" ht="15.75" customHeight="1" x14ac:dyDescent="0.35">
      <c r="A210" s="675"/>
      <c r="B210" s="13">
        <v>45615</v>
      </c>
      <c r="C210" s="2">
        <v>10</v>
      </c>
      <c r="D210" s="2"/>
      <c r="E210" s="2"/>
      <c r="F210" s="2"/>
      <c r="G210" s="11">
        <f t="shared" si="14"/>
        <v>10</v>
      </c>
      <c r="H210" s="2"/>
      <c r="I210" s="5">
        <f t="shared" si="21"/>
        <v>-9.950330853168092E-3</v>
      </c>
      <c r="J210" s="13">
        <v>45615</v>
      </c>
      <c r="K210" s="2">
        <v>33.5</v>
      </c>
      <c r="L210" s="2"/>
      <c r="M210" s="2"/>
      <c r="N210" s="2"/>
      <c r="O210" s="11">
        <f t="shared" si="7"/>
        <v>33.5</v>
      </c>
      <c r="P210" s="2"/>
      <c r="Q210" s="5">
        <f t="shared" si="15"/>
        <v>-2.9806281381377893E-3</v>
      </c>
      <c r="R210" s="13">
        <v>45615</v>
      </c>
      <c r="S210" s="2">
        <v>320.39999999999998</v>
      </c>
      <c r="T210" s="2"/>
      <c r="U210" s="2"/>
      <c r="V210" s="2"/>
      <c r="W210" s="11">
        <f t="shared" si="8"/>
        <v>320.39999999999998</v>
      </c>
      <c r="X210" s="2"/>
      <c r="Y210" s="5">
        <f t="shared" si="16"/>
        <v>5.0062682781440012E-3</v>
      </c>
      <c r="Z210" s="13">
        <v>45615</v>
      </c>
      <c r="AA210" s="2">
        <v>914.8</v>
      </c>
      <c r="AB210" s="2"/>
      <c r="AC210" s="2"/>
      <c r="AD210" s="2"/>
      <c r="AE210" s="2">
        <f t="shared" si="9"/>
        <v>914.8</v>
      </c>
      <c r="AF210" s="2"/>
      <c r="AG210" s="5">
        <f t="shared" si="17"/>
        <v>0</v>
      </c>
      <c r="AH210" s="13">
        <v>45615</v>
      </c>
      <c r="AI210" s="2">
        <v>641</v>
      </c>
      <c r="AJ210" s="2"/>
      <c r="AK210" s="2"/>
      <c r="AL210" s="2"/>
      <c r="AM210" s="2">
        <f t="shared" si="10"/>
        <v>641</v>
      </c>
      <c r="AN210" s="2"/>
      <c r="AO210" s="5">
        <f t="shared" si="18"/>
        <v>-1.7321806434548778E-2</v>
      </c>
      <c r="AP210" s="13">
        <v>45615</v>
      </c>
      <c r="AQ210" s="11">
        <v>491.5</v>
      </c>
      <c r="AR210" s="2"/>
      <c r="AS210" s="2"/>
      <c r="AT210" s="2"/>
      <c r="AU210" s="11">
        <f t="shared" si="11"/>
        <v>491.5</v>
      </c>
      <c r="AV210" s="2"/>
      <c r="AW210" s="5">
        <f t="shared" si="19"/>
        <v>-1.4231983697342687E-3</v>
      </c>
      <c r="AX210" s="13">
        <v>45615</v>
      </c>
      <c r="AY210" s="2">
        <v>22.4</v>
      </c>
      <c r="AZ210" s="2"/>
      <c r="BA210" s="2"/>
      <c r="BB210" s="2"/>
      <c r="BC210" s="2">
        <f t="shared" si="12"/>
        <v>22.4</v>
      </c>
      <c r="BD210" s="2"/>
      <c r="BE210" s="5">
        <f t="shared" si="20"/>
        <v>-4.4543503493803087E-3</v>
      </c>
      <c r="BF210" s="13">
        <v>45615</v>
      </c>
      <c r="BG210" s="2">
        <v>158.6</v>
      </c>
      <c r="BH210" s="2"/>
      <c r="BI210" s="2"/>
      <c r="BJ210" s="2"/>
      <c r="BK210" s="2">
        <f t="shared" si="13"/>
        <v>158.6</v>
      </c>
      <c r="BL210" s="2"/>
      <c r="BM210" s="5">
        <f t="shared" si="22"/>
        <v>2.4897551621727302E-2</v>
      </c>
    </row>
    <row r="211" spans="1:65" ht="15.75" customHeight="1" x14ac:dyDescent="0.35">
      <c r="A211" s="675"/>
      <c r="B211" s="13">
        <v>45616</v>
      </c>
      <c r="C211" s="2">
        <v>10</v>
      </c>
      <c r="D211" s="2"/>
      <c r="E211" s="2"/>
      <c r="F211" s="2"/>
      <c r="G211" s="11">
        <f t="shared" si="14"/>
        <v>10</v>
      </c>
      <c r="H211" s="2"/>
      <c r="I211" s="5">
        <f t="shared" si="21"/>
        <v>0</v>
      </c>
      <c r="J211" s="13">
        <v>45616</v>
      </c>
      <c r="K211" s="2">
        <v>34.700000000000003</v>
      </c>
      <c r="L211" s="2"/>
      <c r="M211" s="2"/>
      <c r="N211" s="2"/>
      <c r="O211" s="11">
        <f t="shared" si="7"/>
        <v>34.700000000000003</v>
      </c>
      <c r="P211" s="2"/>
      <c r="Q211" s="5">
        <f t="shared" si="15"/>
        <v>3.51942481217929E-2</v>
      </c>
      <c r="R211" s="13">
        <v>45616</v>
      </c>
      <c r="S211" s="2">
        <v>322.89999999999998</v>
      </c>
      <c r="T211" s="2"/>
      <c r="U211" s="2"/>
      <c r="V211" s="2"/>
      <c r="W211" s="11">
        <f t="shared" si="8"/>
        <v>322.89999999999998</v>
      </c>
      <c r="X211" s="2"/>
      <c r="Y211" s="5">
        <f t="shared" si="16"/>
        <v>7.7724625700254495E-3</v>
      </c>
      <c r="Z211" s="13">
        <v>45616</v>
      </c>
      <c r="AA211" s="2">
        <v>904.6</v>
      </c>
      <c r="AB211" s="2"/>
      <c r="AC211" s="2"/>
      <c r="AD211" s="2"/>
      <c r="AE211" s="2">
        <f t="shared" si="9"/>
        <v>904.6</v>
      </c>
      <c r="AF211" s="2">
        <v>34</v>
      </c>
      <c r="AG211" s="5">
        <f t="shared" si="17"/>
        <v>2.5683941211691357E-2</v>
      </c>
      <c r="AH211" s="13">
        <v>45616</v>
      </c>
      <c r="AI211" s="2">
        <v>641.6</v>
      </c>
      <c r="AJ211" s="2"/>
      <c r="AK211" s="2"/>
      <c r="AL211" s="2"/>
      <c r="AM211" s="2">
        <f t="shared" si="10"/>
        <v>641.6</v>
      </c>
      <c r="AN211" s="2"/>
      <c r="AO211" s="5">
        <f t="shared" si="18"/>
        <v>9.3559963163476767E-4</v>
      </c>
      <c r="AP211" s="13">
        <v>45616</v>
      </c>
      <c r="AQ211" s="11">
        <v>489.2</v>
      </c>
      <c r="AR211" s="2"/>
      <c r="AS211" s="2"/>
      <c r="AT211" s="2"/>
      <c r="AU211" s="11">
        <f t="shared" si="11"/>
        <v>489.2</v>
      </c>
      <c r="AV211" s="2"/>
      <c r="AW211" s="5">
        <f t="shared" si="19"/>
        <v>-4.6905357742039414E-3</v>
      </c>
      <c r="AX211" s="13">
        <v>45616</v>
      </c>
      <c r="AY211" s="2">
        <v>22.3</v>
      </c>
      <c r="AZ211" s="2"/>
      <c r="BA211" s="2"/>
      <c r="BB211" s="2"/>
      <c r="BC211" s="2">
        <f t="shared" si="12"/>
        <v>22.3</v>
      </c>
      <c r="BD211" s="2"/>
      <c r="BE211" s="5">
        <f t="shared" si="20"/>
        <v>-4.4742803949209663E-3</v>
      </c>
      <c r="BF211" s="13">
        <v>45616</v>
      </c>
      <c r="BG211" s="2">
        <v>157.4</v>
      </c>
      <c r="BH211" s="2"/>
      <c r="BI211" s="2"/>
      <c r="BJ211" s="2"/>
      <c r="BK211" s="2">
        <f t="shared" si="13"/>
        <v>157.4</v>
      </c>
      <c r="BL211" s="2"/>
      <c r="BM211" s="5">
        <f t="shared" si="22"/>
        <v>-7.5949732174446375E-3</v>
      </c>
    </row>
    <row r="212" spans="1:65" ht="15.75" customHeight="1" x14ac:dyDescent="0.35">
      <c r="A212" s="675"/>
      <c r="B212" s="13">
        <v>45617</v>
      </c>
      <c r="C212" s="2">
        <v>9.9</v>
      </c>
      <c r="D212" s="2"/>
      <c r="E212" s="2"/>
      <c r="F212" s="2"/>
      <c r="G212" s="11">
        <f t="shared" si="14"/>
        <v>9.9</v>
      </c>
      <c r="H212" s="2"/>
      <c r="I212" s="5">
        <f t="shared" si="21"/>
        <v>-1.0050335853501451E-2</v>
      </c>
      <c r="J212" s="13">
        <v>45617</v>
      </c>
      <c r="K212" s="2">
        <v>33.9</v>
      </c>
      <c r="L212" s="2"/>
      <c r="M212" s="2"/>
      <c r="N212" s="2"/>
      <c r="O212" s="11">
        <f t="shared" si="7"/>
        <v>33.9</v>
      </c>
      <c r="P212" s="2"/>
      <c r="Q212" s="5">
        <f t="shared" si="15"/>
        <v>-2.3324672566409004E-2</v>
      </c>
      <c r="R212" s="13">
        <v>45617</v>
      </c>
      <c r="S212" s="2">
        <v>318.2</v>
      </c>
      <c r="T212" s="2"/>
      <c r="U212" s="2"/>
      <c r="V212" s="2"/>
      <c r="W212" s="11">
        <f t="shared" si="8"/>
        <v>318.2</v>
      </c>
      <c r="X212" s="2"/>
      <c r="Y212" s="5">
        <f t="shared" si="16"/>
        <v>-1.4662561860542957E-2</v>
      </c>
      <c r="Z212" s="13">
        <v>45617</v>
      </c>
      <c r="AA212" s="2">
        <v>905</v>
      </c>
      <c r="AB212" s="2"/>
      <c r="AC212" s="2"/>
      <c r="AD212" s="2"/>
      <c r="AE212" s="2">
        <f t="shared" si="9"/>
        <v>905</v>
      </c>
      <c r="AF212" s="2"/>
      <c r="AG212" s="5">
        <f t="shared" si="17"/>
        <v>4.4208665618339344E-4</v>
      </c>
      <c r="AH212" s="13">
        <v>45617</v>
      </c>
      <c r="AI212" s="2">
        <v>640.1</v>
      </c>
      <c r="AJ212" s="2"/>
      <c r="AK212" s="2"/>
      <c r="AL212" s="2"/>
      <c r="AM212" s="2">
        <f t="shared" si="10"/>
        <v>640.1</v>
      </c>
      <c r="AN212" s="2"/>
      <c r="AO212" s="5">
        <f t="shared" si="18"/>
        <v>-2.3406424043469908E-3</v>
      </c>
      <c r="AP212" s="13">
        <v>45617</v>
      </c>
      <c r="AQ212" s="11">
        <v>487</v>
      </c>
      <c r="AR212" s="2"/>
      <c r="AS212" s="2"/>
      <c r="AT212" s="2"/>
      <c r="AU212" s="11">
        <f t="shared" si="11"/>
        <v>487</v>
      </c>
      <c r="AV212" s="2"/>
      <c r="AW212" s="5">
        <f t="shared" si="19"/>
        <v>-4.5072807304274744E-3</v>
      </c>
      <c r="AX212" s="13">
        <v>45617</v>
      </c>
      <c r="AY212" s="2">
        <v>22.2</v>
      </c>
      <c r="AZ212" s="2"/>
      <c r="BA212" s="2"/>
      <c r="BB212" s="2"/>
      <c r="BC212" s="2">
        <f t="shared" si="12"/>
        <v>22.2</v>
      </c>
      <c r="BD212" s="2"/>
      <c r="BE212" s="5">
        <f t="shared" si="20"/>
        <v>-4.4943895878393264E-3</v>
      </c>
      <c r="BF212" s="13">
        <v>45617</v>
      </c>
      <c r="BG212" s="2">
        <v>153.6</v>
      </c>
      <c r="BH212" s="2"/>
      <c r="BI212" s="2"/>
      <c r="BJ212" s="2"/>
      <c r="BK212" s="2">
        <f t="shared" si="13"/>
        <v>153.6</v>
      </c>
      <c r="BL212" s="2"/>
      <c r="BM212" s="5">
        <f t="shared" si="22"/>
        <v>-2.4438515269731131E-2</v>
      </c>
    </row>
    <row r="213" spans="1:65" ht="15.75" customHeight="1" x14ac:dyDescent="0.35">
      <c r="A213" s="675"/>
      <c r="B213" s="13">
        <v>45620</v>
      </c>
      <c r="C213" s="2">
        <v>9.8000000000000007</v>
      </c>
      <c r="D213" s="2"/>
      <c r="E213" s="2"/>
      <c r="F213" s="2"/>
      <c r="G213" s="11">
        <f t="shared" si="14"/>
        <v>9.8000000000000007</v>
      </c>
      <c r="H213" s="2"/>
      <c r="I213" s="5">
        <f t="shared" si="21"/>
        <v>-1.0152371464017962E-2</v>
      </c>
      <c r="J213" s="13">
        <v>45620</v>
      </c>
      <c r="K213" s="2">
        <v>33.799999999999997</v>
      </c>
      <c r="L213" s="2"/>
      <c r="M213" s="2"/>
      <c r="N213" s="2"/>
      <c r="O213" s="11">
        <f t="shared" si="7"/>
        <v>33.799999999999997</v>
      </c>
      <c r="P213" s="2"/>
      <c r="Q213" s="5">
        <f t="shared" si="15"/>
        <v>-2.9542118974315201E-3</v>
      </c>
      <c r="R213" s="13">
        <v>45620</v>
      </c>
      <c r="S213" s="2">
        <v>317.8</v>
      </c>
      <c r="T213" s="2"/>
      <c r="U213" s="2"/>
      <c r="V213" s="2"/>
      <c r="W213" s="11">
        <f t="shared" si="8"/>
        <v>317.8</v>
      </c>
      <c r="X213" s="2"/>
      <c r="Y213" s="5">
        <f t="shared" si="16"/>
        <v>-1.2578618010707818E-3</v>
      </c>
      <c r="Z213" s="13">
        <v>45620</v>
      </c>
      <c r="AA213" s="2">
        <v>901.4</v>
      </c>
      <c r="AB213" s="2"/>
      <c r="AC213" s="2"/>
      <c r="AD213" s="2"/>
      <c r="AE213" s="2">
        <f t="shared" si="9"/>
        <v>901.4</v>
      </c>
      <c r="AF213" s="2"/>
      <c r="AG213" s="5">
        <f t="shared" si="17"/>
        <v>-3.9858334433782918E-3</v>
      </c>
      <c r="AH213" s="13">
        <v>45620</v>
      </c>
      <c r="AI213" s="2">
        <v>633.29999999999995</v>
      </c>
      <c r="AJ213" s="2"/>
      <c r="AK213" s="2"/>
      <c r="AL213" s="2"/>
      <c r="AM213" s="2">
        <f t="shared" si="10"/>
        <v>633.29999999999995</v>
      </c>
      <c r="AN213" s="2"/>
      <c r="AO213" s="5">
        <f t="shared" si="18"/>
        <v>-1.0680170625573148E-2</v>
      </c>
      <c r="AP213" s="13">
        <v>45620</v>
      </c>
      <c r="AQ213" s="11">
        <v>486.1</v>
      </c>
      <c r="AR213" s="2"/>
      <c r="AS213" s="2"/>
      <c r="AT213" s="2"/>
      <c r="AU213" s="11">
        <f t="shared" si="11"/>
        <v>486.1</v>
      </c>
      <c r="AV213" s="2"/>
      <c r="AW213" s="5">
        <f t="shared" si="19"/>
        <v>-1.8497590311799162E-3</v>
      </c>
      <c r="AX213" s="13">
        <v>45620</v>
      </c>
      <c r="AY213" s="2">
        <v>21.3</v>
      </c>
      <c r="AZ213" s="2"/>
      <c r="BA213" s="2"/>
      <c r="BB213" s="2"/>
      <c r="BC213" s="2">
        <f t="shared" si="12"/>
        <v>21.3</v>
      </c>
      <c r="BD213" s="2"/>
      <c r="BE213" s="5">
        <f t="shared" si="20"/>
        <v>-4.1385216162854246E-2</v>
      </c>
      <c r="BF213" s="13">
        <v>45620</v>
      </c>
      <c r="BG213" s="2">
        <v>154.30000000000001</v>
      </c>
      <c r="BH213" s="2"/>
      <c r="BI213" s="2"/>
      <c r="BJ213" s="2"/>
      <c r="BK213" s="2">
        <f t="shared" si="13"/>
        <v>154.30000000000001</v>
      </c>
      <c r="BL213" s="2"/>
      <c r="BM213" s="5">
        <f t="shared" si="22"/>
        <v>4.5469386555434367E-3</v>
      </c>
    </row>
    <row r="214" spans="1:65" ht="15.75" customHeight="1" x14ac:dyDescent="0.35">
      <c r="A214" s="675"/>
      <c r="B214" s="13">
        <v>45621</v>
      </c>
      <c r="C214" s="2">
        <v>9.8000000000000007</v>
      </c>
      <c r="D214" s="2"/>
      <c r="E214" s="2"/>
      <c r="F214" s="2"/>
      <c r="G214" s="11">
        <f t="shared" si="14"/>
        <v>9.8000000000000007</v>
      </c>
      <c r="H214" s="2"/>
      <c r="I214" s="5">
        <f t="shared" si="21"/>
        <v>0</v>
      </c>
      <c r="J214" s="13">
        <v>45621</v>
      </c>
      <c r="K214" s="2">
        <v>33.5</v>
      </c>
      <c r="L214" s="2"/>
      <c r="M214" s="2"/>
      <c r="N214" s="2"/>
      <c r="O214" s="11">
        <f t="shared" si="7"/>
        <v>33.5</v>
      </c>
      <c r="P214" s="2"/>
      <c r="Q214" s="5">
        <f t="shared" si="15"/>
        <v>-8.9153636579522803E-3</v>
      </c>
      <c r="R214" s="13">
        <v>45621</v>
      </c>
      <c r="S214" s="2">
        <v>315.2</v>
      </c>
      <c r="T214" s="2"/>
      <c r="U214" s="2"/>
      <c r="V214" s="2"/>
      <c r="W214" s="11">
        <f t="shared" si="8"/>
        <v>315.2</v>
      </c>
      <c r="X214" s="2"/>
      <c r="Y214" s="5">
        <f t="shared" si="16"/>
        <v>-8.2148961188915938E-3</v>
      </c>
      <c r="Z214" s="13">
        <v>45621</v>
      </c>
      <c r="AA214" s="2">
        <v>900.4</v>
      </c>
      <c r="AB214" s="2"/>
      <c r="AC214" s="2"/>
      <c r="AD214" s="2"/>
      <c r="AE214" s="2">
        <f t="shared" si="9"/>
        <v>900.4</v>
      </c>
      <c r="AF214" s="2"/>
      <c r="AG214" s="5">
        <f t="shared" si="17"/>
        <v>-1.1100012239706988E-3</v>
      </c>
      <c r="AH214" s="13">
        <v>45621</v>
      </c>
      <c r="AI214" s="2">
        <v>624.9</v>
      </c>
      <c r="AJ214" s="2"/>
      <c r="AK214" s="2"/>
      <c r="AL214" s="2"/>
      <c r="AM214" s="2">
        <f t="shared" si="10"/>
        <v>624.9</v>
      </c>
      <c r="AN214" s="2"/>
      <c r="AO214" s="5">
        <f t="shared" si="18"/>
        <v>-1.3352606587348598E-2</v>
      </c>
      <c r="AP214" s="13">
        <v>45621</v>
      </c>
      <c r="AQ214" s="11">
        <v>482.6</v>
      </c>
      <c r="AR214" s="2"/>
      <c r="AS214" s="2"/>
      <c r="AT214" s="2"/>
      <c r="AU214" s="11">
        <f t="shared" si="11"/>
        <v>482.6</v>
      </c>
      <c r="AV214" s="2"/>
      <c r="AW214" s="5">
        <f t="shared" si="19"/>
        <v>-7.2262108604783963E-3</v>
      </c>
      <c r="AX214" s="13">
        <v>45621</v>
      </c>
      <c r="AY214" s="2">
        <v>22</v>
      </c>
      <c r="AZ214" s="2"/>
      <c r="BA214" s="2"/>
      <c r="BB214" s="2"/>
      <c r="BC214" s="2">
        <f t="shared" si="12"/>
        <v>22</v>
      </c>
      <c r="BD214" s="2"/>
      <c r="BE214" s="5">
        <f t="shared" si="20"/>
        <v>3.2335380642936451E-2</v>
      </c>
      <c r="BF214" s="13">
        <v>45621</v>
      </c>
      <c r="BG214" s="2">
        <v>155.6</v>
      </c>
      <c r="BH214" s="2"/>
      <c r="BI214" s="2"/>
      <c r="BJ214" s="2"/>
      <c r="BK214" s="2">
        <f t="shared" si="13"/>
        <v>155.6</v>
      </c>
      <c r="BL214" s="2"/>
      <c r="BM214" s="5">
        <f t="shared" si="22"/>
        <v>8.3898523751760237E-3</v>
      </c>
    </row>
    <row r="215" spans="1:65" ht="15.75" customHeight="1" x14ac:dyDescent="0.35">
      <c r="A215" s="675"/>
      <c r="B215" s="13">
        <v>45622</v>
      </c>
      <c r="C215" s="2">
        <v>9.8000000000000007</v>
      </c>
      <c r="D215" s="2"/>
      <c r="E215" s="2"/>
      <c r="F215" s="2"/>
      <c r="G215" s="11">
        <f t="shared" si="14"/>
        <v>9.8000000000000007</v>
      </c>
      <c r="H215" s="2"/>
      <c r="I215" s="5">
        <f t="shared" si="21"/>
        <v>0</v>
      </c>
      <c r="J215" s="13">
        <v>45622</v>
      </c>
      <c r="K215" s="2">
        <v>33</v>
      </c>
      <c r="L215" s="2"/>
      <c r="M215" s="2"/>
      <c r="N215" s="2"/>
      <c r="O215" s="11">
        <f t="shared" si="7"/>
        <v>33</v>
      </c>
      <c r="P215" s="2"/>
      <c r="Q215" s="5">
        <f t="shared" si="15"/>
        <v>-1.5037877364540559E-2</v>
      </c>
      <c r="R215" s="13">
        <v>45622</v>
      </c>
      <c r="S215" s="2">
        <v>318.8</v>
      </c>
      <c r="T215" s="2"/>
      <c r="U215" s="2"/>
      <c r="V215" s="2"/>
      <c r="W215" s="11">
        <f t="shared" si="8"/>
        <v>318.8</v>
      </c>
      <c r="X215" s="2"/>
      <c r="Y215" s="5">
        <f t="shared" si="16"/>
        <v>1.1356588932335975E-2</v>
      </c>
      <c r="Z215" s="13">
        <v>45622</v>
      </c>
      <c r="AA215" s="2">
        <v>898.1</v>
      </c>
      <c r="AB215" s="2"/>
      <c r="AC215" s="2"/>
      <c r="AD215" s="2"/>
      <c r="AE215" s="2">
        <f t="shared" si="9"/>
        <v>898.1</v>
      </c>
      <c r="AF215" s="2"/>
      <c r="AG215" s="5">
        <f t="shared" si="17"/>
        <v>-2.5576883556730373E-3</v>
      </c>
      <c r="AH215" s="13">
        <v>45622</v>
      </c>
      <c r="AI215" s="2">
        <v>616.6</v>
      </c>
      <c r="AJ215" s="2"/>
      <c r="AK215" s="2"/>
      <c r="AL215" s="2"/>
      <c r="AM215" s="2">
        <f t="shared" si="10"/>
        <v>616.6</v>
      </c>
      <c r="AN215" s="2"/>
      <c r="AO215" s="5">
        <f t="shared" si="18"/>
        <v>-1.3371121482985974E-2</v>
      </c>
      <c r="AP215" s="13">
        <v>45622</v>
      </c>
      <c r="AQ215" s="11">
        <v>482.9</v>
      </c>
      <c r="AR215" s="2"/>
      <c r="AS215" s="2"/>
      <c r="AT215" s="2"/>
      <c r="AU215" s="11">
        <f t="shared" si="11"/>
        <v>482.9</v>
      </c>
      <c r="AV215" s="2"/>
      <c r="AW215" s="5">
        <f t="shared" si="19"/>
        <v>6.2143968856467533E-4</v>
      </c>
      <c r="AX215" s="13">
        <v>45622</v>
      </c>
      <c r="AY215" s="2">
        <v>21.7</v>
      </c>
      <c r="AZ215" s="2"/>
      <c r="BA215" s="2"/>
      <c r="BB215" s="2"/>
      <c r="BC215" s="2">
        <f t="shared" si="12"/>
        <v>21.7</v>
      </c>
      <c r="BD215" s="2"/>
      <c r="BE215" s="5">
        <f t="shared" si="20"/>
        <v>-1.373019281190202E-2</v>
      </c>
      <c r="BF215" s="13">
        <v>45622</v>
      </c>
      <c r="BG215" s="2">
        <v>152.9</v>
      </c>
      <c r="BH215" s="2"/>
      <c r="BI215" s="2"/>
      <c r="BJ215" s="2"/>
      <c r="BK215" s="2">
        <f t="shared" si="13"/>
        <v>152.9</v>
      </c>
      <c r="BL215" s="2"/>
      <c r="BM215" s="5">
        <f t="shared" si="22"/>
        <v>-1.7504498809274589E-2</v>
      </c>
    </row>
    <row r="216" spans="1:65" ht="15.75" customHeight="1" x14ac:dyDescent="0.35">
      <c r="A216" s="675"/>
      <c r="B216" s="13">
        <v>45623</v>
      </c>
      <c r="C216" s="2">
        <v>10.1</v>
      </c>
      <c r="D216" s="2"/>
      <c r="E216" s="2"/>
      <c r="F216" s="2"/>
      <c r="G216" s="11">
        <f t="shared" si="14"/>
        <v>10.1</v>
      </c>
      <c r="H216" s="2"/>
      <c r="I216" s="5">
        <f t="shared" si="21"/>
        <v>3.0153038170687457E-2</v>
      </c>
      <c r="J216" s="13">
        <v>45623</v>
      </c>
      <c r="K216" s="2">
        <v>33.5</v>
      </c>
      <c r="L216" s="2"/>
      <c r="M216" s="2"/>
      <c r="N216" s="2"/>
      <c r="O216" s="11">
        <f t="shared" si="7"/>
        <v>33.5</v>
      </c>
      <c r="P216" s="2"/>
      <c r="Q216" s="5">
        <f t="shared" si="15"/>
        <v>1.5037877364540502E-2</v>
      </c>
      <c r="R216" s="13">
        <v>45623</v>
      </c>
      <c r="S216" s="2">
        <v>321.10000000000002</v>
      </c>
      <c r="T216" s="2"/>
      <c r="U216" s="2"/>
      <c r="V216" s="2"/>
      <c r="W216" s="11">
        <f t="shared" si="8"/>
        <v>321.10000000000002</v>
      </c>
      <c r="X216" s="2"/>
      <c r="Y216" s="5">
        <f t="shared" si="16"/>
        <v>7.1886541794082904E-3</v>
      </c>
      <c r="Z216" s="13">
        <v>45623</v>
      </c>
      <c r="AA216" s="2">
        <v>905</v>
      </c>
      <c r="AB216" s="2"/>
      <c r="AC216" s="2"/>
      <c r="AD216" s="2"/>
      <c r="AE216" s="2">
        <f t="shared" si="9"/>
        <v>905</v>
      </c>
      <c r="AF216" s="2"/>
      <c r="AG216" s="5">
        <f t="shared" si="17"/>
        <v>7.6535230230219695E-3</v>
      </c>
      <c r="AH216" s="13">
        <v>45623</v>
      </c>
      <c r="AI216" s="2">
        <v>637.4</v>
      </c>
      <c r="AJ216" s="2"/>
      <c r="AK216" s="2"/>
      <c r="AL216" s="2"/>
      <c r="AM216" s="2">
        <f t="shared" si="10"/>
        <v>637.4</v>
      </c>
      <c r="AN216" s="2"/>
      <c r="AO216" s="5">
        <f t="shared" si="18"/>
        <v>3.3176886531186001E-2</v>
      </c>
      <c r="AP216" s="13">
        <v>45623</v>
      </c>
      <c r="AQ216" s="11">
        <v>485.2</v>
      </c>
      <c r="AR216" s="2"/>
      <c r="AS216" s="2"/>
      <c r="AT216" s="2"/>
      <c r="AU216" s="11">
        <f t="shared" si="11"/>
        <v>485.2</v>
      </c>
      <c r="AV216" s="2"/>
      <c r="AW216" s="5">
        <f t="shared" si="19"/>
        <v>4.7515841903988405E-3</v>
      </c>
      <c r="AX216" s="13">
        <v>45623</v>
      </c>
      <c r="AY216" s="2">
        <v>22</v>
      </c>
      <c r="AZ216" s="2"/>
      <c r="BA216" s="2"/>
      <c r="BB216" s="2"/>
      <c r="BC216" s="2">
        <f t="shared" si="12"/>
        <v>22</v>
      </c>
      <c r="BD216" s="2"/>
      <c r="BE216" s="5">
        <f t="shared" si="20"/>
        <v>1.3730192811902037E-2</v>
      </c>
      <c r="BF216" s="13">
        <v>45623</v>
      </c>
      <c r="BG216" s="2">
        <v>156.5</v>
      </c>
      <c r="BH216" s="2"/>
      <c r="BI216" s="2"/>
      <c r="BJ216" s="2"/>
      <c r="BK216" s="2">
        <f t="shared" si="13"/>
        <v>156.5</v>
      </c>
      <c r="BL216" s="2"/>
      <c r="BM216" s="5">
        <f t="shared" si="22"/>
        <v>2.3271897045191225E-2</v>
      </c>
    </row>
    <row r="217" spans="1:65" ht="15.75" customHeight="1" x14ac:dyDescent="0.35">
      <c r="A217" s="675"/>
      <c r="B217" s="13">
        <v>45624</v>
      </c>
      <c r="C217" s="2">
        <v>10</v>
      </c>
      <c r="D217" s="2"/>
      <c r="E217" s="2"/>
      <c r="F217" s="2"/>
      <c r="G217" s="11">
        <f t="shared" si="14"/>
        <v>10</v>
      </c>
      <c r="H217" s="2"/>
      <c r="I217" s="5">
        <f t="shared" si="21"/>
        <v>-9.950330853168092E-3</v>
      </c>
      <c r="J217" s="13">
        <v>45624</v>
      </c>
      <c r="K217" s="2">
        <v>33.4</v>
      </c>
      <c r="L217" s="2"/>
      <c r="M217" s="2"/>
      <c r="N217" s="2"/>
      <c r="O217" s="11">
        <f t="shared" si="7"/>
        <v>33.4</v>
      </c>
      <c r="P217" s="2"/>
      <c r="Q217" s="5">
        <f t="shared" si="15"/>
        <v>-2.9895388483660483E-3</v>
      </c>
      <c r="R217" s="13">
        <v>45624</v>
      </c>
      <c r="S217" s="2">
        <v>319.7</v>
      </c>
      <c r="T217" s="2"/>
      <c r="U217" s="2"/>
      <c r="V217" s="2"/>
      <c r="W217" s="11">
        <f t="shared" si="8"/>
        <v>319.7</v>
      </c>
      <c r="X217" s="2"/>
      <c r="Y217" s="5">
        <f t="shared" si="16"/>
        <v>-4.3695450296725767E-3</v>
      </c>
      <c r="Z217" s="13">
        <v>45624</v>
      </c>
      <c r="AA217" s="2">
        <v>897.2</v>
      </c>
      <c r="AB217" s="2"/>
      <c r="AC217" s="2"/>
      <c r="AD217" s="2"/>
      <c r="AE217" s="2">
        <f t="shared" si="9"/>
        <v>897.2</v>
      </c>
      <c r="AF217" s="2"/>
      <c r="AG217" s="5">
        <f t="shared" si="17"/>
        <v>-8.6561410538727977E-3</v>
      </c>
      <c r="AH217" s="13">
        <v>45624</v>
      </c>
      <c r="AI217" s="2">
        <v>637.70000000000005</v>
      </c>
      <c r="AJ217" s="2"/>
      <c r="AK217" s="2"/>
      <c r="AL217" s="2"/>
      <c r="AM217" s="2">
        <f t="shared" si="10"/>
        <v>637.70000000000005</v>
      </c>
      <c r="AN217" s="2"/>
      <c r="AO217" s="5">
        <f t="shared" si="18"/>
        <v>4.7055133799006501E-4</v>
      </c>
      <c r="AP217" s="13">
        <v>45624</v>
      </c>
      <c r="AQ217" s="11">
        <v>488.1</v>
      </c>
      <c r="AR217" s="2"/>
      <c r="AS217" s="2"/>
      <c r="AT217" s="2"/>
      <c r="AU217" s="11">
        <f t="shared" si="11"/>
        <v>488.1</v>
      </c>
      <c r="AV217" s="2"/>
      <c r="AW217" s="5">
        <f t="shared" si="19"/>
        <v>5.9591258232068135E-3</v>
      </c>
      <c r="AX217" s="13">
        <v>45624</v>
      </c>
      <c r="AY217" s="2">
        <v>22.9</v>
      </c>
      <c r="AZ217" s="2"/>
      <c r="BA217" s="2"/>
      <c r="BB217" s="2"/>
      <c r="BC217" s="2">
        <f t="shared" si="12"/>
        <v>22.9</v>
      </c>
      <c r="BD217" s="2"/>
      <c r="BE217" s="5">
        <f t="shared" si="20"/>
        <v>4.0094457201877994E-2</v>
      </c>
      <c r="BF217" s="13">
        <v>45624</v>
      </c>
      <c r="BG217" s="2">
        <v>154</v>
      </c>
      <c r="BH217" s="2"/>
      <c r="BI217" s="2"/>
      <c r="BJ217" s="2"/>
      <c r="BK217" s="2">
        <f t="shared" si="13"/>
        <v>154</v>
      </c>
      <c r="BL217" s="2"/>
      <c r="BM217" s="5">
        <f t="shared" si="22"/>
        <v>-1.6103407566578735E-2</v>
      </c>
    </row>
    <row r="218" spans="1:65" ht="15.75" customHeight="1" x14ac:dyDescent="0.35">
      <c r="A218" s="675"/>
      <c r="B218" s="13">
        <v>45627</v>
      </c>
      <c r="C218" s="2">
        <v>9.9</v>
      </c>
      <c r="D218" s="2"/>
      <c r="E218" s="2"/>
      <c r="F218" s="2"/>
      <c r="G218" s="11">
        <f t="shared" si="14"/>
        <v>9.9</v>
      </c>
      <c r="H218" s="2"/>
      <c r="I218" s="5">
        <f t="shared" si="21"/>
        <v>-1.0050335853501451E-2</v>
      </c>
      <c r="J218" s="13">
        <v>45627</v>
      </c>
      <c r="K218" s="2">
        <v>33.4</v>
      </c>
      <c r="L218" s="2"/>
      <c r="M218" s="2"/>
      <c r="N218" s="2"/>
      <c r="O218" s="11">
        <f t="shared" si="7"/>
        <v>33.4</v>
      </c>
      <c r="P218" s="2"/>
      <c r="Q218" s="5">
        <f t="shared" si="15"/>
        <v>0</v>
      </c>
      <c r="R218" s="13">
        <v>45627</v>
      </c>
      <c r="S218" s="2">
        <v>317.8</v>
      </c>
      <c r="T218" s="2"/>
      <c r="U218" s="2"/>
      <c r="V218" s="2"/>
      <c r="W218" s="11">
        <f t="shared" si="8"/>
        <v>317.8</v>
      </c>
      <c r="X218" s="2"/>
      <c r="Y218" s="5">
        <f t="shared" si="16"/>
        <v>-5.9608019631800435E-3</v>
      </c>
      <c r="Z218" s="13">
        <v>45627</v>
      </c>
      <c r="AA218" s="2">
        <v>900</v>
      </c>
      <c r="AB218" s="2"/>
      <c r="AC218" s="2"/>
      <c r="AD218" s="2"/>
      <c r="AE218" s="2">
        <f t="shared" si="9"/>
        <v>900</v>
      </c>
      <c r="AF218" s="2"/>
      <c r="AG218" s="5">
        <f t="shared" si="17"/>
        <v>3.1159606782575474E-3</v>
      </c>
      <c r="AH218" s="13">
        <v>45627</v>
      </c>
      <c r="AI218" s="2">
        <v>640.4</v>
      </c>
      <c r="AJ218" s="2"/>
      <c r="AK218" s="2"/>
      <c r="AL218" s="2"/>
      <c r="AM218" s="2">
        <f t="shared" si="10"/>
        <v>640.4</v>
      </c>
      <c r="AN218" s="2"/>
      <c r="AO218" s="5">
        <f t="shared" si="18"/>
        <v>4.2250278013334841E-3</v>
      </c>
      <c r="AP218" s="13">
        <v>45627</v>
      </c>
      <c r="AQ218" s="11">
        <v>486.4</v>
      </c>
      <c r="AR218" s="2"/>
      <c r="AS218" s="2"/>
      <c r="AT218" s="2"/>
      <c r="AU218" s="11">
        <f t="shared" si="11"/>
        <v>486.4</v>
      </c>
      <c r="AV218" s="2"/>
      <c r="AW218" s="5">
        <f t="shared" si="19"/>
        <v>-3.4889722411446467E-3</v>
      </c>
      <c r="AX218" s="13">
        <v>45627</v>
      </c>
      <c r="AY218" s="2">
        <v>23.8</v>
      </c>
      <c r="AZ218" s="2"/>
      <c r="BA218" s="2"/>
      <c r="BB218" s="2"/>
      <c r="BC218" s="2">
        <f t="shared" si="12"/>
        <v>23.8</v>
      </c>
      <c r="BD218" s="2"/>
      <c r="BE218" s="5">
        <f t="shared" si="20"/>
        <v>3.8548670117235243E-2</v>
      </c>
      <c r="BF218" s="13">
        <v>45627</v>
      </c>
      <c r="BG218" s="2">
        <v>153.4</v>
      </c>
      <c r="BH218" s="2"/>
      <c r="BI218" s="2"/>
      <c r="BJ218" s="2"/>
      <c r="BK218" s="2">
        <f t="shared" si="13"/>
        <v>153.4</v>
      </c>
      <c r="BL218" s="2"/>
      <c r="BM218" s="5">
        <f t="shared" si="22"/>
        <v>-3.9037134804732923E-3</v>
      </c>
    </row>
    <row r="219" spans="1:65" ht="15.75" customHeight="1" x14ac:dyDescent="0.35">
      <c r="A219" s="675"/>
      <c r="B219" s="13">
        <v>45628</v>
      </c>
      <c r="C219" s="2">
        <v>10.1</v>
      </c>
      <c r="D219" s="2"/>
      <c r="E219" s="2"/>
      <c r="F219" s="2"/>
      <c r="G219" s="11">
        <f t="shared" si="14"/>
        <v>10.1</v>
      </c>
      <c r="H219" s="2"/>
      <c r="I219" s="5">
        <f t="shared" si="21"/>
        <v>2.0000666706669435E-2</v>
      </c>
      <c r="J219" s="13">
        <v>45628</v>
      </c>
      <c r="K219" s="2">
        <v>33.299999999999997</v>
      </c>
      <c r="L219" s="2"/>
      <c r="M219" s="2"/>
      <c r="N219" s="2"/>
      <c r="O219" s="11">
        <f t="shared" si="7"/>
        <v>33.299999999999997</v>
      </c>
      <c r="P219" s="2"/>
      <c r="Q219" s="5">
        <f t="shared" si="15"/>
        <v>-2.9985029962566689E-3</v>
      </c>
      <c r="R219" s="13">
        <v>45628</v>
      </c>
      <c r="S219" s="2">
        <v>319.2</v>
      </c>
      <c r="T219" s="2"/>
      <c r="U219" s="2"/>
      <c r="V219" s="2"/>
      <c r="W219" s="11">
        <f t="shared" si="8"/>
        <v>319.2</v>
      </c>
      <c r="X219" s="2"/>
      <c r="Y219" s="5">
        <f t="shared" si="16"/>
        <v>4.3956114730381293E-3</v>
      </c>
      <c r="Z219" s="13">
        <v>45628</v>
      </c>
      <c r="AA219" s="2">
        <v>899.9</v>
      </c>
      <c r="AB219" s="2"/>
      <c r="AC219" s="2"/>
      <c r="AD219" s="2"/>
      <c r="AE219" s="2">
        <f t="shared" si="9"/>
        <v>899.9</v>
      </c>
      <c r="AF219" s="2"/>
      <c r="AG219" s="5">
        <f t="shared" si="17"/>
        <v>-1.1111728440796455E-4</v>
      </c>
      <c r="AH219" s="13">
        <v>45628</v>
      </c>
      <c r="AI219" s="2">
        <v>640.79999999999995</v>
      </c>
      <c r="AJ219" s="2"/>
      <c r="AK219" s="2"/>
      <c r="AL219" s="2"/>
      <c r="AM219" s="2">
        <f t="shared" si="10"/>
        <v>640.79999999999995</v>
      </c>
      <c r="AN219" s="2"/>
      <c r="AO219" s="5">
        <f t="shared" si="18"/>
        <v>6.2441463158984867E-4</v>
      </c>
      <c r="AP219" s="13">
        <v>45628</v>
      </c>
      <c r="AQ219" s="11">
        <v>486.1</v>
      </c>
      <c r="AR219" s="2"/>
      <c r="AS219" s="2"/>
      <c r="AT219" s="2"/>
      <c r="AU219" s="11">
        <f t="shared" si="11"/>
        <v>486.1</v>
      </c>
      <c r="AV219" s="2"/>
      <c r="AW219" s="5">
        <f t="shared" si="19"/>
        <v>-6.1696660054735039E-4</v>
      </c>
      <c r="AX219" s="13">
        <v>45628</v>
      </c>
      <c r="AY219" s="2">
        <v>23.9</v>
      </c>
      <c r="AZ219" s="2"/>
      <c r="BA219" s="2"/>
      <c r="BB219" s="2"/>
      <c r="BC219" s="2">
        <f t="shared" si="12"/>
        <v>23.9</v>
      </c>
      <c r="BD219" s="2"/>
      <c r="BE219" s="5">
        <f t="shared" si="20"/>
        <v>4.1928782600359578E-3</v>
      </c>
      <c r="BF219" s="13">
        <v>45628</v>
      </c>
      <c r="BG219" s="2">
        <v>155.19999999999999</v>
      </c>
      <c r="BH219" s="2"/>
      <c r="BI219" s="2"/>
      <c r="BJ219" s="2"/>
      <c r="BK219" s="2">
        <f t="shared" si="13"/>
        <v>155.19999999999999</v>
      </c>
      <c r="BL219" s="2"/>
      <c r="BM219" s="5">
        <f t="shared" si="22"/>
        <v>1.1665718815962414E-2</v>
      </c>
    </row>
    <row r="220" spans="1:65" ht="15.75" customHeight="1" x14ac:dyDescent="0.35">
      <c r="A220" s="675"/>
      <c r="B220" s="13">
        <v>45629</v>
      </c>
      <c r="C220" s="2">
        <v>9.9</v>
      </c>
      <c r="D220" s="2"/>
      <c r="E220" s="2"/>
      <c r="F220" s="2"/>
      <c r="G220" s="11">
        <f t="shared" si="14"/>
        <v>9.9</v>
      </c>
      <c r="H220" s="2"/>
      <c r="I220" s="5">
        <f t="shared" si="21"/>
        <v>-2.0000666706669428E-2</v>
      </c>
      <c r="J220" s="13">
        <v>45629</v>
      </c>
      <c r="K220" s="2">
        <v>33.4</v>
      </c>
      <c r="L220" s="2"/>
      <c r="M220" s="2"/>
      <c r="N220" s="2"/>
      <c r="O220" s="11">
        <f t="shared" si="7"/>
        <v>33.4</v>
      </c>
      <c r="P220" s="2"/>
      <c r="Q220" s="5">
        <f t="shared" si="15"/>
        <v>2.9985029962566329E-3</v>
      </c>
      <c r="R220" s="13">
        <v>45629</v>
      </c>
      <c r="S220" s="2">
        <v>323.8</v>
      </c>
      <c r="T220" s="2"/>
      <c r="U220" s="2"/>
      <c r="V220" s="2"/>
      <c r="W220" s="11">
        <f t="shared" si="8"/>
        <v>323.8</v>
      </c>
      <c r="X220" s="2"/>
      <c r="Y220" s="5">
        <f t="shared" si="16"/>
        <v>1.4308175667881177E-2</v>
      </c>
      <c r="Z220" s="13">
        <v>45629</v>
      </c>
      <c r="AA220" s="2">
        <v>898.2</v>
      </c>
      <c r="AB220" s="2"/>
      <c r="AC220" s="2"/>
      <c r="AD220" s="2"/>
      <c r="AE220" s="2">
        <f t="shared" si="9"/>
        <v>898.2</v>
      </c>
      <c r="AF220" s="2"/>
      <c r="AG220" s="5">
        <f t="shared" si="17"/>
        <v>-1.890885386265075E-3</v>
      </c>
      <c r="AH220" s="13">
        <v>45629</v>
      </c>
      <c r="AI220" s="2">
        <v>643.9</v>
      </c>
      <c r="AJ220" s="2"/>
      <c r="AK220" s="2"/>
      <c r="AL220" s="2"/>
      <c r="AM220" s="2">
        <f t="shared" si="10"/>
        <v>643.9</v>
      </c>
      <c r="AN220" s="2"/>
      <c r="AO220" s="5">
        <f t="shared" si="18"/>
        <v>4.8260387899884474E-3</v>
      </c>
      <c r="AP220" s="13">
        <v>45629</v>
      </c>
      <c r="AQ220" s="11">
        <v>485.1</v>
      </c>
      <c r="AR220" s="2"/>
      <c r="AS220" s="2"/>
      <c r="AT220" s="2"/>
      <c r="AU220" s="11">
        <f t="shared" si="11"/>
        <v>485.1</v>
      </c>
      <c r="AV220" s="2"/>
      <c r="AW220" s="5">
        <f t="shared" si="19"/>
        <v>-2.0593088002389551E-3</v>
      </c>
      <c r="AX220" s="13">
        <v>45629</v>
      </c>
      <c r="AY220" s="2">
        <v>23.6</v>
      </c>
      <c r="AZ220" s="2"/>
      <c r="BA220" s="2"/>
      <c r="BB220" s="2"/>
      <c r="BC220" s="2">
        <f t="shared" si="12"/>
        <v>23.6</v>
      </c>
      <c r="BD220" s="2"/>
      <c r="BE220" s="5">
        <f t="shared" si="20"/>
        <v>-1.2631746905900462E-2</v>
      </c>
      <c r="BF220" s="13">
        <v>45629</v>
      </c>
      <c r="BG220" s="2">
        <v>156.5</v>
      </c>
      <c r="BH220" s="2"/>
      <c r="BI220" s="2"/>
      <c r="BJ220" s="2"/>
      <c r="BK220" s="2">
        <f t="shared" si="13"/>
        <v>156.5</v>
      </c>
      <c r="BL220" s="2"/>
      <c r="BM220" s="5">
        <f t="shared" si="22"/>
        <v>8.3414022310895012E-3</v>
      </c>
    </row>
    <row r="221" spans="1:65" ht="15.75" customHeight="1" x14ac:dyDescent="0.35">
      <c r="A221" s="675"/>
      <c r="B221" s="13">
        <v>45630</v>
      </c>
      <c r="C221" s="2">
        <v>9.9</v>
      </c>
      <c r="D221" s="2"/>
      <c r="E221" s="2"/>
      <c r="F221" s="2"/>
      <c r="G221" s="11">
        <f t="shared" si="14"/>
        <v>9.9</v>
      </c>
      <c r="H221" s="2"/>
      <c r="I221" s="5">
        <f t="shared" si="21"/>
        <v>0</v>
      </c>
      <c r="J221" s="13">
        <v>45630</v>
      </c>
      <c r="K221" s="2">
        <v>34.200000000000003</v>
      </c>
      <c r="L221" s="2"/>
      <c r="M221" s="2"/>
      <c r="N221" s="2"/>
      <c r="O221" s="11">
        <f t="shared" si="7"/>
        <v>34.200000000000003</v>
      </c>
      <c r="P221" s="2"/>
      <c r="Q221" s="5">
        <f t="shared" si="15"/>
        <v>2.3669744085904922E-2</v>
      </c>
      <c r="R221" s="13">
        <v>45630</v>
      </c>
      <c r="S221" s="2">
        <v>320.5</v>
      </c>
      <c r="T221" s="2"/>
      <c r="U221" s="2"/>
      <c r="V221" s="2"/>
      <c r="W221" s="11">
        <f t="shared" si="8"/>
        <v>320.5</v>
      </c>
      <c r="X221" s="2"/>
      <c r="Y221" s="5">
        <f t="shared" si="16"/>
        <v>-1.0243764882810012E-2</v>
      </c>
      <c r="Z221" s="13">
        <v>45630</v>
      </c>
      <c r="AA221" s="2">
        <v>898.9</v>
      </c>
      <c r="AB221" s="2"/>
      <c r="AC221" s="2"/>
      <c r="AD221" s="2"/>
      <c r="AE221" s="2">
        <f t="shared" si="9"/>
        <v>898.9</v>
      </c>
      <c r="AF221" s="2"/>
      <c r="AG221" s="5">
        <f t="shared" si="17"/>
        <v>7.7903292571575376E-4</v>
      </c>
      <c r="AH221" s="13">
        <v>45630</v>
      </c>
      <c r="AI221" s="2">
        <v>648.9</v>
      </c>
      <c r="AJ221" s="2"/>
      <c r="AK221" s="2"/>
      <c r="AL221" s="2"/>
      <c r="AM221" s="2">
        <f t="shared" si="10"/>
        <v>648.9</v>
      </c>
      <c r="AN221" s="2"/>
      <c r="AO221" s="5">
        <f t="shared" si="18"/>
        <v>7.7351870829849047E-3</v>
      </c>
      <c r="AP221" s="13">
        <v>45630</v>
      </c>
      <c r="AQ221" s="11">
        <v>485.7</v>
      </c>
      <c r="AR221" s="2"/>
      <c r="AS221" s="2"/>
      <c r="AT221" s="2"/>
      <c r="AU221" s="11">
        <f t="shared" si="11"/>
        <v>485.7</v>
      </c>
      <c r="AV221" s="2"/>
      <c r="AW221" s="5">
        <f t="shared" si="19"/>
        <v>1.236094100528306E-3</v>
      </c>
      <c r="AX221" s="13">
        <v>45630</v>
      </c>
      <c r="AY221" s="2">
        <v>23.7</v>
      </c>
      <c r="AZ221" s="2"/>
      <c r="BA221" s="2"/>
      <c r="BB221" s="2"/>
      <c r="BC221" s="2">
        <f t="shared" si="12"/>
        <v>23.7</v>
      </c>
      <c r="BD221" s="2"/>
      <c r="BE221" s="5">
        <f t="shared" si="20"/>
        <v>4.2283361095211049E-3</v>
      </c>
      <c r="BF221" s="13">
        <v>45630</v>
      </c>
      <c r="BG221" s="2">
        <v>161.1</v>
      </c>
      <c r="BH221" s="2"/>
      <c r="BI221" s="2"/>
      <c r="BJ221" s="2"/>
      <c r="BK221" s="2">
        <f t="shared" si="13"/>
        <v>161.1</v>
      </c>
      <c r="BL221" s="2"/>
      <c r="BM221" s="5">
        <f t="shared" si="22"/>
        <v>2.8969280202720771E-2</v>
      </c>
    </row>
    <row r="222" spans="1:65" ht="15.75" customHeight="1" x14ac:dyDescent="0.35">
      <c r="A222" s="675"/>
      <c r="B222" s="13">
        <v>45631</v>
      </c>
      <c r="C222" s="2">
        <v>9.8000000000000007</v>
      </c>
      <c r="D222" s="2"/>
      <c r="E222" s="2"/>
      <c r="F222" s="2"/>
      <c r="G222" s="11">
        <f t="shared" si="14"/>
        <v>9.8000000000000007</v>
      </c>
      <c r="H222" s="2"/>
      <c r="I222" s="5">
        <f t="shared" si="21"/>
        <v>-1.0152371464017962E-2</v>
      </c>
      <c r="J222" s="13">
        <v>45631</v>
      </c>
      <c r="K222" s="2">
        <v>33.200000000000003</v>
      </c>
      <c r="L222" s="2"/>
      <c r="M222" s="2"/>
      <c r="N222" s="2"/>
      <c r="O222" s="11">
        <f t="shared" si="7"/>
        <v>33.200000000000003</v>
      </c>
      <c r="P222" s="2"/>
      <c r="Q222" s="5">
        <f t="shared" si="15"/>
        <v>-2.9675768146116551E-2</v>
      </c>
      <c r="R222" s="13">
        <v>45631</v>
      </c>
      <c r="S222" s="2">
        <v>317.60000000000002</v>
      </c>
      <c r="T222" s="2"/>
      <c r="U222" s="2"/>
      <c r="V222" s="2"/>
      <c r="W222" s="11">
        <f t="shared" si="8"/>
        <v>317.60000000000002</v>
      </c>
      <c r="X222" s="2"/>
      <c r="Y222" s="5">
        <f t="shared" si="16"/>
        <v>-9.0895469877440276E-3</v>
      </c>
      <c r="Z222" s="13">
        <v>45631</v>
      </c>
      <c r="AA222" s="2">
        <v>898.5</v>
      </c>
      <c r="AB222" s="2"/>
      <c r="AC222" s="2"/>
      <c r="AD222" s="2"/>
      <c r="AE222" s="2">
        <f t="shared" si="9"/>
        <v>898.5</v>
      </c>
      <c r="AF222" s="2"/>
      <c r="AG222" s="5">
        <f t="shared" si="17"/>
        <v>-4.450873557398436E-4</v>
      </c>
      <c r="AH222" s="13">
        <v>45631</v>
      </c>
      <c r="AI222" s="2">
        <v>651.1</v>
      </c>
      <c r="AJ222" s="2"/>
      <c r="AK222" s="2"/>
      <c r="AL222" s="2"/>
      <c r="AM222" s="2">
        <f t="shared" si="10"/>
        <v>651.1</v>
      </c>
      <c r="AN222" s="2"/>
      <c r="AO222" s="5">
        <f t="shared" si="18"/>
        <v>3.3846186156937822E-3</v>
      </c>
      <c r="AP222" s="13">
        <v>45631</v>
      </c>
      <c r="AQ222" s="11">
        <v>483.9</v>
      </c>
      <c r="AR222" s="2"/>
      <c r="AS222" s="2"/>
      <c r="AT222" s="2"/>
      <c r="AU222" s="11">
        <f t="shared" si="11"/>
        <v>483.9</v>
      </c>
      <c r="AV222" s="2"/>
      <c r="AW222" s="5">
        <f t="shared" si="19"/>
        <v>-3.7128755524263243E-3</v>
      </c>
      <c r="AX222" s="13">
        <v>45631</v>
      </c>
      <c r="AY222" s="2">
        <v>23.4</v>
      </c>
      <c r="AZ222" s="2"/>
      <c r="BA222" s="2"/>
      <c r="BB222" s="2"/>
      <c r="BC222" s="2">
        <f t="shared" si="12"/>
        <v>23.4</v>
      </c>
      <c r="BD222" s="2"/>
      <c r="BE222" s="5">
        <f t="shared" si="20"/>
        <v>-1.2739025777429826E-2</v>
      </c>
      <c r="BF222" s="13">
        <v>45631</v>
      </c>
      <c r="BG222" s="2">
        <v>159.1</v>
      </c>
      <c r="BH222" s="2"/>
      <c r="BI222" s="2"/>
      <c r="BJ222" s="2"/>
      <c r="BK222" s="2">
        <f t="shared" si="13"/>
        <v>159.1</v>
      </c>
      <c r="BL222" s="2"/>
      <c r="BM222" s="5">
        <f t="shared" si="22"/>
        <v>-1.2492354839187498E-2</v>
      </c>
    </row>
    <row r="223" spans="1:65" ht="15.75" customHeight="1" x14ac:dyDescent="0.35">
      <c r="A223" s="675"/>
      <c r="B223" s="13">
        <v>45634</v>
      </c>
      <c r="C223" s="2">
        <v>9.5</v>
      </c>
      <c r="D223" s="2"/>
      <c r="E223" s="2"/>
      <c r="F223" s="2"/>
      <c r="G223" s="11">
        <f t="shared" si="14"/>
        <v>9.5</v>
      </c>
      <c r="H223" s="2"/>
      <c r="I223" s="5">
        <f t="shared" si="21"/>
        <v>-3.1090587070031119E-2</v>
      </c>
      <c r="J223" s="13">
        <v>45634</v>
      </c>
      <c r="K223" s="2">
        <v>33.1</v>
      </c>
      <c r="L223" s="2"/>
      <c r="M223" s="2"/>
      <c r="N223" s="2"/>
      <c r="O223" s="11">
        <f t="shared" si="7"/>
        <v>33.1</v>
      </c>
      <c r="P223" s="2"/>
      <c r="Q223" s="5">
        <f t="shared" si="15"/>
        <v>-3.0165935394256792E-3</v>
      </c>
      <c r="R223" s="13">
        <v>45634</v>
      </c>
      <c r="S223" s="2">
        <v>318.2</v>
      </c>
      <c r="T223" s="2"/>
      <c r="U223" s="2"/>
      <c r="V223" s="2"/>
      <c r="W223" s="11">
        <f t="shared" si="8"/>
        <v>318.2</v>
      </c>
      <c r="X223" s="2"/>
      <c r="Y223" s="5">
        <f t="shared" si="16"/>
        <v>1.8873865307057287E-3</v>
      </c>
      <c r="Z223" s="13">
        <v>45634</v>
      </c>
      <c r="AA223" s="2">
        <v>897</v>
      </c>
      <c r="AB223" s="2"/>
      <c r="AC223" s="2"/>
      <c r="AD223" s="2"/>
      <c r="AE223" s="2">
        <f t="shared" si="9"/>
        <v>897</v>
      </c>
      <c r="AF223" s="2"/>
      <c r="AG223" s="5">
        <f t="shared" si="17"/>
        <v>-1.6708441648176058E-3</v>
      </c>
      <c r="AH223" s="13">
        <v>45634</v>
      </c>
      <c r="AI223" s="2">
        <v>638.79999999999995</v>
      </c>
      <c r="AJ223" s="2"/>
      <c r="AK223" s="2"/>
      <c r="AL223" s="2"/>
      <c r="AM223" s="2">
        <f t="shared" si="10"/>
        <v>638.79999999999995</v>
      </c>
      <c r="AN223" s="2"/>
      <c r="AO223" s="5">
        <f t="shared" si="18"/>
        <v>-1.9071823901959085E-2</v>
      </c>
      <c r="AP223" s="13">
        <v>45634</v>
      </c>
      <c r="AQ223" s="11">
        <v>483.8</v>
      </c>
      <c r="AR223" s="2"/>
      <c r="AS223" s="2"/>
      <c r="AT223" s="2"/>
      <c r="AU223" s="11">
        <f t="shared" si="11"/>
        <v>483.8</v>
      </c>
      <c r="AV223" s="2"/>
      <c r="AW223" s="5">
        <f t="shared" si="19"/>
        <v>-2.0667562334587789E-4</v>
      </c>
      <c r="AX223" s="13">
        <v>45634</v>
      </c>
      <c r="AY223" s="2">
        <v>22.8</v>
      </c>
      <c r="AZ223" s="2"/>
      <c r="BA223" s="2"/>
      <c r="BB223" s="2"/>
      <c r="BC223" s="2">
        <f t="shared" si="12"/>
        <v>22.8</v>
      </c>
      <c r="BD223" s="2"/>
      <c r="BE223" s="5">
        <f t="shared" si="20"/>
        <v>-2.5975486403260563E-2</v>
      </c>
      <c r="BF223" s="13">
        <v>45634</v>
      </c>
      <c r="BG223" s="2">
        <v>157.80000000000001</v>
      </c>
      <c r="BH223" s="2"/>
      <c r="BI223" s="2"/>
      <c r="BJ223" s="2"/>
      <c r="BK223" s="2">
        <f t="shared" si="13"/>
        <v>157.80000000000001</v>
      </c>
      <c r="BL223" s="2"/>
      <c r="BM223" s="5">
        <f t="shared" si="22"/>
        <v>-8.2045269319671824E-3</v>
      </c>
    </row>
    <row r="224" spans="1:65" ht="15.75" customHeight="1" x14ac:dyDescent="0.35">
      <c r="A224" s="675"/>
      <c r="B224" s="13">
        <v>45635</v>
      </c>
      <c r="C224" s="2">
        <v>9.1999999999999993</v>
      </c>
      <c r="D224" s="2"/>
      <c r="E224" s="2"/>
      <c r="F224" s="2"/>
      <c r="G224" s="11">
        <f t="shared" si="14"/>
        <v>9.1999999999999993</v>
      </c>
      <c r="H224" s="2"/>
      <c r="I224" s="5">
        <f t="shared" si="21"/>
        <v>-3.208831455150063E-2</v>
      </c>
      <c r="J224" s="13">
        <v>45635</v>
      </c>
      <c r="K224" s="2">
        <v>32.799999999999997</v>
      </c>
      <c r="L224" s="2"/>
      <c r="M224" s="2"/>
      <c r="N224" s="2"/>
      <c r="O224" s="11">
        <f t="shared" si="7"/>
        <v>32.799999999999997</v>
      </c>
      <c r="P224" s="2"/>
      <c r="Q224" s="5">
        <f t="shared" si="15"/>
        <v>-9.1047669929193165E-3</v>
      </c>
      <c r="R224" s="13">
        <v>45635</v>
      </c>
      <c r="S224" s="2">
        <v>317.89999999999998</v>
      </c>
      <c r="T224" s="2"/>
      <c r="U224" s="2"/>
      <c r="V224" s="2"/>
      <c r="W224" s="11">
        <f t="shared" si="8"/>
        <v>317.89999999999998</v>
      </c>
      <c r="X224" s="2"/>
      <c r="Y224" s="5">
        <f t="shared" si="16"/>
        <v>-9.4324798692950441E-4</v>
      </c>
      <c r="Z224" s="13">
        <v>45635</v>
      </c>
      <c r="AA224" s="2">
        <v>898.5</v>
      </c>
      <c r="AB224" s="2"/>
      <c r="AC224" s="2"/>
      <c r="AD224" s="2"/>
      <c r="AE224" s="2">
        <f t="shared" si="9"/>
        <v>898.5</v>
      </c>
      <c r="AF224" s="2"/>
      <c r="AG224" s="5">
        <f t="shared" si="17"/>
        <v>1.6708441648177223E-3</v>
      </c>
      <c r="AH224" s="13">
        <v>45635</v>
      </c>
      <c r="AI224" s="2">
        <v>640.20000000000005</v>
      </c>
      <c r="AJ224" s="2"/>
      <c r="AK224" s="2"/>
      <c r="AL224" s="2"/>
      <c r="AM224" s="2">
        <f t="shared" si="10"/>
        <v>640.20000000000005</v>
      </c>
      <c r="AN224" s="2"/>
      <c r="AO224" s="5">
        <f t="shared" si="18"/>
        <v>2.1892111949053657E-3</v>
      </c>
      <c r="AP224" s="13">
        <v>45635</v>
      </c>
      <c r="AQ224" s="11">
        <v>484.7</v>
      </c>
      <c r="AR224" s="2"/>
      <c r="AS224" s="2"/>
      <c r="AT224" s="2"/>
      <c r="AU224" s="11">
        <f t="shared" si="11"/>
        <v>484.7</v>
      </c>
      <c r="AV224" s="2"/>
      <c r="AW224" s="5">
        <f t="shared" si="19"/>
        <v>1.8585446754034412E-3</v>
      </c>
      <c r="AX224" s="13">
        <v>45635</v>
      </c>
      <c r="AY224" s="2">
        <v>22.6</v>
      </c>
      <c r="AZ224" s="2"/>
      <c r="BA224" s="2"/>
      <c r="BB224" s="2"/>
      <c r="BC224" s="2">
        <f t="shared" si="12"/>
        <v>22.6</v>
      </c>
      <c r="BD224" s="2"/>
      <c r="BE224" s="5">
        <f t="shared" si="20"/>
        <v>-8.810629682154807E-3</v>
      </c>
      <c r="BF224" s="13">
        <v>45635</v>
      </c>
      <c r="BG224" s="2">
        <v>156.69999999999999</v>
      </c>
      <c r="BH224" s="2"/>
      <c r="BI224" s="2"/>
      <c r="BJ224" s="2"/>
      <c r="BK224" s="2">
        <f t="shared" si="13"/>
        <v>156.69999999999999</v>
      </c>
      <c r="BL224" s="2"/>
      <c r="BM224" s="5">
        <f t="shared" si="22"/>
        <v>-6.995259049798877E-3</v>
      </c>
    </row>
    <row r="225" spans="1:65" ht="15.75" customHeight="1" x14ac:dyDescent="0.35">
      <c r="A225" s="675"/>
      <c r="B225" s="13">
        <v>45636</v>
      </c>
      <c r="C225" s="2">
        <v>9.4</v>
      </c>
      <c r="D225" s="2"/>
      <c r="E225" s="2"/>
      <c r="F225" s="2"/>
      <c r="G225" s="11">
        <f t="shared" si="14"/>
        <v>9.4</v>
      </c>
      <c r="H225" s="2"/>
      <c r="I225" s="5">
        <f t="shared" si="21"/>
        <v>2.1506205220963682E-2</v>
      </c>
      <c r="J225" s="13">
        <v>45636</v>
      </c>
      <c r="K225" s="2">
        <v>32.9</v>
      </c>
      <c r="L225" s="2"/>
      <c r="M225" s="2"/>
      <c r="N225" s="2"/>
      <c r="O225" s="11">
        <f t="shared" si="7"/>
        <v>32.9</v>
      </c>
      <c r="P225" s="2"/>
      <c r="Q225" s="5">
        <f t="shared" si="15"/>
        <v>3.044142381228273E-3</v>
      </c>
      <c r="R225" s="13">
        <v>45636</v>
      </c>
      <c r="S225" s="2">
        <v>316.3</v>
      </c>
      <c r="T225" s="2"/>
      <c r="U225" s="2"/>
      <c r="V225" s="2"/>
      <c r="W225" s="11">
        <f t="shared" si="8"/>
        <v>316.3</v>
      </c>
      <c r="X225" s="2"/>
      <c r="Y225" s="5">
        <f t="shared" si="16"/>
        <v>-5.0457376051537793E-3</v>
      </c>
      <c r="Z225" s="13">
        <v>45636</v>
      </c>
      <c r="AA225" s="2">
        <v>900</v>
      </c>
      <c r="AB225" s="2"/>
      <c r="AC225" s="2"/>
      <c r="AD225" s="2"/>
      <c r="AE225" s="2">
        <f t="shared" si="9"/>
        <v>900</v>
      </c>
      <c r="AF225" s="2"/>
      <c r="AG225" s="5">
        <f t="shared" si="17"/>
        <v>1.6680571006970134E-3</v>
      </c>
      <c r="AH225" s="13">
        <v>45636</v>
      </c>
      <c r="AI225" s="2">
        <v>638.20000000000005</v>
      </c>
      <c r="AJ225" s="2"/>
      <c r="AK225" s="2"/>
      <c r="AL225" s="2"/>
      <c r="AM225" s="2">
        <f t="shared" si="10"/>
        <v>638.20000000000005</v>
      </c>
      <c r="AN225" s="2"/>
      <c r="AO225" s="5">
        <f t="shared" si="18"/>
        <v>-3.1289136916195777E-3</v>
      </c>
      <c r="AP225" s="13">
        <v>45636</v>
      </c>
      <c r="AQ225" s="11">
        <v>485.7</v>
      </c>
      <c r="AR225" s="2"/>
      <c r="AS225" s="2"/>
      <c r="AT225" s="2"/>
      <c r="AU225" s="11">
        <f t="shared" si="11"/>
        <v>485.7</v>
      </c>
      <c r="AV225" s="2"/>
      <c r="AW225" s="5">
        <f t="shared" si="19"/>
        <v>2.0610065003688425E-3</v>
      </c>
      <c r="AX225" s="13">
        <v>45636</v>
      </c>
      <c r="AY225" s="2">
        <v>22.9</v>
      </c>
      <c r="AZ225" s="2"/>
      <c r="BA225" s="2"/>
      <c r="BB225" s="2"/>
      <c r="BC225" s="2">
        <f t="shared" si="12"/>
        <v>22.9</v>
      </c>
      <c r="BD225" s="2"/>
      <c r="BE225" s="5">
        <f t="shared" si="20"/>
        <v>1.3187004281953681E-2</v>
      </c>
      <c r="BF225" s="13">
        <v>45636</v>
      </c>
      <c r="BG225" s="2">
        <v>159.30000000000001</v>
      </c>
      <c r="BH225" s="2"/>
      <c r="BI225" s="2"/>
      <c r="BJ225" s="2"/>
      <c r="BK225" s="2">
        <f t="shared" si="13"/>
        <v>159.30000000000001</v>
      </c>
      <c r="BL225" s="2"/>
      <c r="BM225" s="5">
        <f t="shared" si="22"/>
        <v>1.6456067554027891E-2</v>
      </c>
    </row>
    <row r="226" spans="1:65" ht="15.75" customHeight="1" x14ac:dyDescent="0.35">
      <c r="A226" s="675"/>
      <c r="B226" s="13">
        <v>45637</v>
      </c>
      <c r="C226" s="2">
        <v>9.3000000000000007</v>
      </c>
      <c r="D226" s="2"/>
      <c r="E226" s="2"/>
      <c r="F226" s="2"/>
      <c r="G226" s="11">
        <f t="shared" si="14"/>
        <v>9.3000000000000007</v>
      </c>
      <c r="H226" s="2"/>
      <c r="I226" s="5">
        <f t="shared" si="21"/>
        <v>-1.0695289116747919E-2</v>
      </c>
      <c r="J226" s="13">
        <v>45637</v>
      </c>
      <c r="K226" s="2">
        <v>31.8</v>
      </c>
      <c r="L226" s="2"/>
      <c r="M226" s="2"/>
      <c r="N226" s="2"/>
      <c r="O226" s="11">
        <f t="shared" si="7"/>
        <v>31.8</v>
      </c>
      <c r="P226" s="2"/>
      <c r="Q226" s="5">
        <f t="shared" si="15"/>
        <v>-3.4006367985194977E-2</v>
      </c>
      <c r="R226" s="13">
        <v>45637</v>
      </c>
      <c r="S226" s="2">
        <v>313.5</v>
      </c>
      <c r="T226" s="2"/>
      <c r="U226" s="2"/>
      <c r="V226" s="2"/>
      <c r="W226" s="11">
        <f t="shared" si="8"/>
        <v>313.5</v>
      </c>
      <c r="X226" s="2"/>
      <c r="Y226" s="5">
        <f t="shared" si="16"/>
        <v>-8.8917702386277723E-3</v>
      </c>
      <c r="Z226" s="13">
        <v>45637</v>
      </c>
      <c r="AA226" s="2">
        <v>899</v>
      </c>
      <c r="AB226" s="2"/>
      <c r="AC226" s="2"/>
      <c r="AD226" s="2"/>
      <c r="AE226" s="2">
        <f t="shared" si="9"/>
        <v>899</v>
      </c>
      <c r="AF226" s="2"/>
      <c r="AG226" s="5">
        <f t="shared" si="17"/>
        <v>-1.1117288526904293E-3</v>
      </c>
      <c r="AH226" s="13">
        <v>45637</v>
      </c>
      <c r="AI226" s="2">
        <v>635.9</v>
      </c>
      <c r="AJ226" s="2"/>
      <c r="AK226" s="2"/>
      <c r="AL226" s="2"/>
      <c r="AM226" s="2">
        <f t="shared" si="10"/>
        <v>635.9</v>
      </c>
      <c r="AN226" s="2"/>
      <c r="AO226" s="5">
        <f t="shared" si="18"/>
        <v>-3.6103955707811595E-3</v>
      </c>
      <c r="AP226" s="13">
        <v>45637</v>
      </c>
      <c r="AQ226" s="11">
        <v>483.4</v>
      </c>
      <c r="AR226" s="2"/>
      <c r="AS226" s="2"/>
      <c r="AT226" s="2"/>
      <c r="AU226" s="11">
        <f t="shared" si="11"/>
        <v>483.4</v>
      </c>
      <c r="AV226" s="2"/>
      <c r="AW226" s="5">
        <f t="shared" si="19"/>
        <v>-4.7466810823164974E-3</v>
      </c>
      <c r="AX226" s="13">
        <v>45637</v>
      </c>
      <c r="AY226" s="2">
        <v>22.8</v>
      </c>
      <c r="AZ226" s="2"/>
      <c r="BA226" s="2"/>
      <c r="BB226" s="2"/>
      <c r="BC226" s="2">
        <f t="shared" si="12"/>
        <v>22.8</v>
      </c>
      <c r="BD226" s="2"/>
      <c r="BE226" s="5">
        <f t="shared" si="20"/>
        <v>-4.3763745997987772E-3</v>
      </c>
      <c r="BF226" s="13">
        <v>45637</v>
      </c>
      <c r="BG226" s="2">
        <v>154.1</v>
      </c>
      <c r="BH226" s="2"/>
      <c r="BI226" s="2"/>
      <c r="BJ226" s="2"/>
      <c r="BK226" s="2">
        <f t="shared" si="13"/>
        <v>154.1</v>
      </c>
      <c r="BL226" s="2"/>
      <c r="BM226" s="5">
        <f t="shared" si="22"/>
        <v>-3.3187474589932896E-2</v>
      </c>
    </row>
    <row r="227" spans="1:65" ht="15.75" customHeight="1" x14ac:dyDescent="0.35">
      <c r="A227" s="675"/>
      <c r="B227" s="13">
        <v>45638</v>
      </c>
      <c r="C227" s="2">
        <v>9.1999999999999993</v>
      </c>
      <c r="D227" s="2"/>
      <c r="E227" s="2"/>
      <c r="F227" s="2"/>
      <c r="G227" s="11">
        <f t="shared" si="14"/>
        <v>9.1999999999999993</v>
      </c>
      <c r="H227" s="2"/>
      <c r="I227" s="5">
        <f t="shared" si="21"/>
        <v>-1.081091610421573E-2</v>
      </c>
      <c r="J227" s="13">
        <v>45638</v>
      </c>
      <c r="K227" s="2">
        <v>31.8</v>
      </c>
      <c r="L227" s="2"/>
      <c r="M227" s="2"/>
      <c r="N227" s="2"/>
      <c r="O227" s="11">
        <f t="shared" si="7"/>
        <v>31.8</v>
      </c>
      <c r="P227" s="2"/>
      <c r="Q227" s="5">
        <f t="shared" si="15"/>
        <v>0</v>
      </c>
      <c r="R227" s="13">
        <v>45638</v>
      </c>
      <c r="S227" s="2">
        <v>314.60000000000002</v>
      </c>
      <c r="T227" s="2"/>
      <c r="U227" s="2"/>
      <c r="V227" s="2"/>
      <c r="W227" s="11">
        <f t="shared" si="8"/>
        <v>314.60000000000002</v>
      </c>
      <c r="X227" s="2"/>
      <c r="Y227" s="5">
        <f t="shared" si="16"/>
        <v>3.5026305512020745E-3</v>
      </c>
      <c r="Z227" s="13">
        <v>45638</v>
      </c>
      <c r="AA227" s="2">
        <v>890.8</v>
      </c>
      <c r="AB227" s="2"/>
      <c r="AC227" s="2"/>
      <c r="AD227" s="2"/>
      <c r="AE227" s="2">
        <f t="shared" si="9"/>
        <v>890.8</v>
      </c>
      <c r="AF227" s="2"/>
      <c r="AG227" s="5">
        <f t="shared" si="17"/>
        <v>-9.1630990884077144E-3</v>
      </c>
      <c r="AH227" s="13">
        <v>45638</v>
      </c>
      <c r="AI227" s="2">
        <v>635.9</v>
      </c>
      <c r="AJ227" s="2"/>
      <c r="AK227" s="2"/>
      <c r="AL227" s="2"/>
      <c r="AM227" s="2">
        <f t="shared" si="10"/>
        <v>635.9</v>
      </c>
      <c r="AN227" s="2"/>
      <c r="AO227" s="5">
        <f t="shared" si="18"/>
        <v>0</v>
      </c>
      <c r="AP227" s="13">
        <v>45638</v>
      </c>
      <c r="AQ227" s="11">
        <v>481.9</v>
      </c>
      <c r="AR227" s="2"/>
      <c r="AS227" s="2"/>
      <c r="AT227" s="2"/>
      <c r="AU227" s="11">
        <f t="shared" si="11"/>
        <v>481.9</v>
      </c>
      <c r="AV227" s="2"/>
      <c r="AW227" s="5">
        <f t="shared" si="19"/>
        <v>-3.1078446230955424E-3</v>
      </c>
      <c r="AX227" s="13">
        <v>45638</v>
      </c>
      <c r="AY227" s="2">
        <v>22.6</v>
      </c>
      <c r="AZ227" s="2"/>
      <c r="BA227" s="2"/>
      <c r="BB227" s="2"/>
      <c r="BC227" s="2">
        <f t="shared" si="12"/>
        <v>22.6</v>
      </c>
      <c r="BD227" s="2"/>
      <c r="BE227" s="5">
        <f t="shared" si="20"/>
        <v>-8.810629682154807E-3</v>
      </c>
      <c r="BF227" s="13">
        <v>45638</v>
      </c>
      <c r="BG227" s="2">
        <v>154.5</v>
      </c>
      <c r="BH227" s="2"/>
      <c r="BI227" s="2"/>
      <c r="BJ227" s="2"/>
      <c r="BK227" s="2">
        <f t="shared" si="13"/>
        <v>154.5</v>
      </c>
      <c r="BL227" s="2"/>
      <c r="BM227" s="5">
        <f t="shared" si="22"/>
        <v>2.5923540117301805E-3</v>
      </c>
    </row>
    <row r="228" spans="1:65" ht="15.75" customHeight="1" x14ac:dyDescent="0.35">
      <c r="A228" s="675"/>
      <c r="B228" s="13">
        <v>45641</v>
      </c>
      <c r="C228" s="2">
        <v>9.1</v>
      </c>
      <c r="D228" s="2"/>
      <c r="E228" s="2"/>
      <c r="F228" s="2"/>
      <c r="G228" s="11">
        <f t="shared" si="14"/>
        <v>9.1</v>
      </c>
      <c r="H228" s="2"/>
      <c r="I228" s="5">
        <f t="shared" si="21"/>
        <v>-1.0929070532190206E-2</v>
      </c>
      <c r="J228" s="13">
        <v>45641</v>
      </c>
      <c r="K228" s="2">
        <v>32.4</v>
      </c>
      <c r="L228" s="2"/>
      <c r="M228" s="2"/>
      <c r="N228" s="2"/>
      <c r="O228" s="11">
        <f t="shared" si="7"/>
        <v>32.4</v>
      </c>
      <c r="P228" s="2"/>
      <c r="Q228" s="5">
        <f t="shared" si="15"/>
        <v>1.8692133012152546E-2</v>
      </c>
      <c r="R228" s="13">
        <v>45641</v>
      </c>
      <c r="S228" s="2">
        <v>314.3</v>
      </c>
      <c r="T228" s="2"/>
      <c r="U228" s="2"/>
      <c r="V228" s="2"/>
      <c r="W228" s="11">
        <f t="shared" si="8"/>
        <v>314.3</v>
      </c>
      <c r="X228" s="2"/>
      <c r="Y228" s="5">
        <f t="shared" si="16"/>
        <v>-9.5404682065560896E-4</v>
      </c>
      <c r="Z228" s="13">
        <v>45641</v>
      </c>
      <c r="AA228" s="2">
        <v>898.8</v>
      </c>
      <c r="AB228" s="2"/>
      <c r="AC228" s="2"/>
      <c r="AD228" s="2"/>
      <c r="AE228" s="2">
        <f t="shared" si="9"/>
        <v>898.8</v>
      </c>
      <c r="AF228" s="2"/>
      <c r="AG228" s="5">
        <f t="shared" si="17"/>
        <v>8.9406049279614572E-3</v>
      </c>
      <c r="AH228" s="13">
        <v>45641</v>
      </c>
      <c r="AI228" s="2">
        <v>633.9</v>
      </c>
      <c r="AJ228" s="2"/>
      <c r="AK228" s="2"/>
      <c r="AL228" s="2"/>
      <c r="AM228" s="2">
        <f t="shared" si="10"/>
        <v>633.9</v>
      </c>
      <c r="AN228" s="2"/>
      <c r="AO228" s="5">
        <f t="shared" si="18"/>
        <v>-3.1501049832414053E-3</v>
      </c>
      <c r="AP228" s="13">
        <v>45641</v>
      </c>
      <c r="AQ228" s="11">
        <v>482.2</v>
      </c>
      <c r="AR228" s="2"/>
      <c r="AS228" s="2"/>
      <c r="AT228" s="2"/>
      <c r="AU228" s="11">
        <f t="shared" si="11"/>
        <v>482.2</v>
      </c>
      <c r="AV228" s="2"/>
      <c r="AW228" s="5">
        <f t="shared" si="19"/>
        <v>6.2234210078364501E-4</v>
      </c>
      <c r="AX228" s="13">
        <v>45641</v>
      </c>
      <c r="AY228" s="2">
        <v>22.6</v>
      </c>
      <c r="AZ228" s="2"/>
      <c r="BA228" s="2"/>
      <c r="BB228" s="2"/>
      <c r="BC228" s="2">
        <f t="shared" si="12"/>
        <v>22.6</v>
      </c>
      <c r="BD228" s="2"/>
      <c r="BE228" s="5">
        <f t="shared" si="20"/>
        <v>0</v>
      </c>
      <c r="BF228" s="13">
        <v>45641</v>
      </c>
      <c r="BG228" s="2">
        <v>157.30000000000001</v>
      </c>
      <c r="BH228" s="2"/>
      <c r="BI228" s="2"/>
      <c r="BJ228" s="2"/>
      <c r="BK228" s="2">
        <f t="shared" si="13"/>
        <v>157.30000000000001</v>
      </c>
      <c r="BL228" s="2"/>
      <c r="BM228" s="5">
        <f t="shared" si="22"/>
        <v>1.7960713726431994E-2</v>
      </c>
    </row>
    <row r="229" spans="1:65" ht="15.75" customHeight="1" x14ac:dyDescent="0.35">
      <c r="A229" s="675"/>
      <c r="B229" s="13">
        <v>45643</v>
      </c>
      <c r="C229" s="2">
        <v>9.1999999999999993</v>
      </c>
      <c r="D229" s="2"/>
      <c r="E229" s="2"/>
      <c r="F229" s="2"/>
      <c r="G229" s="11">
        <f t="shared" si="14"/>
        <v>9.1999999999999993</v>
      </c>
      <c r="H229" s="2"/>
      <c r="I229" s="5">
        <f t="shared" si="21"/>
        <v>1.092907053219023E-2</v>
      </c>
      <c r="J229" s="13">
        <v>45643</v>
      </c>
      <c r="K229" s="2">
        <v>32.700000000000003</v>
      </c>
      <c r="L229" s="2"/>
      <c r="M229" s="2"/>
      <c r="N229" s="2"/>
      <c r="O229" s="11">
        <f t="shared" si="7"/>
        <v>32.700000000000003</v>
      </c>
      <c r="P229" s="2"/>
      <c r="Q229" s="5">
        <f t="shared" si="15"/>
        <v>9.2166551049240476E-3</v>
      </c>
      <c r="R229" s="13">
        <v>45643</v>
      </c>
      <c r="S229" s="2">
        <v>320</v>
      </c>
      <c r="T229" s="2"/>
      <c r="U229" s="2"/>
      <c r="V229" s="2"/>
      <c r="W229" s="11">
        <f t="shared" si="8"/>
        <v>320</v>
      </c>
      <c r="X229" s="2"/>
      <c r="Y229" s="5">
        <f t="shared" si="16"/>
        <v>1.797305199025025E-2</v>
      </c>
      <c r="Z229" s="13">
        <v>45643</v>
      </c>
      <c r="AA229" s="2">
        <v>895.6</v>
      </c>
      <c r="AB229" s="2"/>
      <c r="AC229" s="2"/>
      <c r="AD229" s="2"/>
      <c r="AE229" s="2">
        <f t="shared" si="9"/>
        <v>895.6</v>
      </c>
      <c r="AF229" s="2"/>
      <c r="AG229" s="5">
        <f t="shared" si="17"/>
        <v>-3.5666555865743114E-3</v>
      </c>
      <c r="AH229" s="13">
        <v>45643</v>
      </c>
      <c r="AI229" s="2">
        <v>643.6</v>
      </c>
      <c r="AJ229" s="2"/>
      <c r="AK229" s="2"/>
      <c r="AL229" s="2"/>
      <c r="AM229" s="2">
        <f t="shared" si="10"/>
        <v>643.6</v>
      </c>
      <c r="AN229" s="2"/>
      <c r="AO229" s="5">
        <f t="shared" si="18"/>
        <v>1.5186201828107456E-2</v>
      </c>
      <c r="AP229" s="13">
        <v>45643</v>
      </c>
      <c r="AQ229" s="11">
        <v>485.3</v>
      </c>
      <c r="AR229" s="2"/>
      <c r="AS229" s="2"/>
      <c r="AT229" s="2"/>
      <c r="AU229" s="11">
        <f t="shared" si="11"/>
        <v>485.3</v>
      </c>
      <c r="AV229" s="2"/>
      <c r="AW229" s="5">
        <f t="shared" si="19"/>
        <v>6.4082906640997974E-3</v>
      </c>
      <c r="AX229" s="13">
        <v>45643</v>
      </c>
      <c r="AY229" s="2">
        <v>23.2</v>
      </c>
      <c r="AZ229" s="2"/>
      <c r="BA229" s="2"/>
      <c r="BB229" s="2"/>
      <c r="BC229" s="2">
        <f t="shared" si="12"/>
        <v>23.2</v>
      </c>
      <c r="BD229" s="2"/>
      <c r="BE229" s="5">
        <f t="shared" si="20"/>
        <v>2.6202372394023902E-2</v>
      </c>
      <c r="BF229" s="13">
        <v>45643</v>
      </c>
      <c r="BG229" s="2">
        <v>156.9</v>
      </c>
      <c r="BH229" s="2"/>
      <c r="BI229" s="2"/>
      <c r="BJ229" s="2"/>
      <c r="BK229" s="2">
        <f t="shared" si="13"/>
        <v>156.9</v>
      </c>
      <c r="BL229" s="2"/>
      <c r="BM229" s="5">
        <f t="shared" si="22"/>
        <v>-2.5461503252453177E-3</v>
      </c>
    </row>
    <row r="230" spans="1:65" ht="15.75" customHeight="1" x14ac:dyDescent="0.35">
      <c r="A230" s="675"/>
      <c r="B230" s="13">
        <v>45644</v>
      </c>
      <c r="C230" s="2">
        <v>9.1</v>
      </c>
      <c r="D230" s="2"/>
      <c r="E230" s="2"/>
      <c r="F230" s="2"/>
      <c r="G230" s="11">
        <f t="shared" si="14"/>
        <v>9.1</v>
      </c>
      <c r="H230" s="2"/>
      <c r="I230" s="5">
        <f t="shared" si="21"/>
        <v>-1.0929070532190206E-2</v>
      </c>
      <c r="J230" s="13">
        <v>45644</v>
      </c>
      <c r="K230" s="2">
        <v>32.6</v>
      </c>
      <c r="L230" s="2"/>
      <c r="M230" s="2"/>
      <c r="N230" s="2"/>
      <c r="O230" s="11">
        <f t="shared" si="7"/>
        <v>32.6</v>
      </c>
      <c r="P230" s="2"/>
      <c r="Q230" s="5">
        <f t="shared" si="15"/>
        <v>-3.0627895305457668E-3</v>
      </c>
      <c r="R230" s="13">
        <v>45644</v>
      </c>
      <c r="S230" s="2">
        <v>324.2</v>
      </c>
      <c r="T230" s="2"/>
      <c r="U230" s="2"/>
      <c r="V230" s="2"/>
      <c r="W230" s="11">
        <f t="shared" si="8"/>
        <v>324.2</v>
      </c>
      <c r="X230" s="2"/>
      <c r="Y230" s="5">
        <f t="shared" si="16"/>
        <v>1.3039613507803549E-2</v>
      </c>
      <c r="Z230" s="13">
        <v>45644</v>
      </c>
      <c r="AA230" s="2">
        <v>897.6</v>
      </c>
      <c r="AB230" s="2"/>
      <c r="AC230" s="2"/>
      <c r="AD230" s="2"/>
      <c r="AE230" s="2">
        <f t="shared" si="9"/>
        <v>897.6</v>
      </c>
      <c r="AF230" s="2"/>
      <c r="AG230" s="5">
        <f t="shared" si="17"/>
        <v>2.230650043832166E-3</v>
      </c>
      <c r="AH230" s="13">
        <v>45644</v>
      </c>
      <c r="AI230" s="2">
        <v>657.8</v>
      </c>
      <c r="AJ230" s="2"/>
      <c r="AK230" s="2"/>
      <c r="AL230" s="2"/>
      <c r="AM230" s="2">
        <f t="shared" si="10"/>
        <v>657.8</v>
      </c>
      <c r="AN230" s="2"/>
      <c r="AO230" s="5">
        <f t="shared" si="18"/>
        <v>2.1823518636728372E-2</v>
      </c>
      <c r="AP230" s="13">
        <v>45644</v>
      </c>
      <c r="AQ230" s="11">
        <v>486.2</v>
      </c>
      <c r="AR230" s="2"/>
      <c r="AS230" s="2"/>
      <c r="AT230" s="2"/>
      <c r="AU230" s="11">
        <f t="shared" si="11"/>
        <v>486.2</v>
      </c>
      <c r="AV230" s="2"/>
      <c r="AW230" s="5">
        <f t="shared" si="19"/>
        <v>1.8528054708523433E-3</v>
      </c>
      <c r="AX230" s="13">
        <v>45644</v>
      </c>
      <c r="AY230" s="2">
        <v>22.7</v>
      </c>
      <c r="AZ230" s="2"/>
      <c r="BA230" s="2"/>
      <c r="BB230" s="2"/>
      <c r="BC230" s="2">
        <f t="shared" si="12"/>
        <v>22.7</v>
      </c>
      <c r="BD230" s="2"/>
      <c r="BE230" s="5">
        <f t="shared" si="20"/>
        <v>-2.1787354184907296E-2</v>
      </c>
      <c r="BF230" s="13">
        <v>45644</v>
      </c>
      <c r="BG230" s="2">
        <v>156.19999999999999</v>
      </c>
      <c r="BH230" s="2"/>
      <c r="BI230" s="2"/>
      <c r="BJ230" s="2"/>
      <c r="BK230" s="2">
        <f t="shared" si="13"/>
        <v>156.19999999999999</v>
      </c>
      <c r="BL230" s="2"/>
      <c r="BM230" s="5">
        <f t="shared" si="22"/>
        <v>-4.471422333401389E-3</v>
      </c>
    </row>
    <row r="231" spans="1:65" ht="15.75" customHeight="1" x14ac:dyDescent="0.35">
      <c r="A231" s="675"/>
      <c r="B231" s="13">
        <v>45645</v>
      </c>
      <c r="C231" s="2">
        <v>9.1</v>
      </c>
      <c r="D231" s="2"/>
      <c r="E231" s="2"/>
      <c r="F231" s="2"/>
      <c r="G231" s="11">
        <f t="shared" si="14"/>
        <v>9.1</v>
      </c>
      <c r="H231" s="2"/>
      <c r="I231" s="5">
        <f t="shared" si="21"/>
        <v>0</v>
      </c>
      <c r="J231" s="13">
        <v>45645</v>
      </c>
      <c r="K231" s="2">
        <v>32.200000000000003</v>
      </c>
      <c r="L231" s="2"/>
      <c r="M231" s="2"/>
      <c r="N231" s="2"/>
      <c r="O231" s="11">
        <f t="shared" si="7"/>
        <v>32.200000000000003</v>
      </c>
      <c r="P231" s="2"/>
      <c r="Q231" s="5">
        <f t="shared" si="15"/>
        <v>-1.2345835822299266E-2</v>
      </c>
      <c r="R231" s="13">
        <v>45645</v>
      </c>
      <c r="S231" s="2">
        <v>325.39999999999998</v>
      </c>
      <c r="T231" s="2"/>
      <c r="U231" s="2"/>
      <c r="V231" s="2"/>
      <c r="W231" s="11">
        <f t="shared" si="8"/>
        <v>325.39999999999998</v>
      </c>
      <c r="X231" s="2"/>
      <c r="Y231" s="5">
        <f t="shared" si="16"/>
        <v>3.694585483361607E-3</v>
      </c>
      <c r="Z231" s="13">
        <v>45645</v>
      </c>
      <c r="AA231" s="2">
        <v>897.8</v>
      </c>
      <c r="AB231" s="2"/>
      <c r="AC231" s="2"/>
      <c r="AD231" s="2"/>
      <c r="AE231" s="2">
        <f t="shared" si="9"/>
        <v>897.8</v>
      </c>
      <c r="AF231" s="2"/>
      <c r="AG231" s="5">
        <f t="shared" si="17"/>
        <v>2.2279157939989478E-4</v>
      </c>
      <c r="AH231" s="13">
        <v>45645</v>
      </c>
      <c r="AI231" s="2">
        <v>654.79999999999995</v>
      </c>
      <c r="AJ231" s="2"/>
      <c r="AK231" s="2"/>
      <c r="AL231" s="2"/>
      <c r="AM231" s="2">
        <f t="shared" si="10"/>
        <v>654.79999999999995</v>
      </c>
      <c r="AN231" s="2"/>
      <c r="AO231" s="5">
        <f t="shared" si="18"/>
        <v>-4.5710882579767147E-3</v>
      </c>
      <c r="AP231" s="13">
        <v>45645</v>
      </c>
      <c r="AQ231" s="11">
        <v>488.7</v>
      </c>
      <c r="AR231" s="2"/>
      <c r="AS231" s="2"/>
      <c r="AT231" s="2"/>
      <c r="AU231" s="11">
        <f t="shared" si="11"/>
        <v>488.7</v>
      </c>
      <c r="AV231" s="2"/>
      <c r="AW231" s="5">
        <f t="shared" si="19"/>
        <v>5.1287423940860524E-3</v>
      </c>
      <c r="AX231" s="13">
        <v>45645</v>
      </c>
      <c r="AY231" s="2">
        <v>23.1</v>
      </c>
      <c r="AZ231" s="2"/>
      <c r="BA231" s="2"/>
      <c r="BB231" s="2"/>
      <c r="BC231" s="2">
        <f t="shared" si="12"/>
        <v>23.1</v>
      </c>
      <c r="BD231" s="2"/>
      <c r="BE231" s="5">
        <f t="shared" si="20"/>
        <v>1.7467693040390999E-2</v>
      </c>
      <c r="BF231" s="13">
        <v>45645</v>
      </c>
      <c r="BG231" s="2">
        <v>156.19999999999999</v>
      </c>
      <c r="BH231" s="2"/>
      <c r="BI231" s="2"/>
      <c r="BJ231" s="2"/>
      <c r="BK231" s="2">
        <f t="shared" si="13"/>
        <v>156.19999999999999</v>
      </c>
      <c r="BL231" s="2"/>
      <c r="BM231" s="5">
        <f t="shared" si="22"/>
        <v>0</v>
      </c>
    </row>
    <row r="232" spans="1:65" ht="15.75" customHeight="1" x14ac:dyDescent="0.35">
      <c r="A232" s="675"/>
      <c r="B232" s="13">
        <v>45648</v>
      </c>
      <c r="C232" s="2">
        <v>9</v>
      </c>
      <c r="D232" s="2"/>
      <c r="E232" s="2"/>
      <c r="F232" s="2"/>
      <c r="G232" s="11">
        <f t="shared" si="14"/>
        <v>9</v>
      </c>
      <c r="H232" s="2"/>
      <c r="I232" s="5">
        <f t="shared" si="21"/>
        <v>-1.1049836186584935E-2</v>
      </c>
      <c r="J232" s="13">
        <v>45648</v>
      </c>
      <c r="K232" s="2">
        <v>32.799999999999997</v>
      </c>
      <c r="L232" s="2"/>
      <c r="M232" s="2"/>
      <c r="N232" s="2"/>
      <c r="O232" s="11">
        <f t="shared" si="7"/>
        <v>32.799999999999997</v>
      </c>
      <c r="P232" s="2"/>
      <c r="Q232" s="5">
        <f t="shared" si="15"/>
        <v>1.8462062839735352E-2</v>
      </c>
      <c r="R232" s="13">
        <v>45648</v>
      </c>
      <c r="S232" s="2">
        <v>325.2</v>
      </c>
      <c r="T232" s="2"/>
      <c r="U232" s="2"/>
      <c r="V232" s="2"/>
      <c r="W232" s="11">
        <f t="shared" si="8"/>
        <v>325.2</v>
      </c>
      <c r="X232" s="2"/>
      <c r="Y232" s="5">
        <f t="shared" si="16"/>
        <v>-6.1481711128189421E-4</v>
      </c>
      <c r="Z232" s="13">
        <v>45648</v>
      </c>
      <c r="AA232" s="2">
        <v>899.8</v>
      </c>
      <c r="AB232" s="2"/>
      <c r="AC232" s="2"/>
      <c r="AD232" s="2"/>
      <c r="AE232" s="2">
        <f t="shared" si="9"/>
        <v>899.8</v>
      </c>
      <c r="AF232" s="2"/>
      <c r="AG232" s="5">
        <f t="shared" si="17"/>
        <v>2.2251900592400909E-3</v>
      </c>
      <c r="AH232" s="13">
        <v>45648</v>
      </c>
      <c r="AI232" s="2">
        <v>653.70000000000005</v>
      </c>
      <c r="AJ232" s="2"/>
      <c r="AK232" s="2"/>
      <c r="AL232" s="2"/>
      <c r="AM232" s="2">
        <f t="shared" si="10"/>
        <v>653.70000000000005</v>
      </c>
      <c r="AN232" s="2"/>
      <c r="AO232" s="5">
        <f t="shared" si="18"/>
        <v>-1.6813148782957811E-3</v>
      </c>
      <c r="AP232" s="13">
        <v>45648</v>
      </c>
      <c r="AQ232" s="11">
        <v>488.5</v>
      </c>
      <c r="AR232" s="2"/>
      <c r="AS232" s="2"/>
      <c r="AT232" s="2"/>
      <c r="AU232" s="11">
        <f t="shared" si="11"/>
        <v>488.5</v>
      </c>
      <c r="AV232" s="2"/>
      <c r="AW232" s="5">
        <f t="shared" si="19"/>
        <v>-4.0933279327166802E-4</v>
      </c>
      <c r="AX232" s="13">
        <v>45648</v>
      </c>
      <c r="AY232" s="2">
        <v>22.6</v>
      </c>
      <c r="AZ232" s="2"/>
      <c r="BA232" s="2"/>
      <c r="BB232" s="2"/>
      <c r="BC232" s="2">
        <f t="shared" si="12"/>
        <v>22.6</v>
      </c>
      <c r="BD232" s="2"/>
      <c r="BE232" s="5">
        <f t="shared" si="20"/>
        <v>-2.1882711249507709E-2</v>
      </c>
      <c r="BF232" s="13">
        <v>45648</v>
      </c>
      <c r="BG232" s="2">
        <v>155.30000000000001</v>
      </c>
      <c r="BH232" s="2"/>
      <c r="BI232" s="2"/>
      <c r="BJ232" s="2"/>
      <c r="BK232" s="2">
        <f t="shared" si="13"/>
        <v>155.30000000000001</v>
      </c>
      <c r="BL232" s="2"/>
      <c r="BM232" s="5">
        <f t="shared" si="22"/>
        <v>-5.7785072509440559E-3</v>
      </c>
    </row>
    <row r="233" spans="1:65" ht="15.75" customHeight="1" x14ac:dyDescent="0.35">
      <c r="A233" s="675"/>
      <c r="B233" s="13">
        <v>45649</v>
      </c>
      <c r="C233" s="2">
        <v>9</v>
      </c>
      <c r="D233" s="2"/>
      <c r="E233" s="2"/>
      <c r="F233" s="2"/>
      <c r="G233" s="11">
        <f t="shared" si="14"/>
        <v>9</v>
      </c>
      <c r="H233" s="2"/>
      <c r="I233" s="5">
        <f t="shared" si="21"/>
        <v>0</v>
      </c>
      <c r="J233" s="13">
        <v>45649</v>
      </c>
      <c r="K233" s="2">
        <v>32.200000000000003</v>
      </c>
      <c r="L233" s="2"/>
      <c r="M233" s="2"/>
      <c r="N233" s="2"/>
      <c r="O233" s="11">
        <f t="shared" si="7"/>
        <v>32.200000000000003</v>
      </c>
      <c r="P233" s="2"/>
      <c r="Q233" s="5">
        <f t="shared" si="15"/>
        <v>-1.8462062839735217E-2</v>
      </c>
      <c r="R233" s="13">
        <v>45649</v>
      </c>
      <c r="S233" s="2">
        <v>323.5</v>
      </c>
      <c r="T233" s="2"/>
      <c r="U233" s="2"/>
      <c r="V233" s="2"/>
      <c r="W233" s="11">
        <f t="shared" si="8"/>
        <v>323.5</v>
      </c>
      <c r="X233" s="2"/>
      <c r="Y233" s="5">
        <f t="shared" si="16"/>
        <v>-5.2412637327002558E-3</v>
      </c>
      <c r="Z233" s="13">
        <v>45649</v>
      </c>
      <c r="AA233" s="2">
        <v>899.9</v>
      </c>
      <c r="AB233" s="2"/>
      <c r="AC233" s="2"/>
      <c r="AD233" s="2"/>
      <c r="AE233" s="2">
        <f t="shared" si="9"/>
        <v>899.9</v>
      </c>
      <c r="AF233" s="2"/>
      <c r="AG233" s="5">
        <f t="shared" si="17"/>
        <v>1.1112963283090565E-4</v>
      </c>
      <c r="AH233" s="13">
        <v>45649</v>
      </c>
      <c r="AI233" s="2">
        <v>648.79999999999995</v>
      </c>
      <c r="AJ233" s="2"/>
      <c r="AK233" s="2"/>
      <c r="AL233" s="2"/>
      <c r="AM233" s="2">
        <f t="shared" si="10"/>
        <v>648.79999999999995</v>
      </c>
      <c r="AN233" s="2"/>
      <c r="AO233" s="5">
        <f t="shared" si="18"/>
        <v>-7.5240278174809128E-3</v>
      </c>
      <c r="AP233" s="13">
        <v>45649</v>
      </c>
      <c r="AQ233" s="11">
        <v>488.1</v>
      </c>
      <c r="AR233" s="2"/>
      <c r="AS233" s="2"/>
      <c r="AT233" s="2"/>
      <c r="AU233" s="11">
        <f t="shared" si="11"/>
        <v>488.1</v>
      </c>
      <c r="AV233" s="2"/>
      <c r="AW233" s="5">
        <f t="shared" si="19"/>
        <v>-8.191685897355384E-4</v>
      </c>
      <c r="AX233" s="13">
        <v>45649</v>
      </c>
      <c r="AY233" s="2">
        <v>22.4</v>
      </c>
      <c r="AZ233" s="2"/>
      <c r="BA233" s="2"/>
      <c r="BB233" s="2"/>
      <c r="BC233" s="2">
        <f t="shared" si="12"/>
        <v>22.4</v>
      </c>
      <c r="BD233" s="2"/>
      <c r="BE233" s="5">
        <f t="shared" si="20"/>
        <v>-8.888947417246152E-3</v>
      </c>
      <c r="BF233" s="13">
        <v>45649</v>
      </c>
      <c r="BG233" s="2">
        <v>154.5</v>
      </c>
      <c r="BH233" s="2"/>
      <c r="BI233" s="2"/>
      <c r="BJ233" s="2"/>
      <c r="BK233" s="2">
        <f t="shared" si="13"/>
        <v>154.5</v>
      </c>
      <c r="BL233" s="2"/>
      <c r="BM233" s="5">
        <f t="shared" si="22"/>
        <v>-5.1646338168413221E-3</v>
      </c>
    </row>
    <row r="234" spans="1:65" ht="15.75" customHeight="1" x14ac:dyDescent="0.35">
      <c r="A234" s="675"/>
      <c r="B234" s="13">
        <v>45650</v>
      </c>
      <c r="C234" s="2">
        <v>9</v>
      </c>
      <c r="D234" s="2"/>
      <c r="E234" s="2"/>
      <c r="F234" s="2"/>
      <c r="G234" s="11">
        <f t="shared" si="14"/>
        <v>9</v>
      </c>
      <c r="H234" s="2"/>
      <c r="I234" s="5">
        <f t="shared" si="21"/>
        <v>0</v>
      </c>
      <c r="J234" s="13">
        <v>45650</v>
      </c>
      <c r="K234" s="2">
        <v>33</v>
      </c>
      <c r="L234" s="2"/>
      <c r="M234" s="2"/>
      <c r="N234" s="2"/>
      <c r="O234" s="11">
        <f t="shared" si="7"/>
        <v>33</v>
      </c>
      <c r="P234" s="2"/>
      <c r="Q234" s="5">
        <f t="shared" si="15"/>
        <v>2.4541108916117445E-2</v>
      </c>
      <c r="R234" s="13">
        <v>45650</v>
      </c>
      <c r="S234" s="2">
        <v>322.5</v>
      </c>
      <c r="T234" s="2"/>
      <c r="U234" s="2"/>
      <c r="V234" s="2"/>
      <c r="W234" s="11">
        <f t="shared" si="8"/>
        <v>322.5</v>
      </c>
      <c r="X234" s="2"/>
      <c r="Y234" s="5">
        <f t="shared" si="16"/>
        <v>-3.095977705128121E-3</v>
      </c>
      <c r="Z234" s="13">
        <v>45650</v>
      </c>
      <c r="AA234" s="2">
        <v>898.1</v>
      </c>
      <c r="AB234" s="2"/>
      <c r="AC234" s="2"/>
      <c r="AD234" s="2"/>
      <c r="AE234" s="2">
        <f t="shared" si="9"/>
        <v>898.1</v>
      </c>
      <c r="AF234" s="2"/>
      <c r="AG234" s="5">
        <f t="shared" si="17"/>
        <v>-2.0022253629987919E-3</v>
      </c>
      <c r="AH234" s="13">
        <v>45650</v>
      </c>
      <c r="AI234" s="2">
        <v>661.6</v>
      </c>
      <c r="AJ234" s="2"/>
      <c r="AK234" s="2"/>
      <c r="AL234" s="2"/>
      <c r="AM234" s="2">
        <f t="shared" si="10"/>
        <v>661.6</v>
      </c>
      <c r="AN234" s="2"/>
      <c r="AO234" s="5">
        <f t="shared" si="18"/>
        <v>1.9536640908278436E-2</v>
      </c>
      <c r="AP234" s="13">
        <v>45650</v>
      </c>
      <c r="AQ234" s="11">
        <v>486.8</v>
      </c>
      <c r="AR234" s="2"/>
      <c r="AS234" s="2"/>
      <c r="AT234" s="2"/>
      <c r="AU234" s="11">
        <f t="shared" si="11"/>
        <v>486.8</v>
      </c>
      <c r="AV234" s="2"/>
      <c r="AW234" s="5">
        <f t="shared" si="19"/>
        <v>-2.6669417797296835E-3</v>
      </c>
      <c r="AX234" s="13">
        <v>45650</v>
      </c>
      <c r="AY234" s="2">
        <v>22.4</v>
      </c>
      <c r="AZ234" s="2"/>
      <c r="BA234" s="2"/>
      <c r="BB234" s="2"/>
      <c r="BC234" s="2">
        <f t="shared" si="12"/>
        <v>22.4</v>
      </c>
      <c r="BD234" s="2"/>
      <c r="BE234" s="5">
        <f t="shared" si="20"/>
        <v>0</v>
      </c>
      <c r="BF234" s="13">
        <v>45650</v>
      </c>
      <c r="BG234" s="2">
        <v>155.6</v>
      </c>
      <c r="BH234" s="2"/>
      <c r="BI234" s="2"/>
      <c r="BJ234" s="2"/>
      <c r="BK234" s="2">
        <f t="shared" si="13"/>
        <v>155.6</v>
      </c>
      <c r="BL234" s="2"/>
      <c r="BM234" s="5">
        <f t="shared" si="22"/>
        <v>7.0945154064911012E-3</v>
      </c>
    </row>
    <row r="235" spans="1:65" ht="15.75" customHeight="1" x14ac:dyDescent="0.35">
      <c r="A235" s="675"/>
      <c r="B235" s="13">
        <v>45652</v>
      </c>
      <c r="C235" s="2">
        <v>9</v>
      </c>
      <c r="D235" s="2"/>
      <c r="E235" s="2"/>
      <c r="F235" s="2"/>
      <c r="G235" s="11">
        <f t="shared" si="14"/>
        <v>9</v>
      </c>
      <c r="H235" s="2"/>
      <c r="I235" s="5">
        <f t="shared" si="21"/>
        <v>0</v>
      </c>
      <c r="J235" s="13">
        <v>45652</v>
      </c>
      <c r="K235" s="2">
        <v>33.1</v>
      </c>
      <c r="L235" s="2"/>
      <c r="M235" s="2"/>
      <c r="N235" s="2"/>
      <c r="O235" s="11">
        <f t="shared" si="7"/>
        <v>33.1</v>
      </c>
      <c r="P235" s="2"/>
      <c r="Q235" s="5">
        <f t="shared" si="15"/>
        <v>3.0257209165371114E-3</v>
      </c>
      <c r="R235" s="13">
        <v>45652</v>
      </c>
      <c r="S235" s="2">
        <v>322.5</v>
      </c>
      <c r="T235" s="2"/>
      <c r="U235" s="2"/>
      <c r="V235" s="2"/>
      <c r="W235" s="11">
        <f t="shared" si="8"/>
        <v>322.5</v>
      </c>
      <c r="X235" s="2"/>
      <c r="Y235" s="5">
        <f t="shared" si="16"/>
        <v>0</v>
      </c>
      <c r="Z235" s="13">
        <v>45652</v>
      </c>
      <c r="AA235" s="2">
        <v>896.5</v>
      </c>
      <c r="AB235" s="2"/>
      <c r="AC235" s="2"/>
      <c r="AD235" s="2"/>
      <c r="AE235" s="2">
        <f t="shared" si="9"/>
        <v>896.5</v>
      </c>
      <c r="AF235" s="2"/>
      <c r="AG235" s="5">
        <f t="shared" si="17"/>
        <v>-1.7831276317165157E-3</v>
      </c>
      <c r="AH235" s="13">
        <v>45652</v>
      </c>
      <c r="AI235" s="2">
        <v>656.7</v>
      </c>
      <c r="AJ235" s="2"/>
      <c r="AK235" s="2"/>
      <c r="AL235" s="2"/>
      <c r="AM235" s="2">
        <f t="shared" si="10"/>
        <v>656.7</v>
      </c>
      <c r="AN235" s="2"/>
      <c r="AO235" s="5">
        <f t="shared" si="18"/>
        <v>-7.4338505125545766E-3</v>
      </c>
      <c r="AP235" s="13">
        <v>45652</v>
      </c>
      <c r="AQ235" s="11">
        <v>489.2</v>
      </c>
      <c r="AR235" s="2"/>
      <c r="AS235" s="2"/>
      <c r="AT235" s="2"/>
      <c r="AU235" s="11">
        <f t="shared" si="11"/>
        <v>489.2</v>
      </c>
      <c r="AV235" s="2"/>
      <c r="AW235" s="5">
        <f t="shared" si="19"/>
        <v>4.9180426996450729E-3</v>
      </c>
      <c r="AX235" s="13">
        <v>45652</v>
      </c>
      <c r="AY235" s="2">
        <v>22.6</v>
      </c>
      <c r="AZ235" s="2"/>
      <c r="BA235" s="2"/>
      <c r="BB235" s="2"/>
      <c r="BC235" s="2">
        <f t="shared" si="12"/>
        <v>22.6</v>
      </c>
      <c r="BD235" s="2"/>
      <c r="BE235" s="5">
        <f t="shared" si="20"/>
        <v>8.8889474172462145E-3</v>
      </c>
      <c r="BF235" s="13">
        <v>45652</v>
      </c>
      <c r="BG235" s="2">
        <v>157.69999999999999</v>
      </c>
      <c r="BH235" s="2"/>
      <c r="BI235" s="2"/>
      <c r="BJ235" s="2"/>
      <c r="BK235" s="2">
        <f t="shared" si="13"/>
        <v>157.69999999999999</v>
      </c>
      <c r="BL235" s="2"/>
      <c r="BM235" s="5">
        <f t="shared" si="22"/>
        <v>1.3405882224701357E-2</v>
      </c>
    </row>
    <row r="236" spans="1:65" ht="15.75" customHeight="1" x14ac:dyDescent="0.35">
      <c r="A236" s="675"/>
      <c r="B236" s="13">
        <v>45655</v>
      </c>
      <c r="C236" s="2">
        <v>9</v>
      </c>
      <c r="D236" s="2"/>
      <c r="E236" s="2"/>
      <c r="F236" s="2"/>
      <c r="G236" s="11">
        <f t="shared" si="14"/>
        <v>9</v>
      </c>
      <c r="H236" s="2"/>
      <c r="I236" s="5">
        <f t="shared" si="21"/>
        <v>0</v>
      </c>
      <c r="J236" s="13">
        <v>45655</v>
      </c>
      <c r="K236" s="2">
        <v>32.200000000000003</v>
      </c>
      <c r="L236" s="6"/>
      <c r="M236" s="2"/>
      <c r="N236" s="2"/>
      <c r="O236" s="11">
        <f t="shared" si="7"/>
        <v>32.200000000000003</v>
      </c>
      <c r="P236" s="2"/>
      <c r="Q236" s="5">
        <f t="shared" si="15"/>
        <v>-2.7566829832654592E-2</v>
      </c>
      <c r="R236" s="13">
        <v>45655</v>
      </c>
      <c r="S236" s="2">
        <v>322.5</v>
      </c>
      <c r="T236" s="2"/>
      <c r="U236" s="2"/>
      <c r="V236" s="2"/>
      <c r="W236" s="11">
        <f t="shared" si="8"/>
        <v>322.5</v>
      </c>
      <c r="X236" s="2"/>
      <c r="Y236" s="5">
        <f t="shared" si="16"/>
        <v>0</v>
      </c>
      <c r="Z236" s="13">
        <v>45655</v>
      </c>
      <c r="AA236" s="2">
        <v>906.9</v>
      </c>
      <c r="AB236" s="2"/>
      <c r="AC236" s="2"/>
      <c r="AD236" s="2"/>
      <c r="AE236" s="2">
        <f t="shared" si="9"/>
        <v>906.9</v>
      </c>
      <c r="AF236" s="2"/>
      <c r="AG236" s="5">
        <f t="shared" si="17"/>
        <v>1.1533897408334425E-2</v>
      </c>
      <c r="AH236" s="13">
        <v>45655</v>
      </c>
      <c r="AI236" s="2">
        <v>629.1</v>
      </c>
      <c r="AJ236" s="2"/>
      <c r="AK236" s="2"/>
      <c r="AL236" s="2"/>
      <c r="AM236" s="2">
        <f t="shared" si="10"/>
        <v>629.1</v>
      </c>
      <c r="AN236" s="2"/>
      <c r="AO236" s="5">
        <f t="shared" si="18"/>
        <v>-4.2937066620943057E-2</v>
      </c>
      <c r="AP236" s="13">
        <v>45655</v>
      </c>
      <c r="AQ236" s="11">
        <v>488.7</v>
      </c>
      <c r="AR236" s="2"/>
      <c r="AS236" s="2"/>
      <c r="AT236" s="2"/>
      <c r="AU236" s="11">
        <f t="shared" si="11"/>
        <v>488.7</v>
      </c>
      <c r="AV236" s="2"/>
      <c r="AW236" s="5">
        <f t="shared" si="19"/>
        <v>-1.0225995369081222E-3</v>
      </c>
      <c r="AX236" s="13">
        <v>45655</v>
      </c>
      <c r="AY236" s="2">
        <v>22.6</v>
      </c>
      <c r="AZ236" s="2"/>
      <c r="BA236" s="2"/>
      <c r="BB236" s="2"/>
      <c r="BC236" s="2">
        <f t="shared" si="12"/>
        <v>22.6</v>
      </c>
      <c r="BD236" s="2"/>
      <c r="BE236" s="5">
        <f t="shared" si="20"/>
        <v>0</v>
      </c>
      <c r="BF236" s="13">
        <v>45655</v>
      </c>
      <c r="BG236" s="2">
        <v>156</v>
      </c>
      <c r="BH236" s="2"/>
      <c r="BI236" s="2"/>
      <c r="BJ236" s="2"/>
      <c r="BK236" s="2">
        <f t="shared" si="13"/>
        <v>156</v>
      </c>
      <c r="BL236" s="2"/>
      <c r="BM236" s="5">
        <f t="shared" si="22"/>
        <v>-1.0838486719455594E-2</v>
      </c>
    </row>
    <row r="237" spans="1:65" ht="15.75" customHeight="1" x14ac:dyDescent="0.35">
      <c r="A237" s="675"/>
      <c r="B237" s="13">
        <v>45656</v>
      </c>
      <c r="C237" s="2">
        <v>9.1999999999999993</v>
      </c>
      <c r="D237" s="2"/>
      <c r="E237" s="2"/>
      <c r="F237" s="2"/>
      <c r="G237" s="11">
        <f>C237+C237*D237+C237*E237-F237*E237</f>
        <v>9.1999999999999993</v>
      </c>
      <c r="H237" s="2"/>
      <c r="I237" s="5">
        <f t="shared" si="21"/>
        <v>2.1978906718775167E-2</v>
      </c>
      <c r="J237" s="13">
        <v>45656</v>
      </c>
      <c r="K237" s="2">
        <v>32.700000000000003</v>
      </c>
      <c r="L237" s="2"/>
      <c r="M237" s="2"/>
      <c r="N237" s="2"/>
      <c r="O237" s="11">
        <f t="shared" si="7"/>
        <v>32.700000000000003</v>
      </c>
      <c r="P237" s="2"/>
      <c r="Q237" s="5">
        <f t="shared" si="15"/>
        <v>1.5408625352845061E-2</v>
      </c>
      <c r="R237" s="13">
        <v>45656</v>
      </c>
      <c r="S237" s="2">
        <v>323.10000000000002</v>
      </c>
      <c r="T237" s="2"/>
      <c r="U237" s="2"/>
      <c r="V237" s="2"/>
      <c r="W237" s="11">
        <f t="shared" si="8"/>
        <v>323.10000000000002</v>
      </c>
      <c r="X237" s="2"/>
      <c r="Y237" s="5">
        <f t="shared" si="16"/>
        <v>1.8587365946255636E-3</v>
      </c>
      <c r="Z237" s="13">
        <v>45656</v>
      </c>
      <c r="AA237" s="2">
        <v>905.4</v>
      </c>
      <c r="AB237" s="2"/>
      <c r="AC237" s="2"/>
      <c r="AD237" s="2"/>
      <c r="AE237" s="2">
        <f t="shared" si="9"/>
        <v>905.4</v>
      </c>
      <c r="AF237" s="2"/>
      <c r="AG237" s="5">
        <f t="shared" si="17"/>
        <v>-1.6553554516638203E-3</v>
      </c>
      <c r="AH237" s="13">
        <v>45656</v>
      </c>
      <c r="AI237" s="2">
        <v>635.1</v>
      </c>
      <c r="AJ237" s="2"/>
      <c r="AK237" s="2"/>
      <c r="AL237" s="2"/>
      <c r="AM237" s="2">
        <f t="shared" si="10"/>
        <v>635.1</v>
      </c>
      <c r="AN237" s="2"/>
      <c r="AO237" s="5">
        <f t="shared" si="18"/>
        <v>9.4922402329451309E-3</v>
      </c>
      <c r="AP237" s="13">
        <v>45656</v>
      </c>
      <c r="AQ237" s="11">
        <v>487.5</v>
      </c>
      <c r="AR237" s="2"/>
      <c r="AS237" s="2"/>
      <c r="AT237" s="2"/>
      <c r="AU237" s="11">
        <f t="shared" si="11"/>
        <v>487.5</v>
      </c>
      <c r="AV237" s="2"/>
      <c r="AW237" s="5">
        <f t="shared" si="19"/>
        <v>-2.4585138382072634E-3</v>
      </c>
      <c r="AX237" s="13">
        <v>45656</v>
      </c>
      <c r="AY237" s="2">
        <v>22.6</v>
      </c>
      <c r="AZ237" s="2"/>
      <c r="BA237" s="2"/>
      <c r="BB237" s="2"/>
      <c r="BC237" s="2">
        <f t="shared" si="12"/>
        <v>22.6</v>
      </c>
      <c r="BD237" s="2"/>
      <c r="BE237" s="5">
        <f t="shared" si="20"/>
        <v>0</v>
      </c>
      <c r="BF237" s="13">
        <v>45656</v>
      </c>
      <c r="BG237" s="2">
        <v>158</v>
      </c>
      <c r="BH237" s="2"/>
      <c r="BI237" s="2"/>
      <c r="BJ237" s="2"/>
      <c r="BK237" s="2">
        <f t="shared" si="13"/>
        <v>158</v>
      </c>
      <c r="BL237" s="2"/>
      <c r="BM237" s="5">
        <f t="shared" si="22"/>
        <v>1.2739025777429712E-2</v>
      </c>
    </row>
    <row r="238" spans="1:65" ht="15.75" customHeight="1" x14ac:dyDescent="0.35">
      <c r="A238" s="676" t="s">
        <v>69</v>
      </c>
      <c r="B238" s="13">
        <v>45658</v>
      </c>
      <c r="C238" s="2">
        <v>9.3000000000000007</v>
      </c>
      <c r="D238" s="2"/>
      <c r="E238" s="2"/>
      <c r="F238" s="2"/>
      <c r="G238" s="11">
        <f t="shared" si="14"/>
        <v>9.3000000000000007</v>
      </c>
      <c r="H238" s="2"/>
      <c r="I238" s="5">
        <f t="shared" si="21"/>
        <v>1.0810916104215676E-2</v>
      </c>
      <c r="J238" s="13">
        <v>45658</v>
      </c>
      <c r="K238" s="2">
        <v>32.700000000000003</v>
      </c>
      <c r="L238" s="2"/>
      <c r="M238" s="2"/>
      <c r="N238" s="2"/>
      <c r="O238" s="11">
        <f t="shared" si="7"/>
        <v>32.700000000000003</v>
      </c>
      <c r="P238" s="2"/>
      <c r="Q238" s="5">
        <f t="shared" si="15"/>
        <v>0</v>
      </c>
      <c r="R238" s="13">
        <v>45658</v>
      </c>
      <c r="S238" s="2">
        <v>325.10000000000002</v>
      </c>
      <c r="T238" s="2"/>
      <c r="U238" s="2"/>
      <c r="V238" s="2"/>
      <c r="W238" s="11">
        <f t="shared" si="8"/>
        <v>325.10000000000002</v>
      </c>
      <c r="X238" s="2"/>
      <c r="Y238" s="5">
        <f t="shared" si="16"/>
        <v>6.1709544794070906E-3</v>
      </c>
      <c r="Z238" s="13">
        <v>45658</v>
      </c>
      <c r="AA238" s="2">
        <v>907.3</v>
      </c>
      <c r="AB238" s="2"/>
      <c r="AC238" s="2"/>
      <c r="AD238" s="2"/>
      <c r="AE238" s="2">
        <f t="shared" si="9"/>
        <v>907.3</v>
      </c>
      <c r="AF238" s="2"/>
      <c r="AG238" s="5">
        <f t="shared" si="17"/>
        <v>2.0963211737249549E-3</v>
      </c>
      <c r="AH238" s="13">
        <v>45658</v>
      </c>
      <c r="AI238" s="2">
        <v>636.20000000000005</v>
      </c>
      <c r="AJ238" s="2"/>
      <c r="AK238" s="2"/>
      <c r="AL238" s="2"/>
      <c r="AM238" s="2">
        <f t="shared" si="10"/>
        <v>636.20000000000005</v>
      </c>
      <c r="AN238" s="2"/>
      <c r="AO238" s="5">
        <f t="shared" si="18"/>
        <v>1.7305125061146643E-3</v>
      </c>
      <c r="AP238" s="13">
        <v>45658</v>
      </c>
      <c r="AQ238" s="11">
        <v>489.4</v>
      </c>
      <c r="AR238" s="2"/>
      <c r="AS238" s="2"/>
      <c r="AT238" s="2"/>
      <c r="AU238" s="11">
        <f t="shared" si="11"/>
        <v>489.4</v>
      </c>
      <c r="AV238" s="2"/>
      <c r="AW238" s="5">
        <f t="shared" si="19"/>
        <v>3.8898605706692655E-3</v>
      </c>
      <c r="AX238" s="13">
        <v>45658</v>
      </c>
      <c r="AY238" s="2">
        <v>22.4</v>
      </c>
      <c r="AZ238" s="2"/>
      <c r="BA238" s="2"/>
      <c r="BB238" s="2"/>
      <c r="BC238" s="2">
        <f t="shared" si="12"/>
        <v>22.4</v>
      </c>
      <c r="BD238" s="2"/>
      <c r="BE238" s="5">
        <f t="shared" si="20"/>
        <v>-8.888947417246152E-3</v>
      </c>
      <c r="BF238" s="13">
        <v>45658</v>
      </c>
      <c r="BG238" s="2">
        <v>156.19999999999999</v>
      </c>
      <c r="BH238" s="2"/>
      <c r="BI238" s="2"/>
      <c r="BJ238" s="2"/>
      <c r="BK238" s="2">
        <f t="shared" si="13"/>
        <v>156.19999999999999</v>
      </c>
      <c r="BL238" s="2"/>
      <c r="BM238" s="5">
        <f t="shared" si="22"/>
        <v>-1.1457795621381274E-2</v>
      </c>
    </row>
    <row r="239" spans="1:65" ht="15.75" customHeight="1" x14ac:dyDescent="0.35">
      <c r="A239" s="676"/>
      <c r="B239" s="13">
        <v>45659</v>
      </c>
      <c r="C239" s="2">
        <v>9.6</v>
      </c>
      <c r="D239" s="2"/>
      <c r="E239" s="2"/>
      <c r="F239" s="2"/>
      <c r="G239" s="11">
        <f t="shared" si="14"/>
        <v>9.6</v>
      </c>
      <c r="H239" s="2"/>
      <c r="I239" s="5">
        <f t="shared" si="21"/>
        <v>3.174869831458027E-2</v>
      </c>
      <c r="J239" s="13">
        <v>45659</v>
      </c>
      <c r="K239" s="2">
        <v>32.6</v>
      </c>
      <c r="L239" s="2"/>
      <c r="M239" s="2"/>
      <c r="N239" s="2"/>
      <c r="O239" s="11">
        <f t="shared" si="7"/>
        <v>32.6</v>
      </c>
      <c r="P239" s="2"/>
      <c r="Q239" s="5">
        <f t="shared" si="15"/>
        <v>-3.0627895305457668E-3</v>
      </c>
      <c r="R239" s="13">
        <v>45659</v>
      </c>
      <c r="S239" s="2">
        <v>324.2</v>
      </c>
      <c r="T239" s="2"/>
      <c r="U239" s="2"/>
      <c r="V239" s="2"/>
      <c r="W239" s="11">
        <f t="shared" si="8"/>
        <v>324.2</v>
      </c>
      <c r="X239" s="2"/>
      <c r="Y239" s="5">
        <f t="shared" si="16"/>
        <v>-2.772218008284034E-3</v>
      </c>
      <c r="Z239" s="13">
        <v>45659</v>
      </c>
      <c r="AA239" s="2">
        <v>899.2</v>
      </c>
      <c r="AB239" s="2"/>
      <c r="AC239" s="2"/>
      <c r="AD239" s="2"/>
      <c r="AE239" s="2">
        <f t="shared" si="9"/>
        <v>899.2</v>
      </c>
      <c r="AF239" s="2"/>
      <c r="AG239" s="5">
        <f t="shared" si="17"/>
        <v>-8.9676770361565329E-3</v>
      </c>
      <c r="AH239" s="13">
        <v>45659</v>
      </c>
      <c r="AI239" s="2">
        <v>633.5</v>
      </c>
      <c r="AJ239" s="2"/>
      <c r="AK239" s="2"/>
      <c r="AL239" s="2"/>
      <c r="AM239" s="2">
        <f t="shared" si="10"/>
        <v>633.5</v>
      </c>
      <c r="AN239" s="2"/>
      <c r="AO239" s="5">
        <f t="shared" si="18"/>
        <v>-4.2529795538500696E-3</v>
      </c>
      <c r="AP239" s="13">
        <v>45659</v>
      </c>
      <c r="AQ239" s="11">
        <v>488.9</v>
      </c>
      <c r="AR239" s="2"/>
      <c r="AS239" s="2"/>
      <c r="AT239" s="2"/>
      <c r="AU239" s="11">
        <f t="shared" si="11"/>
        <v>488.9</v>
      </c>
      <c r="AV239" s="2"/>
      <c r="AW239" s="5">
        <f t="shared" si="19"/>
        <v>-1.0221814239713973E-3</v>
      </c>
      <c r="AX239" s="13">
        <v>45659</v>
      </c>
      <c r="AY239" s="2">
        <v>22.5</v>
      </c>
      <c r="AZ239" s="2"/>
      <c r="BA239" s="2"/>
      <c r="BB239" s="2"/>
      <c r="BC239" s="2">
        <f t="shared" si="12"/>
        <v>22.5</v>
      </c>
      <c r="BD239" s="2"/>
      <c r="BE239" s="5">
        <f t="shared" si="20"/>
        <v>4.4543503493803746E-3</v>
      </c>
      <c r="BF239" s="13">
        <v>45659</v>
      </c>
      <c r="BG239" s="2">
        <v>155</v>
      </c>
      <c r="BH239" s="2"/>
      <c r="BI239" s="2"/>
      <c r="BJ239" s="2"/>
      <c r="BK239" s="2">
        <f t="shared" si="13"/>
        <v>155</v>
      </c>
      <c r="BL239" s="2"/>
      <c r="BM239" s="5">
        <f t="shared" si="22"/>
        <v>-7.712120486338919E-3</v>
      </c>
    </row>
    <row r="240" spans="1:65" ht="15.75" customHeight="1" x14ac:dyDescent="0.35">
      <c r="A240" s="676"/>
      <c r="B240" s="13">
        <v>45662</v>
      </c>
      <c r="C240" s="2">
        <v>9.5</v>
      </c>
      <c r="D240" s="2"/>
      <c r="E240" s="2"/>
      <c r="F240" s="2"/>
      <c r="G240" s="11">
        <f t="shared" si="14"/>
        <v>9.5</v>
      </c>
      <c r="H240" s="2"/>
      <c r="I240" s="5">
        <f t="shared" si="21"/>
        <v>-1.0471299867295366E-2</v>
      </c>
      <c r="J240" s="13">
        <v>45662</v>
      </c>
      <c r="K240" s="2">
        <v>32.5</v>
      </c>
      <c r="L240" s="2"/>
      <c r="M240" s="2"/>
      <c r="N240" s="2"/>
      <c r="O240" s="11">
        <f t="shared" si="7"/>
        <v>32.5</v>
      </c>
      <c r="P240" s="2"/>
      <c r="Q240" s="5">
        <f t="shared" si="15"/>
        <v>-3.0721990369702518E-3</v>
      </c>
      <c r="R240" s="13">
        <v>45662</v>
      </c>
      <c r="S240" s="2">
        <v>324.7</v>
      </c>
      <c r="T240" s="2"/>
      <c r="U240" s="2"/>
      <c r="V240" s="2"/>
      <c r="W240" s="11">
        <f t="shared" si="8"/>
        <v>324.7</v>
      </c>
      <c r="X240" s="2"/>
      <c r="Y240" s="5">
        <f t="shared" si="16"/>
        <v>1.5410698072245224E-3</v>
      </c>
      <c r="Z240" s="13">
        <v>45662</v>
      </c>
      <c r="AA240" s="2">
        <v>897.7</v>
      </c>
      <c r="AB240" s="2"/>
      <c r="AC240" s="2"/>
      <c r="AD240" s="2"/>
      <c r="AE240" s="2">
        <f t="shared" si="9"/>
        <v>897.7</v>
      </c>
      <c r="AF240" s="2"/>
      <c r="AG240" s="5">
        <f t="shared" si="17"/>
        <v>-1.6695423767838853E-3</v>
      </c>
      <c r="AH240" s="13">
        <v>45662</v>
      </c>
      <c r="AI240" s="2">
        <v>631.1</v>
      </c>
      <c r="AJ240" s="2"/>
      <c r="AK240" s="2"/>
      <c r="AL240" s="2"/>
      <c r="AM240" s="2">
        <f t="shared" si="10"/>
        <v>631.1</v>
      </c>
      <c r="AN240" s="2"/>
      <c r="AO240" s="5">
        <f t="shared" si="18"/>
        <v>-3.7956711709998857E-3</v>
      </c>
      <c r="AP240" s="13">
        <v>45662</v>
      </c>
      <c r="AQ240" s="11">
        <v>487.1</v>
      </c>
      <c r="AR240" s="2"/>
      <c r="AS240" s="2"/>
      <c r="AT240" s="2"/>
      <c r="AU240" s="11">
        <f t="shared" si="11"/>
        <v>487.1</v>
      </c>
      <c r="AV240" s="2"/>
      <c r="AW240" s="5">
        <f t="shared" si="19"/>
        <v>-3.6885287721027584E-3</v>
      </c>
      <c r="AX240" s="13">
        <v>45662</v>
      </c>
      <c r="AY240" s="2">
        <v>22.1</v>
      </c>
      <c r="AZ240" s="2"/>
      <c r="BA240" s="2"/>
      <c r="BB240" s="2"/>
      <c r="BC240" s="2">
        <f t="shared" si="12"/>
        <v>22.1</v>
      </c>
      <c r="BD240" s="2"/>
      <c r="BE240" s="5">
        <f t="shared" si="20"/>
        <v>-1.7937700686667207E-2</v>
      </c>
      <c r="BF240" s="13">
        <v>45662</v>
      </c>
      <c r="BG240" s="2">
        <v>155.69999999999999</v>
      </c>
      <c r="BH240" s="2"/>
      <c r="BI240" s="2"/>
      <c r="BJ240" s="2"/>
      <c r="BK240" s="2">
        <f t="shared" si="13"/>
        <v>155.69999999999999</v>
      </c>
      <c r="BL240" s="2"/>
      <c r="BM240" s="5">
        <f t="shared" si="22"/>
        <v>4.5059619207059153E-3</v>
      </c>
    </row>
    <row r="241" spans="1:65" ht="15.75" customHeight="1" x14ac:dyDescent="0.35">
      <c r="A241" s="676"/>
      <c r="B241" s="13">
        <v>45663</v>
      </c>
      <c r="C241" s="2">
        <v>9.5</v>
      </c>
      <c r="D241" s="2"/>
      <c r="E241" s="2"/>
      <c r="F241" s="2"/>
      <c r="G241" s="11">
        <f t="shared" si="14"/>
        <v>9.5</v>
      </c>
      <c r="H241" s="2"/>
      <c r="I241" s="5">
        <f t="shared" si="21"/>
        <v>0</v>
      </c>
      <c r="J241" s="13">
        <v>45663</v>
      </c>
      <c r="K241" s="2">
        <v>32.5</v>
      </c>
      <c r="L241" s="2"/>
      <c r="M241" s="2"/>
      <c r="N241" s="2"/>
      <c r="O241" s="11">
        <f t="shared" si="7"/>
        <v>32.5</v>
      </c>
      <c r="P241" s="2"/>
      <c r="Q241" s="5">
        <f t="shared" si="15"/>
        <v>0</v>
      </c>
      <c r="R241" s="13">
        <v>45663</v>
      </c>
      <c r="S241" s="2">
        <v>325.2</v>
      </c>
      <c r="T241" s="2"/>
      <c r="U241" s="2"/>
      <c r="V241" s="2"/>
      <c r="W241" s="11">
        <f t="shared" si="8"/>
        <v>325.2</v>
      </c>
      <c r="X241" s="2"/>
      <c r="Y241" s="5">
        <f t="shared" si="16"/>
        <v>1.5386985648552947E-3</v>
      </c>
      <c r="Z241" s="13">
        <v>45663</v>
      </c>
      <c r="AA241" s="2">
        <v>903.3</v>
      </c>
      <c r="AB241" s="2"/>
      <c r="AC241" s="2"/>
      <c r="AD241" s="2"/>
      <c r="AE241" s="2">
        <f t="shared" si="9"/>
        <v>903.3</v>
      </c>
      <c r="AF241" s="2"/>
      <c r="AG241" s="5">
        <f t="shared" si="17"/>
        <v>6.2187873931549278E-3</v>
      </c>
      <c r="AH241" s="13">
        <v>45663</v>
      </c>
      <c r="AI241" s="2">
        <v>633.20000000000005</v>
      </c>
      <c r="AJ241" s="2"/>
      <c r="AK241" s="2"/>
      <c r="AL241" s="2"/>
      <c r="AM241" s="2">
        <f t="shared" si="10"/>
        <v>633.20000000000005</v>
      </c>
      <c r="AN241" s="2"/>
      <c r="AO241" s="5">
        <f t="shared" si="18"/>
        <v>3.3219994166632395E-3</v>
      </c>
      <c r="AP241" s="13">
        <v>45663</v>
      </c>
      <c r="AQ241" s="11">
        <v>488.7</v>
      </c>
      <c r="AR241" s="2"/>
      <c r="AS241" s="2"/>
      <c r="AT241" s="2"/>
      <c r="AU241" s="11">
        <f t="shared" si="11"/>
        <v>488.7</v>
      </c>
      <c r="AV241" s="2"/>
      <c r="AW241" s="5">
        <f t="shared" si="19"/>
        <v>3.2793634636121842E-3</v>
      </c>
      <c r="AX241" s="13">
        <v>45663</v>
      </c>
      <c r="AY241" s="2">
        <v>22.5</v>
      </c>
      <c r="AZ241" s="2"/>
      <c r="BA241" s="2"/>
      <c r="BB241" s="2"/>
      <c r="BC241" s="2">
        <f t="shared" si="12"/>
        <v>22.5</v>
      </c>
      <c r="BD241" s="2"/>
      <c r="BE241" s="5">
        <f t="shared" si="20"/>
        <v>1.7937700686667252E-2</v>
      </c>
      <c r="BF241" s="13">
        <v>45663</v>
      </c>
      <c r="BG241" s="2">
        <v>155.1</v>
      </c>
      <c r="BH241" s="2"/>
      <c r="BI241" s="2"/>
      <c r="BJ241" s="2"/>
      <c r="BK241" s="2">
        <f t="shared" si="13"/>
        <v>155.1</v>
      </c>
      <c r="BL241" s="2"/>
      <c r="BM241" s="5">
        <f t="shared" si="22"/>
        <v>-3.8610086574594311E-3</v>
      </c>
    </row>
    <row r="242" spans="1:65" ht="15.75" customHeight="1" x14ac:dyDescent="0.35">
      <c r="A242" s="676"/>
      <c r="B242" s="13">
        <v>45664</v>
      </c>
      <c r="C242" s="2">
        <v>9.6</v>
      </c>
      <c r="D242" s="2"/>
      <c r="E242" s="2"/>
      <c r="F242" s="2"/>
      <c r="G242" s="11">
        <f t="shared" si="14"/>
        <v>9.6</v>
      </c>
      <c r="H242" s="2"/>
      <c r="I242" s="5">
        <f t="shared" si="21"/>
        <v>1.0471299867295437E-2</v>
      </c>
      <c r="J242" s="13">
        <v>45664</v>
      </c>
      <c r="K242" s="2">
        <v>32.200000000000003</v>
      </c>
      <c r="L242" s="2"/>
      <c r="M242" s="2"/>
      <c r="N242" s="2"/>
      <c r="O242" s="11">
        <f t="shared" si="7"/>
        <v>32.200000000000003</v>
      </c>
      <c r="P242" s="2"/>
      <c r="Q242" s="5">
        <f t="shared" si="15"/>
        <v>-9.2736367853291021E-3</v>
      </c>
      <c r="R242" s="13">
        <v>45664</v>
      </c>
      <c r="S242" s="2">
        <v>326.10000000000002</v>
      </c>
      <c r="T242" s="2"/>
      <c r="U242" s="2"/>
      <c r="V242" s="2"/>
      <c r="W242" s="11">
        <f t="shared" si="8"/>
        <v>326.10000000000002</v>
      </c>
      <c r="X242" s="2"/>
      <c r="Y242" s="5">
        <f t="shared" si="16"/>
        <v>2.7637051216179423E-3</v>
      </c>
      <c r="Z242" s="13">
        <v>45664</v>
      </c>
      <c r="AA242" s="2">
        <v>901.3</v>
      </c>
      <c r="AB242" s="2"/>
      <c r="AC242" s="2"/>
      <c r="AD242" s="2"/>
      <c r="AE242" s="2">
        <f t="shared" si="9"/>
        <v>901.3</v>
      </c>
      <c r="AF242" s="2"/>
      <c r="AG242" s="5">
        <f t="shared" si="17"/>
        <v>-2.2165585934337162E-3</v>
      </c>
      <c r="AH242" s="13">
        <v>45664</v>
      </c>
      <c r="AI242" s="2">
        <v>629.9</v>
      </c>
      <c r="AJ242" s="2"/>
      <c r="AK242" s="2"/>
      <c r="AL242" s="2"/>
      <c r="AM242" s="2">
        <f t="shared" si="10"/>
        <v>629.9</v>
      </c>
      <c r="AN242" s="2"/>
      <c r="AO242" s="5">
        <f t="shared" si="18"/>
        <v>-5.2252513789739063E-3</v>
      </c>
      <c r="AP242" s="13">
        <v>45664</v>
      </c>
      <c r="AQ242" s="11">
        <v>488.3</v>
      </c>
      <c r="AR242" s="2"/>
      <c r="AS242" s="2"/>
      <c r="AT242" s="2"/>
      <c r="AU242" s="11">
        <f t="shared" si="11"/>
        <v>488.3</v>
      </c>
      <c r="AV242" s="2"/>
      <c r="AW242" s="5">
        <f t="shared" si="19"/>
        <v>-8.1883320849448647E-4</v>
      </c>
      <c r="AX242" s="13">
        <v>45664</v>
      </c>
      <c r="AY242" s="2">
        <v>22.2</v>
      </c>
      <c r="AZ242" s="2"/>
      <c r="BA242" s="2"/>
      <c r="BB242" s="2"/>
      <c r="BC242" s="2">
        <f t="shared" si="12"/>
        <v>22.2</v>
      </c>
      <c r="BD242" s="2"/>
      <c r="BE242" s="5">
        <f t="shared" si="20"/>
        <v>-1.3423020332140774E-2</v>
      </c>
      <c r="BF242" s="13">
        <v>45664</v>
      </c>
      <c r="BG242" s="2">
        <v>153.6</v>
      </c>
      <c r="BH242" s="2"/>
      <c r="BI242" s="2"/>
      <c r="BJ242" s="2"/>
      <c r="BK242" s="2">
        <f t="shared" si="13"/>
        <v>153.6</v>
      </c>
      <c r="BL242" s="2"/>
      <c r="BM242" s="5">
        <f t="shared" si="22"/>
        <v>-9.7182494689213392E-3</v>
      </c>
    </row>
    <row r="243" spans="1:65" ht="15.75" customHeight="1" x14ac:dyDescent="0.35">
      <c r="A243" s="676"/>
      <c r="B243" s="13">
        <v>45665</v>
      </c>
      <c r="C243" s="2">
        <v>9.5</v>
      </c>
      <c r="D243" s="2"/>
      <c r="E243" s="2"/>
      <c r="F243" s="2"/>
      <c r="G243" s="11">
        <f t="shared" si="14"/>
        <v>9.5</v>
      </c>
      <c r="H243" s="2"/>
      <c r="I243" s="5">
        <f t="shared" si="21"/>
        <v>-1.0471299867295366E-2</v>
      </c>
      <c r="J243" s="13">
        <v>45665</v>
      </c>
      <c r="K243" s="2">
        <v>32</v>
      </c>
      <c r="L243" s="2"/>
      <c r="M243" s="2"/>
      <c r="N243" s="2"/>
      <c r="O243" s="11">
        <f t="shared" si="7"/>
        <v>32</v>
      </c>
      <c r="P243" s="2"/>
      <c r="Q243" s="5">
        <f t="shared" si="15"/>
        <v>-6.2305497506361975E-3</v>
      </c>
      <c r="R243" s="13">
        <v>45665</v>
      </c>
      <c r="S243" s="2">
        <v>326.7</v>
      </c>
      <c r="T243" s="2"/>
      <c r="U243" s="2"/>
      <c r="V243" s="2"/>
      <c r="W243" s="11">
        <f t="shared" si="8"/>
        <v>326.7</v>
      </c>
      <c r="X243" s="2"/>
      <c r="Y243" s="5">
        <f t="shared" si="16"/>
        <v>1.8382358117509823E-3</v>
      </c>
      <c r="Z243" s="13">
        <v>45665</v>
      </c>
      <c r="AA243" s="2">
        <v>893.3</v>
      </c>
      <c r="AB243" s="2"/>
      <c r="AC243" s="2"/>
      <c r="AD243" s="2"/>
      <c r="AE243" s="2">
        <f t="shared" si="9"/>
        <v>893.3</v>
      </c>
      <c r="AF243" s="2"/>
      <c r="AG243" s="5">
        <f t="shared" si="17"/>
        <v>-8.9156948545706625E-3</v>
      </c>
      <c r="AH243" s="13">
        <v>45665</v>
      </c>
      <c r="AI243" s="2">
        <v>630</v>
      </c>
      <c r="AJ243" s="2"/>
      <c r="AK243" s="2"/>
      <c r="AL243" s="2"/>
      <c r="AM243" s="2">
        <f t="shared" si="10"/>
        <v>630</v>
      </c>
      <c r="AN243" s="2"/>
      <c r="AO243" s="5">
        <f t="shared" si="18"/>
        <v>1.5874275769508074E-4</v>
      </c>
      <c r="AP243" s="13">
        <v>45665</v>
      </c>
      <c r="AQ243" s="11">
        <v>487.2</v>
      </c>
      <c r="AR243" s="2"/>
      <c r="AS243" s="2"/>
      <c r="AT243" s="2"/>
      <c r="AU243" s="11">
        <f t="shared" si="11"/>
        <v>487.2</v>
      </c>
      <c r="AV243" s="2"/>
      <c r="AW243" s="5">
        <f t="shared" si="19"/>
        <v>-2.2552546719273509E-3</v>
      </c>
      <c r="AX243" s="13">
        <v>45665</v>
      </c>
      <c r="AY243" s="2">
        <v>22.4</v>
      </c>
      <c r="AZ243" s="2"/>
      <c r="BA243" s="2"/>
      <c r="BB243" s="2"/>
      <c r="BC243" s="2">
        <f t="shared" si="12"/>
        <v>22.4</v>
      </c>
      <c r="BD243" s="2"/>
      <c r="BE243" s="5">
        <f t="shared" si="20"/>
        <v>8.9686699827603161E-3</v>
      </c>
      <c r="BF243" s="13">
        <v>45665</v>
      </c>
      <c r="BG243" s="2">
        <v>153.9</v>
      </c>
      <c r="BH243" s="2"/>
      <c r="BI243" s="2"/>
      <c r="BJ243" s="2"/>
      <c r="BK243" s="2">
        <f t="shared" si="13"/>
        <v>153.9</v>
      </c>
      <c r="BL243" s="2"/>
      <c r="BM243" s="5">
        <f t="shared" si="22"/>
        <v>1.9512201312617493E-3</v>
      </c>
    </row>
    <row r="244" spans="1:65" ht="15.75" customHeight="1" x14ac:dyDescent="0.35">
      <c r="A244" s="676"/>
      <c r="B244" s="13">
        <v>45666</v>
      </c>
      <c r="C244" s="2">
        <v>9.5</v>
      </c>
      <c r="D244" s="2"/>
      <c r="E244" s="2"/>
      <c r="F244" s="2"/>
      <c r="G244" s="11">
        <f t="shared" si="14"/>
        <v>9.5</v>
      </c>
      <c r="H244" s="2"/>
      <c r="I244" s="5">
        <f t="shared" si="21"/>
        <v>0</v>
      </c>
      <c r="J244" s="13">
        <v>45666</v>
      </c>
      <c r="K244" s="2">
        <v>31.7</v>
      </c>
      <c r="L244" s="2"/>
      <c r="M244" s="2"/>
      <c r="N244" s="2"/>
      <c r="O244" s="11">
        <f t="shared" si="7"/>
        <v>31.7</v>
      </c>
      <c r="P244" s="2"/>
      <c r="Q244" s="5">
        <f t="shared" si="15"/>
        <v>-9.4192219164916397E-3</v>
      </c>
      <c r="R244" s="13">
        <v>45666</v>
      </c>
      <c r="S244" s="2">
        <v>332.4</v>
      </c>
      <c r="T244" s="2"/>
      <c r="U244" s="2"/>
      <c r="V244" s="2"/>
      <c r="W244" s="11">
        <f t="shared" si="8"/>
        <v>332.4</v>
      </c>
      <c r="X244" s="2"/>
      <c r="Y244" s="5">
        <f t="shared" si="16"/>
        <v>1.729674437426864E-2</v>
      </c>
      <c r="Z244" s="13">
        <v>45666</v>
      </c>
      <c r="AA244" s="2">
        <v>899.7</v>
      </c>
      <c r="AB244" s="2"/>
      <c r="AC244" s="2"/>
      <c r="AD244" s="2"/>
      <c r="AE244" s="2">
        <f t="shared" si="9"/>
        <v>899.7</v>
      </c>
      <c r="AF244" s="2"/>
      <c r="AG244" s="5">
        <f t="shared" si="17"/>
        <v>7.1389037152798374E-3</v>
      </c>
      <c r="AH244" s="13">
        <v>45666</v>
      </c>
      <c r="AI244" s="2">
        <v>628.79999999999995</v>
      </c>
      <c r="AJ244" s="2"/>
      <c r="AK244" s="2"/>
      <c r="AL244" s="2"/>
      <c r="AM244" s="2">
        <f t="shared" si="10"/>
        <v>628.79999999999995</v>
      </c>
      <c r="AN244" s="2"/>
      <c r="AO244" s="5">
        <f t="shared" si="18"/>
        <v>-1.9065782705816427E-3</v>
      </c>
      <c r="AP244" s="13">
        <v>45666</v>
      </c>
      <c r="AQ244" s="11">
        <v>486.2</v>
      </c>
      <c r="AR244" s="2"/>
      <c r="AS244" s="2"/>
      <c r="AT244" s="2"/>
      <c r="AU244" s="11">
        <f t="shared" si="11"/>
        <v>486.2</v>
      </c>
      <c r="AV244" s="2"/>
      <c r="AW244" s="5">
        <f t="shared" si="19"/>
        <v>-2.0546545136642517E-3</v>
      </c>
      <c r="AX244" s="13">
        <v>45666</v>
      </c>
      <c r="AY244" s="2">
        <v>22</v>
      </c>
      <c r="AZ244" s="2"/>
      <c r="BA244" s="2"/>
      <c r="BB244" s="2"/>
      <c r="BC244" s="2">
        <f t="shared" si="12"/>
        <v>22</v>
      </c>
      <c r="BD244" s="2"/>
      <c r="BE244" s="5">
        <f t="shared" si="20"/>
        <v>-1.801850550267825E-2</v>
      </c>
      <c r="BF244" s="13">
        <v>45666</v>
      </c>
      <c r="BG244" s="2">
        <v>154.69999999999999</v>
      </c>
      <c r="BH244" s="2"/>
      <c r="BI244" s="2"/>
      <c r="BJ244" s="2"/>
      <c r="BK244" s="2">
        <f t="shared" si="13"/>
        <v>154.69999999999999</v>
      </c>
      <c r="BL244" s="2"/>
      <c r="BM244" s="5">
        <f t="shared" si="22"/>
        <v>5.1847167341868951E-3</v>
      </c>
    </row>
    <row r="245" spans="1:65" ht="15.75" customHeight="1" x14ac:dyDescent="0.35">
      <c r="A245" s="676"/>
      <c r="B245" s="13">
        <v>45669</v>
      </c>
      <c r="C245" s="2">
        <v>9.5</v>
      </c>
      <c r="D245" s="2"/>
      <c r="E245" s="2"/>
      <c r="F245" s="2"/>
      <c r="G245" s="11">
        <f t="shared" si="14"/>
        <v>9.5</v>
      </c>
      <c r="H245" s="2"/>
      <c r="I245" s="5">
        <f t="shared" si="21"/>
        <v>0</v>
      </c>
      <c r="J245" s="13">
        <v>45669</v>
      </c>
      <c r="K245" s="2">
        <v>31.5</v>
      </c>
      <c r="L245" s="2"/>
      <c r="M245" s="2"/>
      <c r="N245" s="2"/>
      <c r="O245" s="11">
        <f t="shared" si="7"/>
        <v>31.5</v>
      </c>
      <c r="P245" s="2"/>
      <c r="Q245" s="5">
        <f t="shared" si="15"/>
        <v>-6.3291350516475123E-3</v>
      </c>
      <c r="R245" s="13">
        <v>45669</v>
      </c>
      <c r="S245" s="2">
        <v>335</v>
      </c>
      <c r="T245" s="2"/>
      <c r="U245" s="2"/>
      <c r="V245" s="2"/>
      <c r="W245" s="11">
        <f t="shared" si="8"/>
        <v>335</v>
      </c>
      <c r="X245" s="2"/>
      <c r="Y245" s="5">
        <f t="shared" si="16"/>
        <v>7.7914688437733448E-3</v>
      </c>
      <c r="Z245" s="13">
        <v>45669</v>
      </c>
      <c r="AA245" s="2">
        <v>892.8</v>
      </c>
      <c r="AB245" s="2"/>
      <c r="AC245" s="2"/>
      <c r="AD245" s="2"/>
      <c r="AE245" s="2">
        <f t="shared" si="9"/>
        <v>892.8</v>
      </c>
      <c r="AF245" s="2"/>
      <c r="AG245" s="5">
        <f t="shared" si="17"/>
        <v>-7.6987827960267301E-3</v>
      </c>
      <c r="AH245" s="13">
        <v>45669</v>
      </c>
      <c r="AI245" s="2">
        <v>620.20000000000005</v>
      </c>
      <c r="AJ245" s="2"/>
      <c r="AK245" s="2"/>
      <c r="AL245" s="2"/>
      <c r="AM245" s="2">
        <f t="shared" si="10"/>
        <v>620.20000000000005</v>
      </c>
      <c r="AN245" s="2"/>
      <c r="AO245" s="5">
        <f t="shared" si="18"/>
        <v>-1.3771234448648098E-2</v>
      </c>
      <c r="AP245" s="13">
        <v>45669</v>
      </c>
      <c r="AQ245" s="11">
        <v>487.2</v>
      </c>
      <c r="AR245" s="2"/>
      <c r="AS245" s="2"/>
      <c r="AT245" s="2"/>
      <c r="AU245" s="11">
        <f t="shared" si="11"/>
        <v>487.2</v>
      </c>
      <c r="AV245" s="2"/>
      <c r="AW245" s="5">
        <f t="shared" si="19"/>
        <v>2.0546545136643757E-3</v>
      </c>
      <c r="AX245" s="13">
        <v>45669</v>
      </c>
      <c r="AY245" s="2">
        <v>21.8</v>
      </c>
      <c r="AZ245" s="2"/>
      <c r="BA245" s="2"/>
      <c r="BB245" s="2"/>
      <c r="BC245" s="2">
        <f t="shared" si="12"/>
        <v>21.8</v>
      </c>
      <c r="BD245" s="2"/>
      <c r="BE245" s="5">
        <f t="shared" si="20"/>
        <v>-9.1324835632724741E-3</v>
      </c>
      <c r="BF245" s="13">
        <v>45669</v>
      </c>
      <c r="BG245" s="2">
        <v>153.19999999999999</v>
      </c>
      <c r="BH245" s="2"/>
      <c r="BI245" s="2"/>
      <c r="BJ245" s="2"/>
      <c r="BK245" s="2">
        <f t="shared" si="13"/>
        <v>153.19999999999999</v>
      </c>
      <c r="BL245" s="2">
        <v>1</v>
      </c>
      <c r="BM245" s="5">
        <f t="shared" si="22"/>
        <v>-3.2372964497913107E-3</v>
      </c>
    </row>
    <row r="246" spans="1:65" ht="15.75" customHeight="1" x14ac:dyDescent="0.35">
      <c r="A246" s="676"/>
      <c r="B246" s="13">
        <v>45670</v>
      </c>
      <c r="C246" s="2">
        <v>9.4</v>
      </c>
      <c r="D246" s="2"/>
      <c r="E246" s="2"/>
      <c r="F246" s="2"/>
      <c r="G246" s="11">
        <f t="shared" si="14"/>
        <v>9.4</v>
      </c>
      <c r="H246" s="2"/>
      <c r="I246" s="5">
        <f t="shared" si="21"/>
        <v>-1.0582109330536859E-2</v>
      </c>
      <c r="J246" s="13">
        <v>45670</v>
      </c>
      <c r="K246" s="2">
        <v>30.6</v>
      </c>
      <c r="L246" s="2"/>
      <c r="M246" s="2"/>
      <c r="N246" s="2"/>
      <c r="O246" s="11">
        <f t="shared" si="7"/>
        <v>30.6</v>
      </c>
      <c r="P246" s="2"/>
      <c r="Q246" s="5">
        <f t="shared" si="15"/>
        <v>-2.8987536873252298E-2</v>
      </c>
      <c r="R246" s="13">
        <v>45670</v>
      </c>
      <c r="S246" s="2">
        <v>339.1</v>
      </c>
      <c r="T246" s="2"/>
      <c r="U246" s="2"/>
      <c r="V246" s="2"/>
      <c r="W246" s="11">
        <f t="shared" si="8"/>
        <v>339.1</v>
      </c>
      <c r="X246" s="2"/>
      <c r="Y246" s="5">
        <f t="shared" si="16"/>
        <v>1.2164517306526498E-2</v>
      </c>
      <c r="Z246" s="13">
        <v>45670</v>
      </c>
      <c r="AA246" s="2">
        <v>892.7</v>
      </c>
      <c r="AB246" s="2"/>
      <c r="AC246" s="2"/>
      <c r="AD246" s="2"/>
      <c r="AE246" s="2">
        <f t="shared" si="9"/>
        <v>892.7</v>
      </c>
      <c r="AF246" s="2"/>
      <c r="AG246" s="5">
        <f t="shared" si="17"/>
        <v>-1.1201344173004818E-4</v>
      </c>
      <c r="AH246" s="13">
        <v>45670</v>
      </c>
      <c r="AI246" s="2">
        <v>612</v>
      </c>
      <c r="AJ246" s="2"/>
      <c r="AK246" s="2"/>
      <c r="AL246" s="2"/>
      <c r="AM246" s="2">
        <f t="shared" si="10"/>
        <v>612</v>
      </c>
      <c r="AN246" s="2"/>
      <c r="AO246" s="5">
        <f t="shared" si="18"/>
        <v>-1.3309724154022593E-2</v>
      </c>
      <c r="AP246" s="13">
        <v>45670</v>
      </c>
      <c r="AQ246" s="11">
        <v>491.2</v>
      </c>
      <c r="AR246" s="2"/>
      <c r="AS246" s="2"/>
      <c r="AT246" s="2"/>
      <c r="AU246" s="11">
        <f t="shared" si="11"/>
        <v>491.2</v>
      </c>
      <c r="AV246" s="2"/>
      <c r="AW246" s="5">
        <f t="shared" si="19"/>
        <v>8.1766604372455389E-3</v>
      </c>
      <c r="AX246" s="13">
        <v>45670</v>
      </c>
      <c r="AY246" s="2">
        <v>21.7</v>
      </c>
      <c r="AZ246" s="2"/>
      <c r="BA246" s="2"/>
      <c r="BB246" s="2"/>
      <c r="BC246" s="2">
        <f t="shared" si="12"/>
        <v>21.7</v>
      </c>
      <c r="BD246" s="2"/>
      <c r="BE246" s="5">
        <f t="shared" si="20"/>
        <v>-4.5977092486295425E-3</v>
      </c>
      <c r="BF246" s="13">
        <v>45670</v>
      </c>
      <c r="BG246" s="2">
        <v>154.30000000000001</v>
      </c>
      <c r="BH246" s="2"/>
      <c r="BI246" s="2"/>
      <c r="BJ246" s="2"/>
      <c r="BK246" s="2">
        <f t="shared" si="13"/>
        <v>154.30000000000001</v>
      </c>
      <c r="BL246" s="2"/>
      <c r="BM246" s="5">
        <f t="shared" si="22"/>
        <v>7.1545020626244595E-3</v>
      </c>
    </row>
    <row r="247" spans="1:65" ht="15.75" customHeight="1" x14ac:dyDescent="0.35">
      <c r="A247" s="676"/>
      <c r="B247" s="13">
        <v>45671</v>
      </c>
      <c r="C247" s="2">
        <v>9.1999999999999993</v>
      </c>
      <c r="D247" s="2"/>
      <c r="E247" s="2"/>
      <c r="F247" s="2"/>
      <c r="G247" s="11">
        <f t="shared" si="14"/>
        <v>9.1999999999999993</v>
      </c>
      <c r="H247" s="2"/>
      <c r="I247" s="5">
        <f t="shared" si="21"/>
        <v>-2.150620522096373E-2</v>
      </c>
      <c r="J247" s="13">
        <v>45671</v>
      </c>
      <c r="K247" s="2">
        <v>30.6</v>
      </c>
      <c r="L247" s="2"/>
      <c r="M247" s="2"/>
      <c r="N247" s="2"/>
      <c r="O247" s="11">
        <f t="shared" si="7"/>
        <v>30.6</v>
      </c>
      <c r="P247" s="2"/>
      <c r="Q247" s="5">
        <f t="shared" si="15"/>
        <v>0</v>
      </c>
      <c r="R247" s="13">
        <v>45671</v>
      </c>
      <c r="S247" s="2">
        <v>332.9</v>
      </c>
      <c r="T247" s="2"/>
      <c r="U247" s="2"/>
      <c r="V247" s="2"/>
      <c r="W247" s="11">
        <f t="shared" si="8"/>
        <v>332.9</v>
      </c>
      <c r="X247" s="2"/>
      <c r="Y247" s="5">
        <f t="shared" si="16"/>
        <v>-1.8452904550613828E-2</v>
      </c>
      <c r="Z247" s="13">
        <v>45671</v>
      </c>
      <c r="AA247" s="2">
        <v>893.4</v>
      </c>
      <c r="AB247" s="2"/>
      <c r="AC247" s="2"/>
      <c r="AD247" s="2"/>
      <c r="AE247" s="2">
        <f t="shared" si="9"/>
        <v>893.4</v>
      </c>
      <c r="AF247" s="2"/>
      <c r="AG247" s="5">
        <f t="shared" si="17"/>
        <v>7.8383073270182305E-4</v>
      </c>
      <c r="AH247" s="13">
        <v>45671</v>
      </c>
      <c r="AI247" s="2">
        <v>608.6</v>
      </c>
      <c r="AJ247" s="2"/>
      <c r="AK247" s="2"/>
      <c r="AL247" s="2"/>
      <c r="AM247" s="2">
        <f t="shared" si="10"/>
        <v>608.6</v>
      </c>
      <c r="AN247" s="2"/>
      <c r="AO247" s="5">
        <f t="shared" si="18"/>
        <v>-5.5710450494553601E-3</v>
      </c>
      <c r="AP247" s="13">
        <v>45671</v>
      </c>
      <c r="AQ247" s="11">
        <v>514.5</v>
      </c>
      <c r="AR247" s="2"/>
      <c r="AS247" s="2"/>
      <c r="AT247" s="2"/>
      <c r="AU247" s="11">
        <f t="shared" si="11"/>
        <v>514.5</v>
      </c>
      <c r="AV247" s="2"/>
      <c r="AW247" s="5">
        <f t="shared" si="19"/>
        <v>4.634417844117153E-2</v>
      </c>
      <c r="AX247" s="13">
        <v>45671</v>
      </c>
      <c r="AY247" s="2">
        <v>21.8</v>
      </c>
      <c r="AZ247" s="2"/>
      <c r="BA247" s="2"/>
      <c r="BB247" s="2"/>
      <c r="BC247" s="2">
        <f t="shared" si="12"/>
        <v>21.8</v>
      </c>
      <c r="BD247" s="2"/>
      <c r="BE247" s="5">
        <f t="shared" si="20"/>
        <v>4.5977092486295494E-3</v>
      </c>
      <c r="BF247" s="13">
        <v>45671</v>
      </c>
      <c r="BG247" s="2">
        <v>155</v>
      </c>
      <c r="BH247" s="2"/>
      <c r="BI247" s="2"/>
      <c r="BJ247" s="2"/>
      <c r="BK247" s="2">
        <f t="shared" si="13"/>
        <v>155</v>
      </c>
      <c r="BL247" s="2"/>
      <c r="BM247" s="5">
        <f t="shared" si="22"/>
        <v>4.526357550131456E-3</v>
      </c>
    </row>
    <row r="248" spans="1:65" ht="15.75" customHeight="1" x14ac:dyDescent="0.35">
      <c r="A248" s="676"/>
      <c r="B248" s="13">
        <v>45672</v>
      </c>
      <c r="C248" s="2">
        <v>9</v>
      </c>
      <c r="D248" s="2"/>
      <c r="E248" s="2"/>
      <c r="F248" s="2"/>
      <c r="G248" s="11">
        <f t="shared" si="14"/>
        <v>9</v>
      </c>
      <c r="H248" s="2"/>
      <c r="I248" s="5">
        <f t="shared" si="21"/>
        <v>-2.1978906718775115E-2</v>
      </c>
      <c r="J248" s="13">
        <v>45672</v>
      </c>
      <c r="K248" s="2">
        <v>30.5</v>
      </c>
      <c r="L248" s="2"/>
      <c r="M248" s="2"/>
      <c r="N248" s="2"/>
      <c r="O248" s="11">
        <f t="shared" si="7"/>
        <v>30.5</v>
      </c>
      <c r="P248" s="2"/>
      <c r="Q248" s="5">
        <f t="shared" si="15"/>
        <v>-3.273325344969249E-3</v>
      </c>
      <c r="R248" s="13">
        <v>45672</v>
      </c>
      <c r="S248" s="2">
        <v>329.4</v>
      </c>
      <c r="T248" s="2"/>
      <c r="U248" s="2"/>
      <c r="V248" s="2"/>
      <c r="W248" s="11">
        <f t="shared" si="8"/>
        <v>329.4</v>
      </c>
      <c r="X248" s="2"/>
      <c r="Y248" s="5">
        <f t="shared" si="16"/>
        <v>-1.0569326837439261E-2</v>
      </c>
      <c r="Z248" s="13">
        <v>45672</v>
      </c>
      <c r="AA248" s="2">
        <v>894.1</v>
      </c>
      <c r="AB248" s="2"/>
      <c r="AC248" s="2"/>
      <c r="AD248" s="2"/>
      <c r="AE248" s="2">
        <f t="shared" si="9"/>
        <v>894.1</v>
      </c>
      <c r="AF248" s="2"/>
      <c r="AG248" s="5">
        <f t="shared" si="17"/>
        <v>7.8321682325416351E-4</v>
      </c>
      <c r="AH248" s="13">
        <v>45672</v>
      </c>
      <c r="AI248" s="2">
        <v>599</v>
      </c>
      <c r="AJ248" s="2"/>
      <c r="AK248" s="2"/>
      <c r="AL248" s="2"/>
      <c r="AM248" s="2">
        <f t="shared" si="10"/>
        <v>599</v>
      </c>
      <c r="AN248" s="2"/>
      <c r="AO248" s="5">
        <f t="shared" si="18"/>
        <v>-1.5899639347421442E-2</v>
      </c>
      <c r="AP248" s="13">
        <v>45672</v>
      </c>
      <c r="AQ248" s="11">
        <v>504.3</v>
      </c>
      <c r="AR248" s="2"/>
      <c r="AS248" s="2"/>
      <c r="AT248" s="2"/>
      <c r="AU248" s="11">
        <f t="shared" si="11"/>
        <v>504.3</v>
      </c>
      <c r="AV248" s="2"/>
      <c r="AW248" s="5">
        <f t="shared" si="19"/>
        <v>-2.0024226191424618E-2</v>
      </c>
      <c r="AX248" s="13">
        <v>45672</v>
      </c>
      <c r="AY248" s="2">
        <v>21.7</v>
      </c>
      <c r="AZ248" s="2"/>
      <c r="BA248" s="2"/>
      <c r="BB248" s="2"/>
      <c r="BC248" s="2">
        <f t="shared" si="12"/>
        <v>21.7</v>
      </c>
      <c r="BD248" s="2"/>
      <c r="BE248" s="5">
        <f t="shared" si="20"/>
        <v>-4.5977092486295425E-3</v>
      </c>
      <c r="BF248" s="13">
        <v>45672</v>
      </c>
      <c r="BG248" s="2">
        <v>155.6</v>
      </c>
      <c r="BH248" s="2"/>
      <c r="BI248" s="2"/>
      <c r="BJ248" s="2"/>
      <c r="BK248" s="2">
        <f t="shared" si="13"/>
        <v>155.6</v>
      </c>
      <c r="BL248" s="2"/>
      <c r="BM248" s="5">
        <f t="shared" si="22"/>
        <v>3.8634948250446392E-3</v>
      </c>
    </row>
    <row r="249" spans="1:65" ht="15.75" customHeight="1" x14ac:dyDescent="0.35">
      <c r="A249" s="676"/>
      <c r="B249" s="13">
        <v>45673</v>
      </c>
      <c r="C249" s="2">
        <v>8.9</v>
      </c>
      <c r="D249" s="2"/>
      <c r="E249" s="2"/>
      <c r="F249" s="2"/>
      <c r="G249" s="11">
        <f t="shared" si="14"/>
        <v>8.9</v>
      </c>
      <c r="H249" s="2"/>
      <c r="I249" s="5">
        <f t="shared" si="21"/>
        <v>-1.1173300598125189E-2</v>
      </c>
      <c r="J249" s="13">
        <v>45673</v>
      </c>
      <c r="K249" s="2">
        <v>30.4</v>
      </c>
      <c r="L249" s="2"/>
      <c r="M249" s="2"/>
      <c r="N249" s="2"/>
      <c r="O249" s="11">
        <f t="shared" si="7"/>
        <v>30.4</v>
      </c>
      <c r="P249" s="2"/>
      <c r="Q249" s="5">
        <f t="shared" si="15"/>
        <v>-3.2840752011899961E-3</v>
      </c>
      <c r="R249" s="13">
        <v>45673</v>
      </c>
      <c r="S249" s="2">
        <v>331.1</v>
      </c>
      <c r="T249" s="2"/>
      <c r="U249" s="2"/>
      <c r="V249" s="2"/>
      <c r="W249" s="11">
        <f t="shared" si="8"/>
        <v>331.1</v>
      </c>
      <c r="X249" s="2"/>
      <c r="Y249" s="5">
        <f t="shared" si="16"/>
        <v>5.1476268096607323E-3</v>
      </c>
      <c r="Z249" s="13">
        <v>45673</v>
      </c>
      <c r="AA249" s="2">
        <v>890.5</v>
      </c>
      <c r="AB249" s="2"/>
      <c r="AC249" s="2"/>
      <c r="AD249" s="2"/>
      <c r="AE249" s="2">
        <f t="shared" si="9"/>
        <v>890.5</v>
      </c>
      <c r="AF249" s="2"/>
      <c r="AG249" s="5">
        <f t="shared" si="17"/>
        <v>-4.0345230115560286E-3</v>
      </c>
      <c r="AH249" s="13">
        <v>45673</v>
      </c>
      <c r="AI249" s="2">
        <v>590.1</v>
      </c>
      <c r="AJ249" s="2"/>
      <c r="AK249" s="2"/>
      <c r="AL249" s="2"/>
      <c r="AM249" s="2">
        <f t="shared" si="10"/>
        <v>590.1</v>
      </c>
      <c r="AN249" s="2"/>
      <c r="AO249" s="5">
        <f t="shared" si="18"/>
        <v>-1.4969584052326255E-2</v>
      </c>
      <c r="AP249" s="13">
        <v>45673</v>
      </c>
      <c r="AQ249" s="11">
        <v>499.2</v>
      </c>
      <c r="AR249" s="2"/>
      <c r="AS249" s="2"/>
      <c r="AT249" s="2"/>
      <c r="AU249" s="11">
        <f t="shared" si="11"/>
        <v>499.2</v>
      </c>
      <c r="AV249" s="2"/>
      <c r="AW249" s="5">
        <f t="shared" si="19"/>
        <v>-1.0164512027461756E-2</v>
      </c>
      <c r="AX249" s="13">
        <v>45673</v>
      </c>
      <c r="AY249" s="2">
        <v>21.8</v>
      </c>
      <c r="AZ249" s="2"/>
      <c r="BA249" s="2"/>
      <c r="BB249" s="2"/>
      <c r="BC249" s="2">
        <f t="shared" si="12"/>
        <v>21.8</v>
      </c>
      <c r="BD249" s="2"/>
      <c r="BE249" s="5">
        <f t="shared" si="20"/>
        <v>4.5977092486295494E-3</v>
      </c>
      <c r="BF249" s="13">
        <v>45673</v>
      </c>
      <c r="BG249" s="2">
        <v>151.6</v>
      </c>
      <c r="BH249" s="2"/>
      <c r="BI249" s="2"/>
      <c r="BJ249" s="2"/>
      <c r="BK249" s="2">
        <f t="shared" si="13"/>
        <v>151.6</v>
      </c>
      <c r="BL249" s="2"/>
      <c r="BM249" s="5">
        <f t="shared" si="22"/>
        <v>-2.6043138536019979E-2</v>
      </c>
    </row>
    <row r="250" spans="1:65" ht="15.75" customHeight="1" x14ac:dyDescent="0.35">
      <c r="A250" s="676"/>
      <c r="B250" s="13">
        <v>45676</v>
      </c>
      <c r="C250" s="2">
        <v>8.8000000000000007</v>
      </c>
      <c r="D250" s="2"/>
      <c r="E250" s="2"/>
      <c r="F250" s="2"/>
      <c r="G250" s="11">
        <f t="shared" si="14"/>
        <v>8.8000000000000007</v>
      </c>
      <c r="H250" s="2"/>
      <c r="I250" s="5">
        <f t="shared" si="21"/>
        <v>-1.1299555253933282E-2</v>
      </c>
      <c r="J250" s="13">
        <v>45676</v>
      </c>
      <c r="K250" s="2">
        <v>30.6</v>
      </c>
      <c r="L250" s="2"/>
      <c r="M250" s="2"/>
      <c r="N250" s="2"/>
      <c r="O250" s="11">
        <f t="shared" si="7"/>
        <v>30.6</v>
      </c>
      <c r="P250" s="2"/>
      <c r="Q250" s="5">
        <f t="shared" si="15"/>
        <v>6.5574005461592607E-3</v>
      </c>
      <c r="R250" s="13">
        <v>45676</v>
      </c>
      <c r="S250" s="2">
        <v>332.5</v>
      </c>
      <c r="T250" s="2"/>
      <c r="U250" s="2"/>
      <c r="V250" s="2"/>
      <c r="W250" s="11">
        <f t="shared" si="8"/>
        <v>332.5</v>
      </c>
      <c r="X250" s="2"/>
      <c r="Y250" s="5">
        <f t="shared" si="16"/>
        <v>4.2194155427080684E-3</v>
      </c>
      <c r="Z250" s="13">
        <v>45676</v>
      </c>
      <c r="AA250" s="2">
        <v>887.4</v>
      </c>
      <c r="AB250" s="2"/>
      <c r="AC250" s="2"/>
      <c r="AD250" s="2"/>
      <c r="AE250" s="2">
        <f t="shared" si="9"/>
        <v>887.4</v>
      </c>
      <c r="AF250" s="2"/>
      <c r="AG250" s="5">
        <f t="shared" si="17"/>
        <v>-3.4872637849072854E-3</v>
      </c>
      <c r="AH250" s="13">
        <v>45676</v>
      </c>
      <c r="AI250" s="2">
        <v>589.79999999999995</v>
      </c>
      <c r="AJ250" s="2"/>
      <c r="AK250" s="2"/>
      <c r="AL250" s="2"/>
      <c r="AM250" s="2">
        <f t="shared" si="10"/>
        <v>589.79999999999995</v>
      </c>
      <c r="AN250" s="2"/>
      <c r="AO250" s="5">
        <f t="shared" si="18"/>
        <v>-5.0851768194727057E-4</v>
      </c>
      <c r="AP250" s="13">
        <v>45676</v>
      </c>
      <c r="AQ250" s="11">
        <v>499.8</v>
      </c>
      <c r="AR250" s="2"/>
      <c r="AS250" s="2"/>
      <c r="AT250" s="2"/>
      <c r="AU250" s="11">
        <f t="shared" si="11"/>
        <v>499.8</v>
      </c>
      <c r="AV250" s="2"/>
      <c r="AW250" s="5">
        <f t="shared" si="19"/>
        <v>1.2012013456341492E-3</v>
      </c>
      <c r="AX250" s="13">
        <v>45676</v>
      </c>
      <c r="AY250" s="2">
        <v>21.6</v>
      </c>
      <c r="AZ250" s="2"/>
      <c r="BA250" s="2"/>
      <c r="BB250" s="2"/>
      <c r="BC250" s="2">
        <f t="shared" si="12"/>
        <v>21.6</v>
      </c>
      <c r="BD250" s="2"/>
      <c r="BE250" s="5">
        <f t="shared" si="20"/>
        <v>-9.2166551049239522E-3</v>
      </c>
      <c r="BF250" s="13">
        <v>45676</v>
      </c>
      <c r="BG250" s="2">
        <v>153.4</v>
      </c>
      <c r="BH250" s="6"/>
      <c r="BI250" s="2"/>
      <c r="BJ250" s="2"/>
      <c r="BK250" s="2">
        <f t="shared" si="13"/>
        <v>153.4</v>
      </c>
      <c r="BL250" s="2"/>
      <c r="BM250" s="5">
        <f t="shared" si="22"/>
        <v>1.180341572488464E-2</v>
      </c>
    </row>
    <row r="251" spans="1:65" ht="15.75" customHeight="1" x14ac:dyDescent="0.35">
      <c r="A251" s="676"/>
      <c r="B251" s="13">
        <v>45677</v>
      </c>
      <c r="C251" s="2">
        <v>8.9</v>
      </c>
      <c r="D251" s="2"/>
      <c r="E251" s="2"/>
      <c r="F251" s="2"/>
      <c r="G251" s="11">
        <f t="shared" si="14"/>
        <v>8.9</v>
      </c>
      <c r="H251" s="2"/>
      <c r="I251" s="5">
        <f t="shared" si="21"/>
        <v>1.1299555253933247E-2</v>
      </c>
      <c r="J251" s="13">
        <v>45677</v>
      </c>
      <c r="K251" s="2">
        <v>31.2</v>
      </c>
      <c r="L251" s="2"/>
      <c r="M251" s="2"/>
      <c r="N251" s="2"/>
      <c r="O251" s="11">
        <f t="shared" si="7"/>
        <v>31.2</v>
      </c>
      <c r="P251" s="2"/>
      <c r="Q251" s="5">
        <f t="shared" si="15"/>
        <v>1.9418085857101516E-2</v>
      </c>
      <c r="R251" s="13">
        <v>45677</v>
      </c>
      <c r="S251" s="2">
        <v>333.1</v>
      </c>
      <c r="T251" s="2"/>
      <c r="U251" s="2"/>
      <c r="V251" s="2"/>
      <c r="W251" s="11">
        <f t="shared" si="8"/>
        <v>333.1</v>
      </c>
      <c r="X251" s="2"/>
      <c r="Y251" s="5">
        <f t="shared" si="16"/>
        <v>1.802885103725125E-3</v>
      </c>
      <c r="Z251" s="13">
        <v>45677</v>
      </c>
      <c r="AA251" s="2">
        <v>918.5</v>
      </c>
      <c r="AB251" s="2"/>
      <c r="AC251" s="2"/>
      <c r="AD251" s="2"/>
      <c r="AE251" s="2">
        <f t="shared" si="9"/>
        <v>918.5</v>
      </c>
      <c r="AF251" s="2"/>
      <c r="AG251" s="5">
        <f t="shared" si="17"/>
        <v>3.4446065710371336E-2</v>
      </c>
      <c r="AH251" s="13">
        <v>45677</v>
      </c>
      <c r="AI251" s="2">
        <v>588.9</v>
      </c>
      <c r="AJ251" s="2"/>
      <c r="AK251" s="2"/>
      <c r="AL251" s="2"/>
      <c r="AM251" s="2">
        <f t="shared" si="10"/>
        <v>588.9</v>
      </c>
      <c r="AN251" s="2"/>
      <c r="AO251" s="5">
        <f t="shared" si="18"/>
        <v>-1.5271064306507059E-3</v>
      </c>
      <c r="AP251" s="13">
        <v>45677</v>
      </c>
      <c r="AQ251" s="11">
        <v>511.3</v>
      </c>
      <c r="AR251" s="2"/>
      <c r="AS251" s="2"/>
      <c r="AT251" s="2"/>
      <c r="AU251" s="11">
        <f t="shared" si="11"/>
        <v>511.3</v>
      </c>
      <c r="AV251" s="2"/>
      <c r="AW251" s="5">
        <f t="shared" si="19"/>
        <v>2.2748483685101593E-2</v>
      </c>
      <c r="AX251" s="13">
        <v>45677</v>
      </c>
      <c r="AY251" s="2">
        <v>22</v>
      </c>
      <c r="AZ251" s="2"/>
      <c r="BA251" s="2"/>
      <c r="BB251" s="2"/>
      <c r="BC251" s="2">
        <f t="shared" si="12"/>
        <v>22</v>
      </c>
      <c r="BD251" s="2"/>
      <c r="BE251" s="5">
        <f t="shared" si="20"/>
        <v>1.8349138668196398E-2</v>
      </c>
      <c r="BF251" s="13">
        <v>45677</v>
      </c>
      <c r="BG251" s="2">
        <v>153.9</v>
      </c>
      <c r="BH251" s="2"/>
      <c r="BI251" s="2"/>
      <c r="BJ251" s="2"/>
      <c r="BK251" s="2">
        <f t="shared" si="13"/>
        <v>153.9</v>
      </c>
      <c r="BL251" s="2"/>
      <c r="BM251" s="5">
        <f t="shared" si="22"/>
        <v>3.2541519116778229E-3</v>
      </c>
    </row>
    <row r="252" spans="1:65" ht="15.75" customHeight="1" x14ac:dyDescent="0.35">
      <c r="A252" s="676"/>
      <c r="B252" s="13">
        <v>45678</v>
      </c>
      <c r="C252" s="2">
        <v>8.8000000000000007</v>
      </c>
      <c r="D252" s="2"/>
      <c r="E252" s="2"/>
      <c r="F252" s="2"/>
      <c r="G252" s="11">
        <f t="shared" si="14"/>
        <v>8.8000000000000007</v>
      </c>
      <c r="H252" s="2"/>
      <c r="I252" s="5">
        <f t="shared" si="21"/>
        <v>-1.1299555253933282E-2</v>
      </c>
      <c r="J252" s="13">
        <v>45678</v>
      </c>
      <c r="K252" s="2">
        <v>31.2</v>
      </c>
      <c r="L252" s="2"/>
      <c r="M252" s="2"/>
      <c r="N252" s="2"/>
      <c r="O252" s="11">
        <f t="shared" si="7"/>
        <v>31.2</v>
      </c>
      <c r="P252" s="2"/>
      <c r="Q252" s="5">
        <f t="shared" si="15"/>
        <v>0</v>
      </c>
      <c r="R252" s="13">
        <v>45678</v>
      </c>
      <c r="S252" s="2">
        <v>335.8</v>
      </c>
      <c r="T252" s="2"/>
      <c r="U252" s="2"/>
      <c r="V252" s="2"/>
      <c r="W252" s="11">
        <f t="shared" si="8"/>
        <v>335.8</v>
      </c>
      <c r="X252" s="2"/>
      <c r="Y252" s="5">
        <f t="shared" si="16"/>
        <v>8.072999443806423E-3</v>
      </c>
      <c r="Z252" s="13">
        <v>45678</v>
      </c>
      <c r="AA252" s="2">
        <v>902.7</v>
      </c>
      <c r="AB252" s="2"/>
      <c r="AC252" s="2"/>
      <c r="AD252" s="2"/>
      <c r="AE252" s="2">
        <f t="shared" si="9"/>
        <v>902.7</v>
      </c>
      <c r="AF252" s="2"/>
      <c r="AG252" s="5">
        <f t="shared" si="17"/>
        <v>-1.735163235107106E-2</v>
      </c>
      <c r="AH252" s="13">
        <v>45678</v>
      </c>
      <c r="AI252" s="2">
        <v>589.6</v>
      </c>
      <c r="AJ252" s="2"/>
      <c r="AK252" s="2"/>
      <c r="AL252" s="2"/>
      <c r="AM252" s="2">
        <f t="shared" si="10"/>
        <v>589.6</v>
      </c>
      <c r="AN252" s="2"/>
      <c r="AO252" s="5">
        <f t="shared" si="18"/>
        <v>1.1879509246017818E-3</v>
      </c>
      <c r="AP252" s="13">
        <v>45678</v>
      </c>
      <c r="AQ252" s="11">
        <v>510.3</v>
      </c>
      <c r="AR252" s="2"/>
      <c r="AS252" s="2"/>
      <c r="AT252" s="2"/>
      <c r="AU252" s="11">
        <f t="shared" si="11"/>
        <v>510.3</v>
      </c>
      <c r="AV252" s="2"/>
      <c r="AW252" s="5">
        <f t="shared" si="19"/>
        <v>-1.9577140160277643E-3</v>
      </c>
      <c r="AX252" s="13">
        <v>45678</v>
      </c>
      <c r="AY252" s="2">
        <v>22.9</v>
      </c>
      <c r="AZ252" s="2"/>
      <c r="BA252" s="2"/>
      <c r="BB252" s="2"/>
      <c r="BC252" s="2">
        <f t="shared" si="12"/>
        <v>22.9</v>
      </c>
      <c r="BD252" s="2"/>
      <c r="BE252" s="5">
        <f t="shared" si="20"/>
        <v>4.0094457201877994E-2</v>
      </c>
      <c r="BF252" s="13">
        <v>45678</v>
      </c>
      <c r="BG252" s="2">
        <v>152.80000000000001</v>
      </c>
      <c r="BH252" s="2"/>
      <c r="BI252" s="2"/>
      <c r="BJ252" s="2"/>
      <c r="BK252" s="2">
        <f t="shared" si="13"/>
        <v>152.80000000000001</v>
      </c>
      <c r="BL252" s="2"/>
      <c r="BM252" s="5">
        <f t="shared" si="22"/>
        <v>-7.1731641124133678E-3</v>
      </c>
    </row>
    <row r="253" spans="1:65" ht="15.75" customHeight="1" x14ac:dyDescent="0.35">
      <c r="A253" s="676"/>
      <c r="B253" s="13">
        <v>45679</v>
      </c>
      <c r="C253" s="2">
        <v>8.6999999999999993</v>
      </c>
      <c r="D253" s="2"/>
      <c r="E253" s="2"/>
      <c r="F253" s="2"/>
      <c r="G253" s="11">
        <f t="shared" si="14"/>
        <v>8.6999999999999993</v>
      </c>
      <c r="H253" s="2"/>
      <c r="I253" s="5">
        <f t="shared" si="21"/>
        <v>-1.1428695823622968E-2</v>
      </c>
      <c r="J253" s="13">
        <v>45679</v>
      </c>
      <c r="K253" s="2">
        <v>31.1</v>
      </c>
      <c r="L253" s="2"/>
      <c r="M253" s="2"/>
      <c r="N253" s="2"/>
      <c r="O253" s="11">
        <f t="shared" si="7"/>
        <v>31.1</v>
      </c>
      <c r="P253" s="2"/>
      <c r="Q253" s="5">
        <f t="shared" si="15"/>
        <v>-3.2102756302480988E-3</v>
      </c>
      <c r="R253" s="13">
        <v>45679</v>
      </c>
      <c r="S253" s="2">
        <v>335.7</v>
      </c>
      <c r="T253" s="2"/>
      <c r="U253" s="2"/>
      <c r="V253" s="2"/>
      <c r="W253" s="11">
        <f t="shared" si="8"/>
        <v>335.7</v>
      </c>
      <c r="X253" s="2"/>
      <c r="Y253" s="5">
        <f t="shared" si="16"/>
        <v>-2.9784065745126434E-4</v>
      </c>
      <c r="Z253" s="13">
        <v>45679</v>
      </c>
      <c r="AA253" s="2">
        <v>899.8</v>
      </c>
      <c r="AB253" s="2"/>
      <c r="AC253" s="2"/>
      <c r="AD253" s="2"/>
      <c r="AE253" s="2">
        <f t="shared" si="9"/>
        <v>899.8</v>
      </c>
      <c r="AF253" s="2"/>
      <c r="AG253" s="5">
        <f t="shared" si="17"/>
        <v>-3.2177558970374331E-3</v>
      </c>
      <c r="AH253" s="13">
        <v>45679</v>
      </c>
      <c r="AI253" s="2">
        <v>583</v>
      </c>
      <c r="AJ253" s="2"/>
      <c r="AK253" s="2"/>
      <c r="AL253" s="2"/>
      <c r="AM253" s="2">
        <f t="shared" si="10"/>
        <v>583</v>
      </c>
      <c r="AN253" s="2"/>
      <c r="AO253" s="5">
        <f t="shared" si="18"/>
        <v>-1.1257154524634558E-2</v>
      </c>
      <c r="AP253" s="13">
        <v>45679</v>
      </c>
      <c r="AQ253" s="11">
        <v>503.8</v>
      </c>
      <c r="AR253" s="2"/>
      <c r="AS253" s="2"/>
      <c r="AT253" s="2"/>
      <c r="AU253" s="11">
        <f t="shared" si="11"/>
        <v>503.8</v>
      </c>
      <c r="AV253" s="2"/>
      <c r="AW253" s="5">
        <f t="shared" si="19"/>
        <v>-1.2819424151415994E-2</v>
      </c>
      <c r="AX253" s="13">
        <v>45679</v>
      </c>
      <c r="AY253" s="2">
        <v>22.3</v>
      </c>
      <c r="AZ253" s="2"/>
      <c r="BA253" s="2"/>
      <c r="BB253" s="2"/>
      <c r="BC253" s="2">
        <f t="shared" si="12"/>
        <v>22.3</v>
      </c>
      <c r="BD253" s="2"/>
      <c r="BE253" s="5">
        <f t="shared" si="20"/>
        <v>-2.655023209412084E-2</v>
      </c>
      <c r="BF253" s="13">
        <v>45679</v>
      </c>
      <c r="BG253" s="2">
        <v>151.80000000000001</v>
      </c>
      <c r="BH253" s="2"/>
      <c r="BI253" s="2"/>
      <c r="BJ253" s="2"/>
      <c r="BK253" s="2">
        <f t="shared" si="13"/>
        <v>151.80000000000001</v>
      </c>
      <c r="BL253" s="2"/>
      <c r="BM253" s="5">
        <f t="shared" si="22"/>
        <v>-6.5660117708905581E-3</v>
      </c>
    </row>
    <row r="254" spans="1:65" ht="15.75" customHeight="1" x14ac:dyDescent="0.35">
      <c r="A254" s="676"/>
      <c r="B254" s="13">
        <v>45680</v>
      </c>
      <c r="C254" s="2">
        <v>8.6</v>
      </c>
      <c r="D254" s="2"/>
      <c r="E254" s="2"/>
      <c r="F254" s="2"/>
      <c r="G254" s="11">
        <f t="shared" si="14"/>
        <v>8.6</v>
      </c>
      <c r="H254" s="2"/>
      <c r="I254" s="5">
        <f t="shared" si="21"/>
        <v>-1.1560822401075971E-2</v>
      </c>
      <c r="J254" s="13">
        <v>45680</v>
      </c>
      <c r="K254" s="2">
        <v>31.1</v>
      </c>
      <c r="L254" s="2"/>
      <c r="M254" s="2"/>
      <c r="N254" s="2"/>
      <c r="O254" s="11">
        <f t="shared" si="7"/>
        <v>31.1</v>
      </c>
      <c r="P254" s="2"/>
      <c r="Q254" s="5">
        <f t="shared" si="15"/>
        <v>0</v>
      </c>
      <c r="R254" s="13">
        <v>45680</v>
      </c>
      <c r="S254" s="2">
        <v>333.7</v>
      </c>
      <c r="T254" s="2"/>
      <c r="U254" s="2"/>
      <c r="V254" s="2"/>
      <c r="W254" s="11">
        <f t="shared" si="8"/>
        <v>333.7</v>
      </c>
      <c r="X254" s="2"/>
      <c r="Y254" s="5">
        <f t="shared" si="16"/>
        <v>-5.9755182286609079E-3</v>
      </c>
      <c r="Z254" s="13">
        <v>45680</v>
      </c>
      <c r="AA254" s="2">
        <v>893.7</v>
      </c>
      <c r="AB254" s="2"/>
      <c r="AC254" s="2"/>
      <c r="AD254" s="2"/>
      <c r="AE254" s="2">
        <f t="shared" si="9"/>
        <v>893.7</v>
      </c>
      <c r="AF254" s="2"/>
      <c r="AG254" s="5">
        <f t="shared" si="17"/>
        <v>-6.802368019725516E-3</v>
      </c>
      <c r="AH254" s="13">
        <v>45680</v>
      </c>
      <c r="AI254" s="2">
        <v>579.5</v>
      </c>
      <c r="AJ254" s="2"/>
      <c r="AK254" s="2"/>
      <c r="AL254" s="2"/>
      <c r="AM254" s="2">
        <f t="shared" si="10"/>
        <v>579.5</v>
      </c>
      <c r="AN254" s="2"/>
      <c r="AO254" s="5">
        <f t="shared" si="18"/>
        <v>-6.0215235706860279E-3</v>
      </c>
      <c r="AP254" s="13">
        <v>45680</v>
      </c>
      <c r="AQ254" s="11">
        <v>499.5</v>
      </c>
      <c r="AR254" s="2"/>
      <c r="AS254" s="2"/>
      <c r="AT254" s="2"/>
      <c r="AU254" s="11">
        <f t="shared" si="11"/>
        <v>499.5</v>
      </c>
      <c r="AV254" s="2"/>
      <c r="AW254" s="5">
        <f t="shared" si="19"/>
        <v>-8.5717658299015835E-3</v>
      </c>
      <c r="AX254" s="13">
        <v>45680</v>
      </c>
      <c r="AY254" s="2">
        <v>22.4</v>
      </c>
      <c r="AZ254" s="2"/>
      <c r="BA254" s="2"/>
      <c r="BB254" s="2"/>
      <c r="BC254" s="2">
        <f t="shared" si="12"/>
        <v>22.4</v>
      </c>
      <c r="BD254" s="2"/>
      <c r="BE254" s="5">
        <f t="shared" si="20"/>
        <v>4.4742803949211069E-3</v>
      </c>
      <c r="BF254" s="13">
        <v>45680</v>
      </c>
      <c r="BG254" s="2">
        <v>152.4</v>
      </c>
      <c r="BH254" s="2"/>
      <c r="BI254" s="2"/>
      <c r="BJ254" s="2"/>
      <c r="BK254" s="2">
        <f t="shared" si="13"/>
        <v>152.4</v>
      </c>
      <c r="BL254" s="2"/>
      <c r="BM254" s="5">
        <f t="shared" si="22"/>
        <v>3.9447782910163251E-3</v>
      </c>
    </row>
    <row r="255" spans="1:65" ht="15.75" customHeight="1" x14ac:dyDescent="0.35">
      <c r="A255" s="676"/>
      <c r="B255" s="13">
        <v>45683</v>
      </c>
      <c r="C255" s="2">
        <v>8.6</v>
      </c>
      <c r="D255" s="2"/>
      <c r="E255" s="2"/>
      <c r="F255" s="2"/>
      <c r="G255" s="11">
        <f t="shared" si="14"/>
        <v>8.6</v>
      </c>
      <c r="H255" s="2"/>
      <c r="I255" s="5">
        <f t="shared" si="21"/>
        <v>0</v>
      </c>
      <c r="J255" s="13">
        <v>45683</v>
      </c>
      <c r="K255" s="2">
        <v>31.2</v>
      </c>
      <c r="L255" s="2"/>
      <c r="M255" s="2"/>
      <c r="N255" s="2"/>
      <c r="O255" s="11">
        <f t="shared" si="7"/>
        <v>31.2</v>
      </c>
      <c r="P255" s="2"/>
      <c r="Q255" s="5">
        <f t="shared" si="15"/>
        <v>3.2102756302481894E-3</v>
      </c>
      <c r="R255" s="13">
        <v>45683</v>
      </c>
      <c r="S255" s="2">
        <v>330.1</v>
      </c>
      <c r="T255" s="2"/>
      <c r="U255" s="2"/>
      <c r="V255" s="2"/>
      <c r="W255" s="11">
        <f t="shared" si="8"/>
        <v>330.1</v>
      </c>
      <c r="X255" s="2"/>
      <c r="Y255" s="5">
        <f t="shared" si="16"/>
        <v>-1.0846746898180902E-2</v>
      </c>
      <c r="Z255" s="13">
        <v>45683</v>
      </c>
      <c r="AA255" s="2">
        <v>876.7</v>
      </c>
      <c r="AB255" s="2"/>
      <c r="AC255" s="2"/>
      <c r="AD255" s="2"/>
      <c r="AE255" s="2">
        <f t="shared" si="9"/>
        <v>876.7</v>
      </c>
      <c r="AF255" s="2"/>
      <c r="AG255" s="5">
        <f t="shared" si="17"/>
        <v>-1.9205289792806376E-2</v>
      </c>
      <c r="AH255" s="13">
        <v>45683</v>
      </c>
      <c r="AI255" s="2">
        <v>553.20000000000005</v>
      </c>
      <c r="AJ255" s="2"/>
      <c r="AK255" s="2"/>
      <c r="AL255" s="2"/>
      <c r="AM255" s="2">
        <f t="shared" si="10"/>
        <v>553.20000000000005</v>
      </c>
      <c r="AN255" s="2"/>
      <c r="AO255" s="5">
        <f t="shared" si="18"/>
        <v>-4.6446062989203118E-2</v>
      </c>
      <c r="AP255" s="13">
        <v>45683</v>
      </c>
      <c r="AQ255" s="11">
        <v>495.5</v>
      </c>
      <c r="AR255" s="2"/>
      <c r="AS255" s="2"/>
      <c r="AT255" s="2"/>
      <c r="AU255" s="11">
        <f t="shared" si="11"/>
        <v>495.5</v>
      </c>
      <c r="AV255" s="2"/>
      <c r="AW255" s="5">
        <f t="shared" si="19"/>
        <v>-8.04024431856557E-3</v>
      </c>
      <c r="AX255" s="13">
        <v>45683</v>
      </c>
      <c r="AY255" s="2">
        <v>22.1</v>
      </c>
      <c r="AZ255" s="2"/>
      <c r="BA255" s="2"/>
      <c r="BB255" s="2"/>
      <c r="BC255" s="2">
        <f t="shared" si="12"/>
        <v>22.1</v>
      </c>
      <c r="BD255" s="2"/>
      <c r="BE255" s="5">
        <f t="shared" si="20"/>
        <v>-1.3483350337286875E-2</v>
      </c>
      <c r="BF255" s="13">
        <v>45683</v>
      </c>
      <c r="BG255" s="2">
        <v>150.9</v>
      </c>
      <c r="BH255" s="2"/>
      <c r="BI255" s="2"/>
      <c r="BJ255" s="2"/>
      <c r="BK255" s="2">
        <f t="shared" si="13"/>
        <v>150.9</v>
      </c>
      <c r="BL255" s="2"/>
      <c r="BM255" s="5">
        <f t="shared" si="22"/>
        <v>-9.8912774787426674E-3</v>
      </c>
    </row>
    <row r="256" spans="1:65" ht="15.75" customHeight="1" x14ac:dyDescent="0.35">
      <c r="A256" s="676"/>
      <c r="B256" s="13">
        <v>45684</v>
      </c>
      <c r="C256" s="2">
        <v>8.6999999999999993</v>
      </c>
      <c r="D256" s="2"/>
      <c r="E256" s="2"/>
      <c r="F256" s="2"/>
      <c r="G256" s="11">
        <f t="shared" si="14"/>
        <v>8.6999999999999993</v>
      </c>
      <c r="H256" s="2"/>
      <c r="I256" s="5">
        <f t="shared" si="21"/>
        <v>1.1560822401076006E-2</v>
      </c>
      <c r="J256" s="13">
        <v>45684</v>
      </c>
      <c r="K256" s="2">
        <v>31.3</v>
      </c>
      <c r="L256" s="2"/>
      <c r="M256" s="2"/>
      <c r="N256" s="2"/>
      <c r="O256" s="11">
        <f t="shared" si="7"/>
        <v>31.3</v>
      </c>
      <c r="P256" s="2"/>
      <c r="Q256" s="5">
        <f t="shared" si="15"/>
        <v>3.2000027306708497E-3</v>
      </c>
      <c r="R256" s="13">
        <v>45684</v>
      </c>
      <c r="S256" s="2">
        <v>330.8</v>
      </c>
      <c r="T256" s="2"/>
      <c r="U256" s="2"/>
      <c r="V256" s="2"/>
      <c r="W256" s="11">
        <f t="shared" si="8"/>
        <v>330.8</v>
      </c>
      <c r="X256" s="2"/>
      <c r="Y256" s="5">
        <f t="shared" si="16"/>
        <v>2.1183242903888106E-3</v>
      </c>
      <c r="Z256" s="13">
        <v>45684</v>
      </c>
      <c r="AA256" s="2">
        <v>884.5</v>
      </c>
      <c r="AB256" s="2"/>
      <c r="AC256" s="2"/>
      <c r="AD256" s="2"/>
      <c r="AE256" s="2">
        <f t="shared" si="9"/>
        <v>884.5</v>
      </c>
      <c r="AF256" s="2"/>
      <c r="AG256" s="5">
        <f t="shared" si="17"/>
        <v>8.8576550052999886E-3</v>
      </c>
      <c r="AH256" s="13">
        <v>45684</v>
      </c>
      <c r="AI256" s="2">
        <v>534.20000000000005</v>
      </c>
      <c r="AJ256" s="2"/>
      <c r="AK256" s="2"/>
      <c r="AL256" s="2"/>
      <c r="AM256" s="2">
        <f t="shared" si="10"/>
        <v>534.20000000000005</v>
      </c>
      <c r="AN256" s="2"/>
      <c r="AO256" s="5">
        <f t="shared" si="18"/>
        <v>-3.4949299114742635E-2</v>
      </c>
      <c r="AP256" s="13">
        <v>45684</v>
      </c>
      <c r="AQ256" s="11">
        <v>503.7</v>
      </c>
      <c r="AR256" s="2"/>
      <c r="AS256" s="2"/>
      <c r="AT256" s="2"/>
      <c r="AU256" s="11">
        <f t="shared" si="11"/>
        <v>503.7</v>
      </c>
      <c r="AV256" s="2"/>
      <c r="AW256" s="5">
        <f t="shared" si="19"/>
        <v>1.6413498981562202E-2</v>
      </c>
      <c r="AX256" s="13">
        <v>45684</v>
      </c>
      <c r="AY256" s="2">
        <v>22</v>
      </c>
      <c r="AZ256" s="2"/>
      <c r="BA256" s="2"/>
      <c r="BB256" s="2"/>
      <c r="BC256" s="2">
        <f t="shared" si="12"/>
        <v>22</v>
      </c>
      <c r="BD256" s="2"/>
      <c r="BE256" s="5">
        <f t="shared" si="20"/>
        <v>-4.5351551653913741E-3</v>
      </c>
      <c r="BF256" s="13">
        <v>45684</v>
      </c>
      <c r="BG256" s="2">
        <v>152.5</v>
      </c>
      <c r="BH256" s="2"/>
      <c r="BI256" s="2"/>
      <c r="BJ256" s="2"/>
      <c r="BK256" s="2">
        <f t="shared" si="13"/>
        <v>152.5</v>
      </c>
      <c r="BL256" s="2"/>
      <c r="BM256" s="5">
        <f t="shared" si="22"/>
        <v>1.0547230273663014E-2</v>
      </c>
    </row>
    <row r="257" spans="1:65" ht="15.75" customHeight="1" x14ac:dyDescent="0.35">
      <c r="A257" s="676"/>
      <c r="B257" s="13">
        <v>45685</v>
      </c>
      <c r="C257" s="2">
        <v>8.8000000000000007</v>
      </c>
      <c r="D257" s="2"/>
      <c r="E257" s="2"/>
      <c r="F257" s="2"/>
      <c r="G257" s="11">
        <f t="shared" si="14"/>
        <v>8.8000000000000007</v>
      </c>
      <c r="H257" s="2"/>
      <c r="I257" s="5">
        <f t="shared" si="21"/>
        <v>1.142869582362285E-2</v>
      </c>
      <c r="J257" s="13">
        <v>45685</v>
      </c>
      <c r="K257" s="2">
        <v>31.2</v>
      </c>
      <c r="L257" s="2"/>
      <c r="M257" s="2"/>
      <c r="N257" s="2"/>
      <c r="O257" s="11">
        <f t="shared" si="7"/>
        <v>31.2</v>
      </c>
      <c r="P257" s="2"/>
      <c r="Q257" s="5">
        <f t="shared" si="15"/>
        <v>-3.2000027306709027E-3</v>
      </c>
      <c r="R257" s="13">
        <v>45685</v>
      </c>
      <c r="S257" s="2">
        <v>331.7</v>
      </c>
      <c r="T257" s="2"/>
      <c r="U257" s="2"/>
      <c r="V257" s="2"/>
      <c r="W257" s="11">
        <f t="shared" si="8"/>
        <v>331.7</v>
      </c>
      <c r="X257" s="2"/>
      <c r="Y257" s="5">
        <f t="shared" si="16"/>
        <v>2.7169828034704822E-3</v>
      </c>
      <c r="Z257" s="13">
        <v>45685</v>
      </c>
      <c r="AA257" s="2">
        <v>852.7</v>
      </c>
      <c r="AB257" s="2"/>
      <c r="AC257" s="2"/>
      <c r="AD257" s="2"/>
      <c r="AE257" s="2">
        <f t="shared" si="9"/>
        <v>852.7</v>
      </c>
      <c r="AF257" s="2"/>
      <c r="AG257" s="5">
        <f t="shared" si="17"/>
        <v>-3.6614727851836067E-2</v>
      </c>
      <c r="AH257" s="13">
        <v>45685</v>
      </c>
      <c r="AI257" s="2">
        <v>526.1</v>
      </c>
      <c r="AJ257" s="2"/>
      <c r="AK257" s="2"/>
      <c r="AL257" s="2"/>
      <c r="AM257" s="2">
        <f t="shared" si="10"/>
        <v>526.1</v>
      </c>
      <c r="AN257" s="2"/>
      <c r="AO257" s="5">
        <f t="shared" si="18"/>
        <v>-1.5278991939098988E-2</v>
      </c>
      <c r="AP257" s="13">
        <v>45685</v>
      </c>
      <c r="AQ257" s="11">
        <v>497.4</v>
      </c>
      <c r="AR257" s="2"/>
      <c r="AS257" s="2"/>
      <c r="AT257" s="2"/>
      <c r="AU257" s="11">
        <f t="shared" si="11"/>
        <v>497.4</v>
      </c>
      <c r="AV257" s="2"/>
      <c r="AW257" s="5">
        <f t="shared" si="19"/>
        <v>-1.2586321382300576E-2</v>
      </c>
      <c r="AX257" s="13">
        <v>45685</v>
      </c>
      <c r="AY257" s="2">
        <v>23.2</v>
      </c>
      <c r="AZ257" s="2"/>
      <c r="BA257" s="2"/>
      <c r="BB257" s="2"/>
      <c r="BC257" s="2">
        <f t="shared" si="12"/>
        <v>23.2</v>
      </c>
      <c r="BD257" s="2"/>
      <c r="BE257" s="5">
        <f t="shared" si="20"/>
        <v>5.3109825313948332E-2</v>
      </c>
      <c r="BF257" s="13">
        <v>45685</v>
      </c>
      <c r="BG257" s="2">
        <v>154</v>
      </c>
      <c r="BH257" s="2"/>
      <c r="BI257" s="2"/>
      <c r="BJ257" s="2"/>
      <c r="BK257" s="2">
        <f t="shared" si="13"/>
        <v>154</v>
      </c>
      <c r="BL257" s="2"/>
      <c r="BM257" s="5">
        <f t="shared" si="22"/>
        <v>9.7880063661629439E-3</v>
      </c>
    </row>
    <row r="258" spans="1:65" ht="15.75" customHeight="1" x14ac:dyDescent="0.35">
      <c r="A258" s="676"/>
      <c r="B258" s="13">
        <v>45686</v>
      </c>
      <c r="C258" s="2">
        <v>8.6999999999999993</v>
      </c>
      <c r="D258" s="2"/>
      <c r="E258" s="2"/>
      <c r="F258" s="2"/>
      <c r="G258" s="11">
        <f t="shared" si="14"/>
        <v>8.6999999999999993</v>
      </c>
      <c r="H258" s="2"/>
      <c r="I258" s="5">
        <f t="shared" si="21"/>
        <v>-1.1428695823622968E-2</v>
      </c>
      <c r="J258" s="13">
        <v>45686</v>
      </c>
      <c r="K258" s="2">
        <v>31</v>
      </c>
      <c r="L258" s="2"/>
      <c r="M258" s="2"/>
      <c r="N258" s="2"/>
      <c r="O258" s="11">
        <f t="shared" ref="O258:O416" si="23">K258+K258*L258+K258*M258-N258*M258</f>
        <v>31</v>
      </c>
      <c r="P258" s="2"/>
      <c r="Q258" s="5">
        <f t="shared" si="15"/>
        <v>-6.4308903302904025E-3</v>
      </c>
      <c r="R258" s="13">
        <v>45686</v>
      </c>
      <c r="S258" s="2">
        <v>333.1</v>
      </c>
      <c r="T258" s="2"/>
      <c r="U258" s="2"/>
      <c r="V258" s="2"/>
      <c r="W258" s="11">
        <f t="shared" ref="W258:W416" si="24">S258+S258*T258+S258*U258-V258*U258</f>
        <v>333.1</v>
      </c>
      <c r="X258" s="2"/>
      <c r="Y258" s="5">
        <f t="shared" si="16"/>
        <v>4.2117992466273128E-3</v>
      </c>
      <c r="Z258" s="13">
        <v>45686</v>
      </c>
      <c r="AA258" s="2">
        <v>855.6</v>
      </c>
      <c r="AB258" s="2"/>
      <c r="AC258" s="2"/>
      <c r="AD258" s="2"/>
      <c r="AE258" s="2">
        <f t="shared" ref="AE258:AE416" si="25">AA258+AA258*AB258+AA258*AC258-AD258*AC258</f>
        <v>855.6</v>
      </c>
      <c r="AF258" s="2"/>
      <c r="AG258" s="5">
        <f t="shared" si="17"/>
        <v>3.3951914602465298E-3</v>
      </c>
      <c r="AH258" s="13">
        <v>45686</v>
      </c>
      <c r="AI258" s="2">
        <v>508.5</v>
      </c>
      <c r="AJ258" s="2"/>
      <c r="AK258" s="2"/>
      <c r="AL258" s="2"/>
      <c r="AM258" s="2">
        <f t="shared" ref="AM258:AM416" si="26">AI258+AI258*AJ258+AI258*AK258-AL258*AK258</f>
        <v>508.5</v>
      </c>
      <c r="AN258" s="2"/>
      <c r="AO258" s="5">
        <f t="shared" si="18"/>
        <v>-3.4026093248146962E-2</v>
      </c>
      <c r="AP258" s="13">
        <v>45686</v>
      </c>
      <c r="AQ258" s="11">
        <v>489.1</v>
      </c>
      <c r="AR258" s="2"/>
      <c r="AS258" s="2"/>
      <c r="AT258" s="2"/>
      <c r="AU258" s="11">
        <f t="shared" ref="AU258:AU416" si="27">AQ258+AQ258*AR258+AQ258*AS258-AT258*AS258</f>
        <v>489.1</v>
      </c>
      <c r="AV258" s="2"/>
      <c r="AW258" s="5">
        <f t="shared" si="19"/>
        <v>-1.6827563823992642E-2</v>
      </c>
      <c r="AX258" s="13">
        <v>45686</v>
      </c>
      <c r="AY258" s="2">
        <v>22.7</v>
      </c>
      <c r="AZ258" s="2"/>
      <c r="BA258" s="2"/>
      <c r="BB258" s="2"/>
      <c r="BC258" s="2">
        <f t="shared" ref="BC258:BC416" si="28">AY258+AY258*AZ258+AY258*BA258-BB258*BA258</f>
        <v>22.7</v>
      </c>
      <c r="BD258" s="2"/>
      <c r="BE258" s="5">
        <f t="shared" si="20"/>
        <v>-2.1787354184907296E-2</v>
      </c>
      <c r="BF258" s="13">
        <v>45686</v>
      </c>
      <c r="BG258" s="2">
        <v>153.6</v>
      </c>
      <c r="BH258" s="2"/>
      <c r="BI258" s="2"/>
      <c r="BJ258" s="2"/>
      <c r="BK258" s="2">
        <f t="shared" ref="BK258:BK416" si="29">BG258+BG258*BH258+BG258*BI258-BJ258*BI258</f>
        <v>153.6</v>
      </c>
      <c r="BL258" s="2"/>
      <c r="BM258" s="5">
        <f t="shared" si="22"/>
        <v>-2.6007817000573675E-3</v>
      </c>
    </row>
    <row r="259" spans="1:65" ht="15.75" customHeight="1" x14ac:dyDescent="0.35">
      <c r="A259" s="676"/>
      <c r="B259" s="13">
        <v>45687</v>
      </c>
      <c r="C259" s="2">
        <v>8.8000000000000007</v>
      </c>
      <c r="D259" s="2"/>
      <c r="E259" s="2"/>
      <c r="F259" s="2"/>
      <c r="G259" s="11">
        <f t="shared" ref="G259:G416" si="30">C259+C259*D259+C259*E259-F259*E259</f>
        <v>8.8000000000000007</v>
      </c>
      <c r="H259" s="2"/>
      <c r="I259" s="5">
        <f t="shared" si="21"/>
        <v>1.142869582362285E-2</v>
      </c>
      <c r="J259" s="13">
        <v>45687</v>
      </c>
      <c r="K259" s="2">
        <v>31.2</v>
      </c>
      <c r="L259" s="2"/>
      <c r="M259" s="2"/>
      <c r="N259" s="2"/>
      <c r="O259" s="11">
        <f t="shared" si="23"/>
        <v>31.2</v>
      </c>
      <c r="P259" s="2"/>
      <c r="Q259" s="5">
        <f t="shared" ref="Q259:Q416" si="31">LN((O259+P259)/O258)</f>
        <v>6.4308903302903314E-3</v>
      </c>
      <c r="R259" s="13">
        <v>45687</v>
      </c>
      <c r="S259" s="2">
        <v>335.4</v>
      </c>
      <c r="T259" s="2"/>
      <c r="U259" s="2"/>
      <c r="V259" s="2"/>
      <c r="W259" s="11">
        <f t="shared" si="24"/>
        <v>335.4</v>
      </c>
      <c r="X259" s="2"/>
      <c r="Y259" s="5">
        <f t="shared" ref="Y259:Y416" si="32">LN((W259+X259)/W258)</f>
        <v>6.881104189474266E-3</v>
      </c>
      <c r="Z259" s="13">
        <v>45687</v>
      </c>
      <c r="AA259" s="2">
        <v>873.9</v>
      </c>
      <c r="AB259" s="2"/>
      <c r="AC259" s="2"/>
      <c r="AD259" s="2"/>
      <c r="AE259" s="2">
        <f t="shared" si="25"/>
        <v>873.9</v>
      </c>
      <c r="AF259" s="2"/>
      <c r="AG259" s="5">
        <f t="shared" ref="AG259:AG416" si="33">LN((AE259+AF259)/AE258)</f>
        <v>2.1162975425247973E-2</v>
      </c>
      <c r="AH259" s="13">
        <v>45687</v>
      </c>
      <c r="AI259" s="2">
        <v>499.3</v>
      </c>
      <c r="AJ259" s="2"/>
      <c r="AK259" s="2"/>
      <c r="AL259" s="2"/>
      <c r="AM259" s="2">
        <f t="shared" si="26"/>
        <v>499.3</v>
      </c>
      <c r="AN259" s="2"/>
      <c r="AO259" s="5">
        <f t="shared" ref="AO259:AO416" si="34">LN((AM259+AN259)/AM258)</f>
        <v>-1.8258097982051063E-2</v>
      </c>
      <c r="AP259" s="13">
        <v>45687</v>
      </c>
      <c r="AQ259" s="11">
        <v>487.9</v>
      </c>
      <c r="AR259" s="2"/>
      <c r="AS259" s="2"/>
      <c r="AT259" s="2"/>
      <c r="AU259" s="11">
        <f t="shared" si="27"/>
        <v>487.9</v>
      </c>
      <c r="AV259" s="2"/>
      <c r="AW259" s="5">
        <f t="shared" ref="AW259:AW416" si="35">LN((AU259+AV259)/AU258)</f>
        <v>-2.4565007235200875E-3</v>
      </c>
      <c r="AX259" s="13">
        <v>45687</v>
      </c>
      <c r="AY259" s="2">
        <v>22.2</v>
      </c>
      <c r="AZ259" s="2"/>
      <c r="BA259" s="2"/>
      <c r="BB259" s="2"/>
      <c r="BC259" s="2">
        <f t="shared" si="28"/>
        <v>22.2</v>
      </c>
      <c r="BD259" s="2"/>
      <c r="BE259" s="5">
        <f t="shared" ref="BE259:BE416" si="36">LN((BC259+BD259)/BC258)</f>
        <v>-2.2272635609123178E-2</v>
      </c>
      <c r="BF259" s="13">
        <v>45687</v>
      </c>
      <c r="BG259" s="2">
        <v>153.69999999999999</v>
      </c>
      <c r="BH259" s="2"/>
      <c r="BI259" s="2"/>
      <c r="BJ259" s="2"/>
      <c r="BK259" s="2">
        <f t="shared" si="29"/>
        <v>153.69999999999999</v>
      </c>
      <c r="BL259" s="2"/>
      <c r="BM259" s="5">
        <f t="shared" ref="BM259:BM416" si="37">LN((BK259+BL259)/BK258)</f>
        <v>6.508298309782373E-4</v>
      </c>
    </row>
    <row r="260" spans="1:65" ht="15.75" customHeight="1" x14ac:dyDescent="0.35">
      <c r="A260" s="676"/>
      <c r="B260" s="13">
        <v>45690</v>
      </c>
      <c r="C260" s="2">
        <v>8.9</v>
      </c>
      <c r="D260" s="2"/>
      <c r="E260" s="2"/>
      <c r="F260" s="2"/>
      <c r="G260" s="11">
        <f t="shared" si="30"/>
        <v>8.9</v>
      </c>
      <c r="H260" s="2"/>
      <c r="I260" s="5">
        <f t="shared" ref="I260:I415" si="38">LN((G260+H260)/G259)</f>
        <v>1.1299555253933247E-2</v>
      </c>
      <c r="J260" s="13">
        <v>45690</v>
      </c>
      <c r="K260" s="2">
        <v>31</v>
      </c>
      <c r="L260" s="2"/>
      <c r="M260" s="2"/>
      <c r="N260" s="2"/>
      <c r="O260" s="11">
        <f t="shared" si="23"/>
        <v>31</v>
      </c>
      <c r="P260" s="2"/>
      <c r="Q260" s="5">
        <f t="shared" si="31"/>
        <v>-6.4308903302904025E-3</v>
      </c>
      <c r="R260" s="13">
        <v>45690</v>
      </c>
      <c r="S260" s="2">
        <v>336.8</v>
      </c>
      <c r="T260" s="2"/>
      <c r="U260" s="2"/>
      <c r="V260" s="2"/>
      <c r="W260" s="11">
        <f t="shared" si="24"/>
        <v>336.8</v>
      </c>
      <c r="X260" s="2"/>
      <c r="Y260" s="5">
        <f t="shared" si="32"/>
        <v>4.1654329790633974E-3</v>
      </c>
      <c r="Z260" s="13">
        <v>45690</v>
      </c>
      <c r="AA260" s="2">
        <v>844.3</v>
      </c>
      <c r="AB260" s="2"/>
      <c r="AC260" s="2"/>
      <c r="AD260" s="2"/>
      <c r="AE260" s="2">
        <f t="shared" si="25"/>
        <v>844.3</v>
      </c>
      <c r="AF260" s="2"/>
      <c r="AG260" s="5">
        <f t="shared" si="33"/>
        <v>-3.4458070958044443E-2</v>
      </c>
      <c r="AH260" s="13">
        <v>45690</v>
      </c>
      <c r="AI260" s="2">
        <v>497.6</v>
      </c>
      <c r="AJ260" s="2"/>
      <c r="AK260" s="2"/>
      <c r="AL260" s="2"/>
      <c r="AM260" s="2">
        <f t="shared" si="26"/>
        <v>497.6</v>
      </c>
      <c r="AN260" s="2"/>
      <c r="AO260" s="5">
        <f t="shared" si="34"/>
        <v>-3.4105760815938942E-3</v>
      </c>
      <c r="AP260" s="13">
        <v>45690</v>
      </c>
      <c r="AQ260" s="11">
        <v>485.7</v>
      </c>
      <c r="AR260" s="2"/>
      <c r="AS260" s="2"/>
      <c r="AT260" s="2"/>
      <c r="AU260" s="11">
        <f t="shared" si="27"/>
        <v>485.7</v>
      </c>
      <c r="AV260" s="2"/>
      <c r="AW260" s="5">
        <f t="shared" si="35"/>
        <v>-4.5193174700923107E-3</v>
      </c>
      <c r="AX260" s="13">
        <v>45690</v>
      </c>
      <c r="AY260" s="2">
        <v>23.1</v>
      </c>
      <c r="AZ260" s="2"/>
      <c r="BA260" s="2"/>
      <c r="BB260" s="2"/>
      <c r="BC260" s="2">
        <f t="shared" si="28"/>
        <v>23.1</v>
      </c>
      <c r="BD260" s="2"/>
      <c r="BE260" s="5">
        <f t="shared" si="36"/>
        <v>3.9740328649514121E-2</v>
      </c>
      <c r="BF260" s="13">
        <v>45690</v>
      </c>
      <c r="BG260" s="2">
        <v>151.1</v>
      </c>
      <c r="BH260" s="2"/>
      <c r="BI260" s="2"/>
      <c r="BJ260" s="2"/>
      <c r="BK260" s="2">
        <f t="shared" si="29"/>
        <v>151.1</v>
      </c>
      <c r="BL260" s="2"/>
      <c r="BM260" s="5">
        <f t="shared" si="37"/>
        <v>-1.7060781265856223E-2</v>
      </c>
    </row>
    <row r="261" spans="1:65" ht="15.75" customHeight="1" x14ac:dyDescent="0.35">
      <c r="A261" s="676"/>
      <c r="B261" s="13">
        <v>45691</v>
      </c>
      <c r="C261" s="2">
        <v>8.9</v>
      </c>
      <c r="D261" s="2"/>
      <c r="E261" s="2"/>
      <c r="F261" s="2"/>
      <c r="G261" s="11">
        <f t="shared" si="30"/>
        <v>8.9</v>
      </c>
      <c r="H261" s="2"/>
      <c r="I261" s="5">
        <f t="shared" si="38"/>
        <v>0</v>
      </c>
      <c r="J261" s="13">
        <v>45691</v>
      </c>
      <c r="K261" s="2">
        <v>30.9</v>
      </c>
      <c r="L261" s="2"/>
      <c r="M261" s="2"/>
      <c r="N261" s="2"/>
      <c r="O261" s="11">
        <f t="shared" si="23"/>
        <v>30.9</v>
      </c>
      <c r="P261" s="2"/>
      <c r="Q261" s="5">
        <f t="shared" si="31"/>
        <v>-3.2310205814465318E-3</v>
      </c>
      <c r="R261" s="13">
        <v>45691</v>
      </c>
      <c r="S261" s="2">
        <v>337</v>
      </c>
      <c r="T261" s="2"/>
      <c r="U261" s="2"/>
      <c r="V261" s="2"/>
      <c r="W261" s="11">
        <f t="shared" si="24"/>
        <v>337</v>
      </c>
      <c r="X261" s="2"/>
      <c r="Y261" s="5">
        <f t="shared" si="32"/>
        <v>5.9364798419012012E-4</v>
      </c>
      <c r="Z261" s="13">
        <v>45691</v>
      </c>
      <c r="AA261" s="2">
        <v>863.1</v>
      </c>
      <c r="AB261" s="2"/>
      <c r="AC261" s="2"/>
      <c r="AD261" s="2"/>
      <c r="AE261" s="2">
        <f t="shared" si="25"/>
        <v>863.1</v>
      </c>
      <c r="AF261" s="2"/>
      <c r="AG261" s="5">
        <f t="shared" si="33"/>
        <v>2.2022677550157774E-2</v>
      </c>
      <c r="AH261" s="13">
        <v>45691</v>
      </c>
      <c r="AI261" s="2">
        <v>503.1</v>
      </c>
      <c r="AJ261" s="2"/>
      <c r="AK261" s="2"/>
      <c r="AL261" s="2"/>
      <c r="AM261" s="2">
        <f t="shared" si="26"/>
        <v>503.1</v>
      </c>
      <c r="AN261" s="2"/>
      <c r="AO261" s="5">
        <f t="shared" si="34"/>
        <v>1.0992416072303239E-2</v>
      </c>
      <c r="AP261" s="13">
        <v>45691</v>
      </c>
      <c r="AQ261" s="11">
        <v>486.9</v>
      </c>
      <c r="AR261" s="2"/>
      <c r="AS261" s="2"/>
      <c r="AT261" s="2"/>
      <c r="AU261" s="11">
        <f t="shared" si="27"/>
        <v>486.9</v>
      </c>
      <c r="AV261" s="2"/>
      <c r="AW261" s="5">
        <f t="shared" si="35"/>
        <v>2.4676138369561199E-3</v>
      </c>
      <c r="AX261" s="13">
        <v>45691</v>
      </c>
      <c r="AY261" s="2">
        <v>22.5</v>
      </c>
      <c r="AZ261" s="2"/>
      <c r="BA261" s="2"/>
      <c r="BB261" s="2"/>
      <c r="BC261" s="2">
        <f t="shared" si="28"/>
        <v>22.5</v>
      </c>
      <c r="BD261" s="2"/>
      <c r="BE261" s="5">
        <f t="shared" si="36"/>
        <v>-2.6317308317373417E-2</v>
      </c>
      <c r="BF261" s="13">
        <v>45691</v>
      </c>
      <c r="BG261" s="2">
        <v>149.9</v>
      </c>
      <c r="BH261" s="2"/>
      <c r="BI261" s="2"/>
      <c r="BJ261" s="2"/>
      <c r="BK261" s="2">
        <f t="shared" si="29"/>
        <v>149.9</v>
      </c>
      <c r="BL261" s="2"/>
      <c r="BM261" s="5">
        <f t="shared" si="37"/>
        <v>-7.9734641701417371E-3</v>
      </c>
    </row>
    <row r="262" spans="1:65" ht="15.75" customHeight="1" x14ac:dyDescent="0.35">
      <c r="A262" s="676"/>
      <c r="B262" s="13">
        <v>45692</v>
      </c>
      <c r="C262" s="2">
        <v>8.9</v>
      </c>
      <c r="D262" s="2"/>
      <c r="E262" s="2"/>
      <c r="F262" s="2"/>
      <c r="G262" s="11">
        <f t="shared" si="30"/>
        <v>8.9</v>
      </c>
      <c r="H262" s="2"/>
      <c r="I262" s="5">
        <f t="shared" si="38"/>
        <v>0</v>
      </c>
      <c r="J262" s="13">
        <v>45692</v>
      </c>
      <c r="K262" s="2">
        <v>30.9</v>
      </c>
      <c r="L262" s="2"/>
      <c r="M262" s="2"/>
      <c r="N262" s="2"/>
      <c r="O262" s="11">
        <f t="shared" si="23"/>
        <v>30.9</v>
      </c>
      <c r="P262" s="2"/>
      <c r="Q262" s="5">
        <f t="shared" si="31"/>
        <v>0</v>
      </c>
      <c r="R262" s="13">
        <v>45692</v>
      </c>
      <c r="S262" s="2">
        <v>338.6</v>
      </c>
      <c r="T262" s="2"/>
      <c r="U262" s="2"/>
      <c r="V262" s="2"/>
      <c r="W262" s="11">
        <f t="shared" si="24"/>
        <v>338.6</v>
      </c>
      <c r="X262" s="2"/>
      <c r="Y262" s="5">
        <f t="shared" si="32"/>
        <v>4.7365393466733356E-3</v>
      </c>
      <c r="Z262" s="13">
        <v>45692</v>
      </c>
      <c r="AA262" s="2">
        <v>862.6</v>
      </c>
      <c r="AB262" s="2"/>
      <c r="AC262" s="2"/>
      <c r="AD262" s="2"/>
      <c r="AE262" s="2">
        <f t="shared" si="25"/>
        <v>862.6</v>
      </c>
      <c r="AF262" s="2"/>
      <c r="AG262" s="5">
        <f t="shared" si="33"/>
        <v>-5.7947501186912101E-4</v>
      </c>
      <c r="AH262" s="13">
        <v>45692</v>
      </c>
      <c r="AI262" s="2">
        <v>500.2</v>
      </c>
      <c r="AJ262" s="2"/>
      <c r="AK262" s="2"/>
      <c r="AL262" s="2"/>
      <c r="AM262" s="2">
        <f t="shared" si="26"/>
        <v>500.2</v>
      </c>
      <c r="AN262" s="2"/>
      <c r="AO262" s="5">
        <f t="shared" si="34"/>
        <v>-5.7809390537541935E-3</v>
      </c>
      <c r="AP262" s="13">
        <v>45692</v>
      </c>
      <c r="AQ262" s="11">
        <v>486.9</v>
      </c>
      <c r="AR262" s="6"/>
      <c r="AS262" s="2"/>
      <c r="AT262" s="2"/>
      <c r="AU262" s="11">
        <f t="shared" si="27"/>
        <v>486.9</v>
      </c>
      <c r="AV262" s="2"/>
      <c r="AW262" s="5">
        <f t="shared" si="35"/>
        <v>0</v>
      </c>
      <c r="AX262" s="13">
        <v>45692</v>
      </c>
      <c r="AY262" s="2">
        <v>23</v>
      </c>
      <c r="AZ262" s="2"/>
      <c r="BA262" s="2"/>
      <c r="BB262" s="2"/>
      <c r="BC262" s="2">
        <f t="shared" si="28"/>
        <v>23</v>
      </c>
      <c r="BD262" s="2"/>
      <c r="BE262" s="5">
        <f t="shared" si="36"/>
        <v>2.1978906718775167E-2</v>
      </c>
      <c r="BF262" s="13">
        <v>45692</v>
      </c>
      <c r="BG262" s="2">
        <v>149.69999999999999</v>
      </c>
      <c r="BH262" s="2"/>
      <c r="BI262" s="2"/>
      <c r="BJ262" s="2"/>
      <c r="BK262" s="2">
        <f t="shared" si="29"/>
        <v>149.69999999999999</v>
      </c>
      <c r="BL262" s="2"/>
      <c r="BM262" s="5">
        <f t="shared" si="37"/>
        <v>-1.335113682969436E-3</v>
      </c>
    </row>
    <row r="263" spans="1:65" ht="15.75" customHeight="1" x14ac:dyDescent="0.35">
      <c r="A263" s="676"/>
      <c r="B263" s="13">
        <v>45693</v>
      </c>
      <c r="C263" s="2">
        <v>8.9</v>
      </c>
      <c r="D263" s="2"/>
      <c r="E263" s="2"/>
      <c r="F263" s="2"/>
      <c r="G263" s="11">
        <f t="shared" si="30"/>
        <v>8.9</v>
      </c>
      <c r="H263" s="2"/>
      <c r="I263" s="5">
        <f t="shared" si="38"/>
        <v>0</v>
      </c>
      <c r="J263" s="13">
        <v>45693</v>
      </c>
      <c r="K263" s="2">
        <v>31.4</v>
      </c>
      <c r="L263" s="2"/>
      <c r="M263" s="2"/>
      <c r="N263" s="2"/>
      <c r="O263" s="11">
        <f t="shared" si="23"/>
        <v>31.4</v>
      </c>
      <c r="P263" s="2"/>
      <c r="Q263" s="5">
        <f t="shared" si="31"/>
        <v>1.6051709010507825E-2</v>
      </c>
      <c r="R263" s="13">
        <v>45693</v>
      </c>
      <c r="S263" s="2">
        <v>338</v>
      </c>
      <c r="T263" s="2"/>
      <c r="U263" s="2"/>
      <c r="V263" s="2"/>
      <c r="W263" s="11">
        <f t="shared" si="24"/>
        <v>338</v>
      </c>
      <c r="X263" s="2"/>
      <c r="Y263" s="5">
        <f t="shared" si="32"/>
        <v>-1.7735742160161759E-3</v>
      </c>
      <c r="Z263" s="13">
        <v>45693</v>
      </c>
      <c r="AA263" s="2">
        <v>861.7</v>
      </c>
      <c r="AB263" s="2"/>
      <c r="AC263" s="2"/>
      <c r="AD263" s="2"/>
      <c r="AE263" s="2">
        <f t="shared" si="25"/>
        <v>861.7</v>
      </c>
      <c r="AF263" s="2"/>
      <c r="AG263" s="5">
        <f t="shared" si="33"/>
        <v>-1.0439019680216312E-3</v>
      </c>
      <c r="AH263" s="13">
        <v>45693</v>
      </c>
      <c r="AI263" s="2">
        <v>501.7</v>
      </c>
      <c r="AJ263" s="2"/>
      <c r="AK263" s="2"/>
      <c r="AL263" s="2"/>
      <c r="AM263" s="2">
        <f t="shared" si="26"/>
        <v>501.7</v>
      </c>
      <c r="AN263" s="2"/>
      <c r="AO263" s="5">
        <f t="shared" si="34"/>
        <v>2.9943130466885859E-3</v>
      </c>
      <c r="AP263" s="13">
        <v>45693</v>
      </c>
      <c r="AQ263" s="11">
        <v>488.2</v>
      </c>
      <c r="AR263" s="2"/>
      <c r="AS263" s="2"/>
      <c r="AT263" s="2"/>
      <c r="AU263" s="11">
        <f t="shared" si="27"/>
        <v>488.2</v>
      </c>
      <c r="AV263" s="2"/>
      <c r="AW263" s="5">
        <f t="shared" si="35"/>
        <v>2.6663947702044092E-3</v>
      </c>
      <c r="AX263" s="13">
        <v>45693</v>
      </c>
      <c r="AY263" s="2">
        <v>23.2</v>
      </c>
      <c r="AZ263" s="6"/>
      <c r="BA263" s="2"/>
      <c r="BB263" s="2"/>
      <c r="BC263" s="2">
        <f t="shared" si="28"/>
        <v>23.2</v>
      </c>
      <c r="BD263" s="2"/>
      <c r="BE263" s="5">
        <f t="shared" si="36"/>
        <v>8.6580627431145311E-3</v>
      </c>
      <c r="BF263" s="13">
        <v>45693</v>
      </c>
      <c r="BG263" s="2">
        <v>149.69999999999999</v>
      </c>
      <c r="BH263" s="2"/>
      <c r="BI263" s="2"/>
      <c r="BJ263" s="2"/>
      <c r="BK263" s="2">
        <f t="shared" si="29"/>
        <v>149.69999999999999</v>
      </c>
      <c r="BL263" s="2"/>
      <c r="BM263" s="5">
        <f t="shared" si="37"/>
        <v>0</v>
      </c>
    </row>
    <row r="264" spans="1:65" ht="15.75" customHeight="1" x14ac:dyDescent="0.35">
      <c r="A264" s="676"/>
      <c r="B264" s="13">
        <v>45694</v>
      </c>
      <c r="C264" s="2">
        <v>8.8000000000000007</v>
      </c>
      <c r="D264" s="2"/>
      <c r="E264" s="2"/>
      <c r="F264" s="2"/>
      <c r="G264" s="11">
        <f t="shared" si="30"/>
        <v>8.8000000000000007</v>
      </c>
      <c r="H264" s="2"/>
      <c r="I264" s="5">
        <f t="shared" si="38"/>
        <v>-1.1299555253933282E-2</v>
      </c>
      <c r="J264" s="13">
        <v>45694</v>
      </c>
      <c r="K264" s="2">
        <v>31.7</v>
      </c>
      <c r="L264" s="2"/>
      <c r="M264" s="2"/>
      <c r="N264" s="2"/>
      <c r="O264" s="11">
        <f t="shared" si="23"/>
        <v>31.7</v>
      </c>
      <c r="P264" s="2"/>
      <c r="Q264" s="5">
        <f t="shared" si="31"/>
        <v>9.5087879690273561E-3</v>
      </c>
      <c r="R264" s="13">
        <v>45694</v>
      </c>
      <c r="S264" s="2">
        <v>337.8</v>
      </c>
      <c r="T264" s="2"/>
      <c r="U264" s="2"/>
      <c r="V264" s="2"/>
      <c r="W264" s="11">
        <f t="shared" si="24"/>
        <v>337.8</v>
      </c>
      <c r="X264" s="2"/>
      <c r="Y264" s="5">
        <f t="shared" si="32"/>
        <v>-5.9189110931906356E-4</v>
      </c>
      <c r="Z264" s="13">
        <v>45694</v>
      </c>
      <c r="AA264" s="2">
        <v>860.4</v>
      </c>
      <c r="AB264" s="2"/>
      <c r="AC264" s="2"/>
      <c r="AD264" s="2"/>
      <c r="AE264" s="2">
        <f t="shared" si="25"/>
        <v>860.4</v>
      </c>
      <c r="AF264" s="2"/>
      <c r="AG264" s="5">
        <f t="shared" si="33"/>
        <v>-1.5097848521461938E-3</v>
      </c>
      <c r="AH264" s="13">
        <v>45694</v>
      </c>
      <c r="AI264" s="2">
        <v>501.3</v>
      </c>
      <c r="AJ264" s="2"/>
      <c r="AK264" s="2"/>
      <c r="AL264" s="2"/>
      <c r="AM264" s="2">
        <f t="shared" si="26"/>
        <v>501.3</v>
      </c>
      <c r="AN264" s="2"/>
      <c r="AO264" s="5">
        <f t="shared" si="34"/>
        <v>-7.976072207495575E-4</v>
      </c>
      <c r="AP264" s="13">
        <v>45694</v>
      </c>
      <c r="AQ264" s="11">
        <v>484.5</v>
      </c>
      <c r="AR264" s="2"/>
      <c r="AS264" s="2"/>
      <c r="AT264" s="2"/>
      <c r="AU264" s="11">
        <f t="shared" si="27"/>
        <v>484.5</v>
      </c>
      <c r="AV264" s="2"/>
      <c r="AW264" s="5">
        <f t="shared" si="35"/>
        <v>-7.6077266280387213E-3</v>
      </c>
      <c r="AX264" s="13">
        <v>45694</v>
      </c>
      <c r="AY264" s="2">
        <v>22.8</v>
      </c>
      <c r="AZ264" s="2"/>
      <c r="BA264" s="2"/>
      <c r="BB264" s="2"/>
      <c r="BC264" s="2">
        <f t="shared" si="28"/>
        <v>22.8</v>
      </c>
      <c r="BD264" s="2"/>
      <c r="BE264" s="5">
        <f t="shared" si="36"/>
        <v>-1.7391742711869107E-2</v>
      </c>
      <c r="BF264" s="13">
        <v>45694</v>
      </c>
      <c r="BG264" s="2">
        <v>149.6</v>
      </c>
      <c r="BH264" s="2"/>
      <c r="BI264" s="2"/>
      <c r="BJ264" s="2"/>
      <c r="BK264" s="2">
        <f t="shared" si="29"/>
        <v>149.6</v>
      </c>
      <c r="BL264" s="2"/>
      <c r="BM264" s="5">
        <f t="shared" si="37"/>
        <v>-6.682258852057307E-4</v>
      </c>
    </row>
    <row r="265" spans="1:65" ht="15.75" customHeight="1" x14ac:dyDescent="0.35">
      <c r="A265" s="676"/>
      <c r="B265" s="13">
        <v>45697</v>
      </c>
      <c r="C265" s="2">
        <v>8.8000000000000007</v>
      </c>
      <c r="D265" s="2"/>
      <c r="E265" s="2"/>
      <c r="F265" s="2"/>
      <c r="G265" s="11">
        <f t="shared" si="30"/>
        <v>8.8000000000000007</v>
      </c>
      <c r="H265" s="2"/>
      <c r="I265" s="5">
        <f t="shared" si="38"/>
        <v>0</v>
      </c>
      <c r="J265" s="13">
        <v>45697</v>
      </c>
      <c r="K265" s="2">
        <v>31.5</v>
      </c>
      <c r="L265" s="2"/>
      <c r="M265" s="2"/>
      <c r="N265" s="2"/>
      <c r="O265" s="11">
        <f t="shared" si="23"/>
        <v>31.5</v>
      </c>
      <c r="P265" s="2"/>
      <c r="Q265" s="5">
        <f t="shared" si="31"/>
        <v>-6.3291350516475123E-3</v>
      </c>
      <c r="R265" s="13">
        <v>45697</v>
      </c>
      <c r="S265" s="2">
        <v>336.6</v>
      </c>
      <c r="T265" s="2"/>
      <c r="U265" s="2"/>
      <c r="V265" s="2"/>
      <c r="W265" s="11">
        <f t="shared" si="24"/>
        <v>336.6</v>
      </c>
      <c r="X265" s="2"/>
      <c r="Y265" s="5">
        <f t="shared" si="32"/>
        <v>-3.5587226169939952E-3</v>
      </c>
      <c r="Z265" s="13">
        <v>45697</v>
      </c>
      <c r="AA265" s="2">
        <v>851.6</v>
      </c>
      <c r="AB265" s="2"/>
      <c r="AC265" s="2"/>
      <c r="AD265" s="2"/>
      <c r="AE265" s="2">
        <f t="shared" si="25"/>
        <v>851.6</v>
      </c>
      <c r="AF265" s="2"/>
      <c r="AG265" s="5">
        <f t="shared" si="33"/>
        <v>-1.0280464374250569E-2</v>
      </c>
      <c r="AH265" s="13">
        <v>45697</v>
      </c>
      <c r="AI265" s="2">
        <v>499.4</v>
      </c>
      <c r="AJ265" s="2"/>
      <c r="AK265" s="2"/>
      <c r="AL265" s="2"/>
      <c r="AM265" s="2">
        <f t="shared" si="26"/>
        <v>499.4</v>
      </c>
      <c r="AN265" s="2"/>
      <c r="AO265" s="5">
        <f t="shared" si="34"/>
        <v>-3.7973464237849425E-3</v>
      </c>
      <c r="AP265" s="13">
        <v>45697</v>
      </c>
      <c r="AQ265" s="11">
        <v>486.4</v>
      </c>
      <c r="AR265" s="2"/>
      <c r="AS265" s="2"/>
      <c r="AT265" s="2"/>
      <c r="AU265" s="11">
        <f t="shared" si="27"/>
        <v>486.4</v>
      </c>
      <c r="AV265" s="2"/>
      <c r="AW265" s="5">
        <f t="shared" si="35"/>
        <v>3.9138993211363148E-3</v>
      </c>
      <c r="AX265" s="13">
        <v>45697</v>
      </c>
      <c r="AY265" s="2">
        <v>23.3</v>
      </c>
      <c r="AZ265" s="2"/>
      <c r="BA265" s="2"/>
      <c r="BB265" s="2"/>
      <c r="BC265" s="2">
        <f t="shared" si="28"/>
        <v>23.3</v>
      </c>
      <c r="BD265" s="2"/>
      <c r="BE265" s="5">
        <f t="shared" si="36"/>
        <v>2.1692824611259754E-2</v>
      </c>
      <c r="BF265" s="13">
        <v>45697</v>
      </c>
      <c r="BG265" s="2">
        <v>149.19999999999999</v>
      </c>
      <c r="BH265" s="2"/>
      <c r="BI265" s="2"/>
      <c r="BJ265" s="2"/>
      <c r="BK265" s="2">
        <f t="shared" si="29"/>
        <v>149.19999999999999</v>
      </c>
      <c r="BL265" s="2"/>
      <c r="BM265" s="5">
        <f t="shared" si="37"/>
        <v>-2.6773777707164029E-3</v>
      </c>
    </row>
    <row r="266" spans="1:65" ht="15.75" customHeight="1" x14ac:dyDescent="0.35">
      <c r="A266" s="676"/>
      <c r="B266" s="13">
        <v>45698</v>
      </c>
      <c r="C266" s="2">
        <v>8.6999999999999993</v>
      </c>
      <c r="D266" s="2"/>
      <c r="E266" s="2"/>
      <c r="F266" s="2"/>
      <c r="G266" s="11">
        <f t="shared" si="30"/>
        <v>8.6999999999999993</v>
      </c>
      <c r="H266" s="2"/>
      <c r="I266" s="5">
        <f t="shared" si="38"/>
        <v>-1.1428695823622968E-2</v>
      </c>
      <c r="J266" s="13">
        <v>45698</v>
      </c>
      <c r="K266" s="2">
        <v>31.2</v>
      </c>
      <c r="L266" s="2"/>
      <c r="M266" s="2"/>
      <c r="N266" s="2"/>
      <c r="O266" s="11">
        <f t="shared" si="23"/>
        <v>31.2</v>
      </c>
      <c r="P266" s="2"/>
      <c r="Q266" s="5">
        <f t="shared" si="31"/>
        <v>-9.5694510161507852E-3</v>
      </c>
      <c r="R266" s="13">
        <v>45698</v>
      </c>
      <c r="S266" s="2">
        <v>337.6</v>
      </c>
      <c r="T266" s="2"/>
      <c r="U266" s="2"/>
      <c r="V266" s="2"/>
      <c r="W266" s="11">
        <f t="shared" si="24"/>
        <v>337.6</v>
      </c>
      <c r="X266" s="2"/>
      <c r="Y266" s="5">
        <f t="shared" si="32"/>
        <v>2.9664809650965271E-3</v>
      </c>
      <c r="Z266" s="13">
        <v>45698</v>
      </c>
      <c r="AA266" s="2">
        <v>854.9</v>
      </c>
      <c r="AB266" s="2"/>
      <c r="AC266" s="2"/>
      <c r="AD266" s="2"/>
      <c r="AE266" s="2">
        <f t="shared" si="25"/>
        <v>854.9</v>
      </c>
      <c r="AF266" s="2"/>
      <c r="AG266" s="5">
        <f t="shared" si="33"/>
        <v>3.8675700128635499E-3</v>
      </c>
      <c r="AH266" s="13">
        <v>45698</v>
      </c>
      <c r="AI266" s="2">
        <v>496.4</v>
      </c>
      <c r="AJ266" s="2"/>
      <c r="AK266" s="2"/>
      <c r="AL266" s="2"/>
      <c r="AM266" s="2">
        <f t="shared" si="26"/>
        <v>496.4</v>
      </c>
      <c r="AN266" s="2"/>
      <c r="AO266" s="5">
        <f t="shared" si="34"/>
        <v>-6.025324515220646E-3</v>
      </c>
      <c r="AP266" s="13">
        <v>45698</v>
      </c>
      <c r="AQ266" s="11">
        <v>489.5</v>
      </c>
      <c r="AR266" s="2"/>
      <c r="AS266" s="2"/>
      <c r="AT266" s="2"/>
      <c r="AU266" s="11">
        <f t="shared" si="27"/>
        <v>489.5</v>
      </c>
      <c r="AV266" s="2"/>
      <c r="AW266" s="5">
        <f t="shared" si="35"/>
        <v>6.3531313186078915E-3</v>
      </c>
      <c r="AX266" s="13">
        <v>45698</v>
      </c>
      <c r="AY266" s="2">
        <v>23.5</v>
      </c>
      <c r="AZ266" s="2"/>
      <c r="BA266" s="2"/>
      <c r="BB266" s="2"/>
      <c r="BC266" s="2">
        <f t="shared" si="28"/>
        <v>23.5</v>
      </c>
      <c r="BD266" s="2"/>
      <c r="BE266" s="5">
        <f t="shared" si="36"/>
        <v>8.5470605784583476E-3</v>
      </c>
      <c r="BF266" s="13">
        <v>45698</v>
      </c>
      <c r="BG266" s="2">
        <v>149.4</v>
      </c>
      <c r="BH266" s="2"/>
      <c r="BI266" s="2"/>
      <c r="BJ266" s="2"/>
      <c r="BK266" s="2">
        <f t="shared" si="29"/>
        <v>149.4</v>
      </c>
      <c r="BL266" s="2"/>
      <c r="BM266" s="5">
        <f t="shared" si="37"/>
        <v>1.3395849290565674E-3</v>
      </c>
    </row>
    <row r="267" spans="1:65" ht="15.75" customHeight="1" x14ac:dyDescent="0.35">
      <c r="A267" s="676"/>
      <c r="B267" s="13">
        <v>45699</v>
      </c>
      <c r="C267" s="2">
        <v>8.6999999999999993</v>
      </c>
      <c r="D267" s="2"/>
      <c r="E267" s="2"/>
      <c r="F267" s="2"/>
      <c r="G267" s="11">
        <f t="shared" si="30"/>
        <v>8.6999999999999993</v>
      </c>
      <c r="H267" s="2"/>
      <c r="I267" s="5">
        <f t="shared" si="38"/>
        <v>0</v>
      </c>
      <c r="J267" s="13">
        <v>45699</v>
      </c>
      <c r="K267" s="2">
        <v>31.5</v>
      </c>
      <c r="L267" s="2"/>
      <c r="M267" s="2"/>
      <c r="N267" s="2"/>
      <c r="O267" s="11">
        <f t="shared" si="23"/>
        <v>31.5</v>
      </c>
      <c r="P267" s="2"/>
      <c r="Q267" s="5">
        <f t="shared" si="31"/>
        <v>9.5694510161506725E-3</v>
      </c>
      <c r="R267" s="13">
        <v>45699</v>
      </c>
      <c r="S267" s="2">
        <v>337.1</v>
      </c>
      <c r="T267" s="2"/>
      <c r="U267" s="2"/>
      <c r="V267" s="2"/>
      <c r="W267" s="11">
        <f t="shared" si="24"/>
        <v>337.1</v>
      </c>
      <c r="X267" s="2"/>
      <c r="Y267" s="5">
        <f t="shared" si="32"/>
        <v>-1.4821404817870576E-3</v>
      </c>
      <c r="Z267" s="13">
        <v>45699</v>
      </c>
      <c r="AA267" s="2">
        <v>860.2</v>
      </c>
      <c r="AB267" s="2"/>
      <c r="AC267" s="2"/>
      <c r="AD267" s="2"/>
      <c r="AE267" s="2">
        <f t="shared" si="25"/>
        <v>860.2</v>
      </c>
      <c r="AF267" s="2"/>
      <c r="AG267" s="5">
        <f t="shared" si="33"/>
        <v>6.1804173174479166E-3</v>
      </c>
      <c r="AH267" s="13">
        <v>45699</v>
      </c>
      <c r="AI267" s="2">
        <v>502.4</v>
      </c>
      <c r="AJ267" s="2"/>
      <c r="AK267" s="2"/>
      <c r="AL267" s="2"/>
      <c r="AM267" s="2">
        <f t="shared" si="26"/>
        <v>502.4</v>
      </c>
      <c r="AN267" s="2"/>
      <c r="AO267" s="5">
        <f t="shared" si="34"/>
        <v>1.2014561823536824E-2</v>
      </c>
      <c r="AP267" s="13">
        <v>45699</v>
      </c>
      <c r="AQ267" s="11">
        <v>490.5</v>
      </c>
      <c r="AR267" s="2"/>
      <c r="AS267" s="2"/>
      <c r="AT267" s="2"/>
      <c r="AU267" s="11">
        <f t="shared" si="27"/>
        <v>490.5</v>
      </c>
      <c r="AV267" s="2"/>
      <c r="AW267" s="5">
        <f t="shared" si="35"/>
        <v>2.0408170348527664E-3</v>
      </c>
      <c r="AX267" s="13">
        <v>45699</v>
      </c>
      <c r="AY267" s="2">
        <v>23.3</v>
      </c>
      <c r="AZ267" s="2"/>
      <c r="BA267" s="2"/>
      <c r="BB267" s="2"/>
      <c r="BC267" s="2">
        <f t="shared" si="28"/>
        <v>23.3</v>
      </c>
      <c r="BD267" s="2"/>
      <c r="BE267" s="5">
        <f t="shared" si="36"/>
        <v>-8.5470605784584083E-3</v>
      </c>
      <c r="BF267" s="13">
        <v>45699</v>
      </c>
      <c r="BG267" s="2">
        <v>150.1</v>
      </c>
      <c r="BH267" s="2"/>
      <c r="BI267" s="2"/>
      <c r="BJ267" s="2"/>
      <c r="BK267" s="2">
        <f t="shared" si="29"/>
        <v>150.1</v>
      </c>
      <c r="BL267" s="2"/>
      <c r="BM267" s="5">
        <f t="shared" si="37"/>
        <v>4.6744659406991757E-3</v>
      </c>
    </row>
    <row r="268" spans="1:65" ht="15.75" customHeight="1" x14ac:dyDescent="0.35">
      <c r="A268" s="676"/>
      <c r="B268" s="13">
        <v>45700</v>
      </c>
      <c r="C268" s="2">
        <v>8.6999999999999993</v>
      </c>
      <c r="D268" s="2"/>
      <c r="E268" s="2"/>
      <c r="F268" s="2"/>
      <c r="G268" s="11">
        <f t="shared" si="30"/>
        <v>8.6999999999999993</v>
      </c>
      <c r="H268" s="2"/>
      <c r="I268" s="5">
        <f t="shared" si="38"/>
        <v>0</v>
      </c>
      <c r="J268" s="13">
        <v>45700</v>
      </c>
      <c r="K268" s="2">
        <v>31.5</v>
      </c>
      <c r="L268" s="2"/>
      <c r="M268" s="2"/>
      <c r="N268" s="2"/>
      <c r="O268" s="11">
        <f t="shared" si="23"/>
        <v>31.5</v>
      </c>
      <c r="P268" s="2"/>
      <c r="Q268" s="5">
        <f t="shared" si="31"/>
        <v>0</v>
      </c>
      <c r="R268" s="13">
        <v>45700</v>
      </c>
      <c r="S268" s="2">
        <v>336.9</v>
      </c>
      <c r="T268" s="6"/>
      <c r="U268" s="2"/>
      <c r="V268" s="2"/>
      <c r="W268" s="11">
        <f t="shared" si="24"/>
        <v>336.9</v>
      </c>
      <c r="X268" s="2"/>
      <c r="Y268" s="5">
        <f t="shared" si="32"/>
        <v>-5.9347182750795358E-4</v>
      </c>
      <c r="Z268" s="13">
        <v>45700</v>
      </c>
      <c r="AA268" s="2">
        <v>860.1</v>
      </c>
      <c r="AB268" s="2"/>
      <c r="AC268" s="2"/>
      <c r="AD268" s="2"/>
      <c r="AE268" s="2">
        <f t="shared" si="25"/>
        <v>860.1</v>
      </c>
      <c r="AF268" s="2"/>
      <c r="AG268" s="5">
        <f t="shared" si="33"/>
        <v>-1.1625879220217528E-4</v>
      </c>
      <c r="AH268" s="13">
        <v>45700</v>
      </c>
      <c r="AI268" s="2">
        <v>501.6</v>
      </c>
      <c r="AJ268" s="2"/>
      <c r="AK268" s="2"/>
      <c r="AL268" s="2"/>
      <c r="AM268" s="2">
        <f t="shared" si="26"/>
        <v>501.6</v>
      </c>
      <c r="AN268" s="2"/>
      <c r="AO268" s="5">
        <f t="shared" si="34"/>
        <v>-1.5936258352779249E-3</v>
      </c>
      <c r="AP268" s="13">
        <v>45700</v>
      </c>
      <c r="AQ268" s="11">
        <v>488.5</v>
      </c>
      <c r="AR268" s="2"/>
      <c r="AS268" s="2"/>
      <c r="AT268" s="2"/>
      <c r="AU268" s="11">
        <f t="shared" si="27"/>
        <v>488.5</v>
      </c>
      <c r="AV268" s="2"/>
      <c r="AW268" s="5">
        <f t="shared" si="35"/>
        <v>-4.0858075225802936E-3</v>
      </c>
      <c r="AX268" s="13">
        <v>45700</v>
      </c>
      <c r="AY268" s="2">
        <v>25.5</v>
      </c>
      <c r="AZ268" s="2"/>
      <c r="BA268" s="2"/>
      <c r="BB268" s="2"/>
      <c r="BC268" s="2">
        <f t="shared" si="28"/>
        <v>25.5</v>
      </c>
      <c r="BD268" s="2"/>
      <c r="BE268" s="5">
        <f t="shared" si="36"/>
        <v>9.0225091592725501E-2</v>
      </c>
      <c r="BF268" s="13">
        <v>45700</v>
      </c>
      <c r="BG268" s="2">
        <v>149.19999999999999</v>
      </c>
      <c r="BH268" s="2"/>
      <c r="BI268" s="2"/>
      <c r="BJ268" s="2"/>
      <c r="BK268" s="2">
        <f t="shared" si="29"/>
        <v>149.19999999999999</v>
      </c>
      <c r="BL268" s="2"/>
      <c r="BM268" s="5">
        <f t="shared" si="37"/>
        <v>-6.0140508697558081E-3</v>
      </c>
    </row>
    <row r="269" spans="1:65" ht="15.75" customHeight="1" x14ac:dyDescent="0.35">
      <c r="A269" s="676"/>
      <c r="B269" s="13">
        <v>45701</v>
      </c>
      <c r="C269" s="2">
        <v>8.8000000000000007</v>
      </c>
      <c r="D269" s="2"/>
      <c r="E269" s="2"/>
      <c r="F269" s="2"/>
      <c r="G269" s="11">
        <f t="shared" si="30"/>
        <v>8.8000000000000007</v>
      </c>
      <c r="H269" s="2"/>
      <c r="I269" s="5">
        <f t="shared" si="38"/>
        <v>1.142869582362285E-2</v>
      </c>
      <c r="J269" s="13">
        <v>45701</v>
      </c>
      <c r="K269" s="2">
        <v>31.3</v>
      </c>
      <c r="L269" s="2"/>
      <c r="M269" s="2"/>
      <c r="N269" s="2"/>
      <c r="O269" s="11">
        <f t="shared" si="23"/>
        <v>31.3</v>
      </c>
      <c r="P269" s="2"/>
      <c r="Q269" s="5">
        <f t="shared" si="31"/>
        <v>-6.3694482854798227E-3</v>
      </c>
      <c r="R269" s="13">
        <v>45701</v>
      </c>
      <c r="S269" s="2">
        <v>338.6</v>
      </c>
      <c r="T269" s="2"/>
      <c r="U269" s="2"/>
      <c r="V269" s="2"/>
      <c r="W269" s="11">
        <f t="shared" si="24"/>
        <v>338.6</v>
      </c>
      <c r="X269" s="2"/>
      <c r="Y269" s="5">
        <f t="shared" si="32"/>
        <v>5.0333192865278792E-3</v>
      </c>
      <c r="Z269" s="13">
        <v>45701</v>
      </c>
      <c r="AA269" s="2">
        <v>861</v>
      </c>
      <c r="AB269" s="2"/>
      <c r="AC269" s="2"/>
      <c r="AD269" s="2"/>
      <c r="AE269" s="2">
        <f t="shared" si="25"/>
        <v>861</v>
      </c>
      <c r="AF269" s="2"/>
      <c r="AG269" s="5">
        <f t="shared" si="33"/>
        <v>1.0458428702969681E-3</v>
      </c>
      <c r="AH269" s="13">
        <v>45701</v>
      </c>
      <c r="AI269" s="2">
        <v>521.6</v>
      </c>
      <c r="AJ269" s="2"/>
      <c r="AK269" s="2"/>
      <c r="AL269" s="2"/>
      <c r="AM269" s="2">
        <f t="shared" si="26"/>
        <v>521.6</v>
      </c>
      <c r="AN269" s="2"/>
      <c r="AO269" s="5">
        <f t="shared" si="34"/>
        <v>3.9098021293732278E-2</v>
      </c>
      <c r="AP269" s="13">
        <v>45701</v>
      </c>
      <c r="AQ269" s="11">
        <v>489</v>
      </c>
      <c r="AR269" s="2"/>
      <c r="AS269" s="2"/>
      <c r="AT269" s="2"/>
      <c r="AU269" s="11">
        <f t="shared" si="27"/>
        <v>489</v>
      </c>
      <c r="AV269" s="2"/>
      <c r="AW269" s="5">
        <f t="shared" si="35"/>
        <v>1.0230179920344864E-3</v>
      </c>
      <c r="AX269" s="13">
        <v>45701</v>
      </c>
      <c r="AY269" s="2">
        <v>25.6</v>
      </c>
      <c r="AZ269" s="2"/>
      <c r="BA269" s="2"/>
      <c r="BB269" s="2"/>
      <c r="BC269" s="2">
        <f t="shared" si="28"/>
        <v>25.6</v>
      </c>
      <c r="BD269" s="2"/>
      <c r="BE269" s="5">
        <f t="shared" si="36"/>
        <v>3.9138993211363148E-3</v>
      </c>
      <c r="BF269" s="13">
        <v>45701</v>
      </c>
      <c r="BG269" s="2">
        <v>149.1</v>
      </c>
      <c r="BH269" s="2"/>
      <c r="BI269" s="2"/>
      <c r="BJ269" s="2"/>
      <c r="BK269" s="2">
        <f t="shared" si="29"/>
        <v>149.1</v>
      </c>
      <c r="BL269" s="2"/>
      <c r="BM269" s="5">
        <f t="shared" si="37"/>
        <v>-6.7046599896768719E-4</v>
      </c>
    </row>
    <row r="270" spans="1:65" ht="15.75" customHeight="1" x14ac:dyDescent="0.35">
      <c r="A270" s="676"/>
      <c r="B270" s="13">
        <v>45704</v>
      </c>
      <c r="C270" s="2">
        <v>8.6999999999999993</v>
      </c>
      <c r="D270" s="2"/>
      <c r="E270" s="2"/>
      <c r="F270" s="2"/>
      <c r="G270" s="11">
        <f t="shared" si="30"/>
        <v>8.6999999999999993</v>
      </c>
      <c r="H270" s="2"/>
      <c r="I270" s="5">
        <f t="shared" si="38"/>
        <v>-1.1428695823622968E-2</v>
      </c>
      <c r="J270" s="13">
        <v>45704</v>
      </c>
      <c r="K270" s="2">
        <v>31.5</v>
      </c>
      <c r="L270" s="2"/>
      <c r="M270" s="2"/>
      <c r="N270" s="2"/>
      <c r="O270" s="11">
        <f t="shared" si="23"/>
        <v>31.5</v>
      </c>
      <c r="P270" s="2"/>
      <c r="Q270" s="5">
        <f t="shared" si="31"/>
        <v>6.3694482854799285E-3</v>
      </c>
      <c r="R270" s="13">
        <v>45704</v>
      </c>
      <c r="S270" s="2">
        <v>340.6</v>
      </c>
      <c r="T270" s="2"/>
      <c r="U270" s="2"/>
      <c r="V270" s="2"/>
      <c r="W270" s="11">
        <f t="shared" si="24"/>
        <v>340.6</v>
      </c>
      <c r="X270" s="2"/>
      <c r="Y270" s="5">
        <f t="shared" si="32"/>
        <v>5.8892985295529452E-3</v>
      </c>
      <c r="Z270" s="13">
        <v>45704</v>
      </c>
      <c r="AA270" s="2">
        <v>865.1</v>
      </c>
      <c r="AB270" s="2"/>
      <c r="AC270" s="2"/>
      <c r="AD270" s="2"/>
      <c r="AE270" s="2">
        <f t="shared" si="25"/>
        <v>865.1</v>
      </c>
      <c r="AF270" s="2"/>
      <c r="AG270" s="5">
        <f t="shared" si="33"/>
        <v>4.7506027585977988E-3</v>
      </c>
      <c r="AH270" s="13">
        <v>45704</v>
      </c>
      <c r="AI270" s="2">
        <v>519.1</v>
      </c>
      <c r="AJ270" s="2"/>
      <c r="AK270" s="2"/>
      <c r="AL270" s="2"/>
      <c r="AM270" s="2">
        <f t="shared" si="26"/>
        <v>519.1</v>
      </c>
      <c r="AN270" s="2"/>
      <c r="AO270" s="5">
        <f t="shared" si="34"/>
        <v>-4.8044677792598162E-3</v>
      </c>
      <c r="AP270" s="13">
        <v>45704</v>
      </c>
      <c r="AQ270" s="11">
        <v>485.8</v>
      </c>
      <c r="AR270" s="2"/>
      <c r="AS270" s="2"/>
      <c r="AT270" s="2"/>
      <c r="AU270" s="11">
        <f t="shared" si="27"/>
        <v>485.8</v>
      </c>
      <c r="AV270" s="2"/>
      <c r="AW270" s="5">
        <f t="shared" si="35"/>
        <v>-6.5654729067999018E-3</v>
      </c>
      <c r="AX270" s="13">
        <v>45704</v>
      </c>
      <c r="AY270" s="2">
        <v>24.6</v>
      </c>
      <c r="AZ270" s="2"/>
      <c r="BA270" s="2"/>
      <c r="BB270" s="2"/>
      <c r="BC270" s="2">
        <f t="shared" si="28"/>
        <v>24.6</v>
      </c>
      <c r="BD270" s="2"/>
      <c r="BE270" s="5">
        <f t="shared" si="36"/>
        <v>-3.9845908547199674E-2</v>
      </c>
      <c r="BF270" s="13">
        <v>45704</v>
      </c>
      <c r="BG270" s="2">
        <v>148.1</v>
      </c>
      <c r="BH270" s="2"/>
      <c r="BI270" s="2"/>
      <c r="BJ270" s="2"/>
      <c r="BK270" s="2">
        <f t="shared" si="29"/>
        <v>148.1</v>
      </c>
      <c r="BL270" s="2"/>
      <c r="BM270" s="5">
        <f t="shared" si="37"/>
        <v>-6.7295004969396052E-3</v>
      </c>
    </row>
    <row r="271" spans="1:65" ht="15.75" customHeight="1" x14ac:dyDescent="0.35">
      <c r="A271" s="676"/>
      <c r="B271" s="13">
        <v>45705</v>
      </c>
      <c r="C271" s="2">
        <v>8.8000000000000007</v>
      </c>
      <c r="D271" s="2"/>
      <c r="E271" s="2"/>
      <c r="F271" s="2"/>
      <c r="G271" s="11">
        <f t="shared" si="30"/>
        <v>8.8000000000000007</v>
      </c>
      <c r="H271" s="2"/>
      <c r="I271" s="5">
        <f t="shared" si="38"/>
        <v>1.142869582362285E-2</v>
      </c>
      <c r="J271" s="13">
        <v>45705</v>
      </c>
      <c r="K271" s="2">
        <v>31.7</v>
      </c>
      <c r="L271" s="2"/>
      <c r="M271" s="2"/>
      <c r="N271" s="2"/>
      <c r="O271" s="11">
        <f t="shared" si="23"/>
        <v>31.7</v>
      </c>
      <c r="P271" s="2"/>
      <c r="Q271" s="5">
        <f t="shared" si="31"/>
        <v>6.3291350516475296E-3</v>
      </c>
      <c r="R271" s="13">
        <v>45705</v>
      </c>
      <c r="S271" s="2">
        <v>345.8</v>
      </c>
      <c r="T271" s="2"/>
      <c r="U271" s="2"/>
      <c r="V271" s="2"/>
      <c r="W271" s="11">
        <f t="shared" si="24"/>
        <v>345.8</v>
      </c>
      <c r="X271" s="2"/>
      <c r="Y271" s="5">
        <f t="shared" si="32"/>
        <v>1.5151805020602246E-2</v>
      </c>
      <c r="Z271" s="13">
        <v>45705</v>
      </c>
      <c r="AA271" s="2">
        <v>864</v>
      </c>
      <c r="AB271" s="2"/>
      <c r="AC271" s="2"/>
      <c r="AD271" s="2"/>
      <c r="AE271" s="2">
        <f t="shared" si="25"/>
        <v>864</v>
      </c>
      <c r="AF271" s="2"/>
      <c r="AG271" s="5">
        <f t="shared" si="33"/>
        <v>-1.2723383822730481E-3</v>
      </c>
      <c r="AH271" s="13">
        <v>45705</v>
      </c>
      <c r="AI271" s="2">
        <v>520.9</v>
      </c>
      <c r="AJ271" s="2"/>
      <c r="AK271" s="2"/>
      <c r="AL271" s="2"/>
      <c r="AM271" s="2">
        <f t="shared" si="26"/>
        <v>520.9</v>
      </c>
      <c r="AN271" s="2"/>
      <c r="AO271" s="5">
        <f t="shared" si="34"/>
        <v>3.4615419179624481E-3</v>
      </c>
      <c r="AP271" s="13">
        <v>45705</v>
      </c>
      <c r="AQ271" s="11">
        <v>483.2</v>
      </c>
      <c r="AR271" s="2"/>
      <c r="AS271" s="2"/>
      <c r="AT271" s="2"/>
      <c r="AU271" s="11">
        <f t="shared" si="27"/>
        <v>483.2</v>
      </c>
      <c r="AV271" s="2"/>
      <c r="AW271" s="5">
        <f t="shared" si="35"/>
        <v>-5.3663699474669454E-3</v>
      </c>
      <c r="AX271" s="13">
        <v>45705</v>
      </c>
      <c r="AY271" s="2">
        <v>24.6</v>
      </c>
      <c r="AZ271" s="2"/>
      <c r="BA271" s="2"/>
      <c r="BB271" s="2"/>
      <c r="BC271" s="2">
        <f t="shared" si="28"/>
        <v>24.6</v>
      </c>
      <c r="BD271" s="2"/>
      <c r="BE271" s="5">
        <f t="shared" si="36"/>
        <v>0</v>
      </c>
      <c r="BF271" s="13">
        <v>45705</v>
      </c>
      <c r="BG271" s="2">
        <v>146.1</v>
      </c>
      <c r="BH271" s="2"/>
      <c r="BI271" s="2"/>
      <c r="BJ271" s="2"/>
      <c r="BK271" s="2">
        <f t="shared" si="29"/>
        <v>146.1</v>
      </c>
      <c r="BL271" s="2"/>
      <c r="BM271" s="5">
        <f t="shared" si="37"/>
        <v>-1.3596402517099265E-2</v>
      </c>
    </row>
    <row r="272" spans="1:65" ht="15.75" customHeight="1" x14ac:dyDescent="0.35">
      <c r="A272" s="676"/>
      <c r="B272" s="13">
        <v>45706</v>
      </c>
      <c r="C272" s="2">
        <v>8.9</v>
      </c>
      <c r="D272" s="2"/>
      <c r="E272" s="2"/>
      <c r="F272" s="2"/>
      <c r="G272" s="11">
        <f t="shared" si="30"/>
        <v>8.9</v>
      </c>
      <c r="H272" s="2"/>
      <c r="I272" s="5">
        <f t="shared" si="38"/>
        <v>1.1299555253933247E-2</v>
      </c>
      <c r="J272" s="13">
        <v>45706</v>
      </c>
      <c r="K272" s="2">
        <v>31.3</v>
      </c>
      <c r="L272" s="2"/>
      <c r="M272" s="2"/>
      <c r="N272" s="2"/>
      <c r="O272" s="11">
        <f t="shared" si="23"/>
        <v>31.3</v>
      </c>
      <c r="P272" s="2"/>
      <c r="Q272" s="5">
        <f t="shared" si="31"/>
        <v>-1.2698583337127319E-2</v>
      </c>
      <c r="R272" s="13">
        <v>45706</v>
      </c>
      <c r="S272" s="2">
        <v>343.8</v>
      </c>
      <c r="T272" s="2"/>
      <c r="U272" s="2"/>
      <c r="V272" s="2"/>
      <c r="W272" s="11">
        <f t="shared" si="24"/>
        <v>343.8</v>
      </c>
      <c r="X272" s="2"/>
      <c r="Y272" s="5">
        <f t="shared" si="32"/>
        <v>-5.8004803004412363E-3</v>
      </c>
      <c r="Z272" s="13">
        <v>45706</v>
      </c>
      <c r="AA272" s="2">
        <v>855.4</v>
      </c>
      <c r="AB272" s="2"/>
      <c r="AC272" s="2"/>
      <c r="AD272" s="2"/>
      <c r="AE272" s="2">
        <f t="shared" si="25"/>
        <v>855.4</v>
      </c>
      <c r="AF272" s="2"/>
      <c r="AG272" s="5">
        <f t="shared" si="33"/>
        <v>-1.0003573011247407E-2</v>
      </c>
      <c r="AH272" s="13">
        <v>45706</v>
      </c>
      <c r="AI272" s="2">
        <v>519.5</v>
      </c>
      <c r="AJ272" s="2"/>
      <c r="AK272" s="2"/>
      <c r="AL272" s="2"/>
      <c r="AM272" s="2">
        <f t="shared" si="26"/>
        <v>519.5</v>
      </c>
      <c r="AN272" s="2"/>
      <c r="AO272" s="5">
        <f t="shared" si="34"/>
        <v>-2.6912742118637258E-3</v>
      </c>
      <c r="AP272" s="13">
        <v>45706</v>
      </c>
      <c r="AQ272" s="11">
        <v>482</v>
      </c>
      <c r="AR272" s="2"/>
      <c r="AS272" s="2"/>
      <c r="AT272" s="2"/>
      <c r="AU272" s="11">
        <f t="shared" si="27"/>
        <v>482</v>
      </c>
      <c r="AV272" s="2"/>
      <c r="AW272" s="5">
        <f t="shared" si="35"/>
        <v>-2.4865325700048164E-3</v>
      </c>
      <c r="AX272" s="13">
        <v>45706</v>
      </c>
      <c r="AY272" s="2">
        <v>23.5</v>
      </c>
      <c r="AZ272" s="2"/>
      <c r="BA272" s="2"/>
      <c r="BB272" s="2"/>
      <c r="BC272" s="2">
        <f t="shared" si="28"/>
        <v>23.5</v>
      </c>
      <c r="BD272" s="2"/>
      <c r="BE272" s="5">
        <f t="shared" si="36"/>
        <v>-4.5746021788203924E-2</v>
      </c>
      <c r="BF272" s="13">
        <v>45706</v>
      </c>
      <c r="BG272" s="2">
        <v>151.80000000000001</v>
      </c>
      <c r="BH272" s="2"/>
      <c r="BI272" s="2"/>
      <c r="BJ272" s="2"/>
      <c r="BK272" s="2">
        <f t="shared" si="29"/>
        <v>151.80000000000001</v>
      </c>
      <c r="BL272" s="2"/>
      <c r="BM272" s="5">
        <f t="shared" si="37"/>
        <v>3.8272546204875933E-2</v>
      </c>
    </row>
    <row r="273" spans="1:65" ht="15.75" customHeight="1" x14ac:dyDescent="0.35">
      <c r="A273" s="676"/>
      <c r="B273" s="13">
        <v>45707</v>
      </c>
      <c r="C273" s="2">
        <v>8.9</v>
      </c>
      <c r="D273" s="2"/>
      <c r="E273" s="2"/>
      <c r="F273" s="2"/>
      <c r="G273" s="11">
        <f t="shared" si="30"/>
        <v>8.9</v>
      </c>
      <c r="H273" s="2"/>
      <c r="I273" s="5">
        <f t="shared" si="38"/>
        <v>0</v>
      </c>
      <c r="J273" s="13">
        <v>45707</v>
      </c>
      <c r="K273" s="2">
        <v>31.2</v>
      </c>
      <c r="L273" s="2"/>
      <c r="M273" s="2"/>
      <c r="N273" s="2"/>
      <c r="O273" s="11">
        <f t="shared" si="23"/>
        <v>31.2</v>
      </c>
      <c r="P273" s="2"/>
      <c r="Q273" s="5">
        <f t="shared" si="31"/>
        <v>-3.2000027306709027E-3</v>
      </c>
      <c r="R273" s="13">
        <v>45707</v>
      </c>
      <c r="S273" s="2">
        <v>343.7</v>
      </c>
      <c r="T273" s="2"/>
      <c r="U273" s="2"/>
      <c r="V273" s="2"/>
      <c r="W273" s="11">
        <f t="shared" si="24"/>
        <v>343.7</v>
      </c>
      <c r="X273" s="2"/>
      <c r="Y273" s="5">
        <f t="shared" si="32"/>
        <v>-2.9090909296078951E-4</v>
      </c>
      <c r="Z273" s="13">
        <v>45707</v>
      </c>
      <c r="AA273" s="2">
        <v>849.2</v>
      </c>
      <c r="AB273" s="2"/>
      <c r="AC273" s="2"/>
      <c r="AD273" s="2"/>
      <c r="AE273" s="2">
        <f t="shared" si="25"/>
        <v>849.2</v>
      </c>
      <c r="AF273" s="2"/>
      <c r="AG273" s="5">
        <f t="shared" si="33"/>
        <v>-7.2744659637070967E-3</v>
      </c>
      <c r="AH273" s="13">
        <v>45707</v>
      </c>
      <c r="AI273" s="2">
        <v>518.9</v>
      </c>
      <c r="AJ273" s="2"/>
      <c r="AK273" s="2"/>
      <c r="AL273" s="2"/>
      <c r="AM273" s="2">
        <f t="shared" si="26"/>
        <v>518.9</v>
      </c>
      <c r="AN273" s="2"/>
      <c r="AO273" s="5">
        <f t="shared" si="34"/>
        <v>-1.1556241655882185E-3</v>
      </c>
      <c r="AP273" s="13">
        <v>45707</v>
      </c>
      <c r="AQ273" s="11">
        <v>479.4</v>
      </c>
      <c r="AR273" s="2"/>
      <c r="AS273" s="2"/>
      <c r="AT273" s="2"/>
      <c r="AU273" s="11">
        <f t="shared" si="27"/>
        <v>479.4</v>
      </c>
      <c r="AV273" s="2"/>
      <c r="AW273" s="5">
        <f t="shared" si="35"/>
        <v>-5.4087920503164133E-3</v>
      </c>
      <c r="AX273" s="13">
        <v>45707</v>
      </c>
      <c r="AY273" s="2">
        <v>23.2</v>
      </c>
      <c r="AZ273" s="2"/>
      <c r="BA273" s="2"/>
      <c r="BB273" s="2"/>
      <c r="BC273" s="2">
        <f t="shared" si="28"/>
        <v>23.2</v>
      </c>
      <c r="BD273" s="2"/>
      <c r="BE273" s="5">
        <f t="shared" si="36"/>
        <v>-1.2848142477849024E-2</v>
      </c>
      <c r="BF273" s="13">
        <v>45707</v>
      </c>
      <c r="BG273" s="2">
        <v>150.30000000000001</v>
      </c>
      <c r="BH273" s="2"/>
      <c r="BI273" s="2"/>
      <c r="BJ273" s="2"/>
      <c r="BK273" s="2">
        <f t="shared" si="29"/>
        <v>150.30000000000001</v>
      </c>
      <c r="BL273" s="2"/>
      <c r="BM273" s="5">
        <f t="shared" si="37"/>
        <v>-9.9305682026007997E-3</v>
      </c>
    </row>
    <row r="274" spans="1:65" ht="15.75" customHeight="1" x14ac:dyDescent="0.35">
      <c r="A274" s="676"/>
      <c r="B274" s="13">
        <v>45708</v>
      </c>
      <c r="C274" s="2">
        <v>9</v>
      </c>
      <c r="D274" s="2"/>
      <c r="E274" s="2"/>
      <c r="F274" s="2"/>
      <c r="G274" s="11">
        <f t="shared" si="30"/>
        <v>9</v>
      </c>
      <c r="H274" s="2"/>
      <c r="I274" s="5">
        <f t="shared" si="38"/>
        <v>1.1173300598125255E-2</v>
      </c>
      <c r="J274" s="13">
        <v>45708</v>
      </c>
      <c r="K274" s="2">
        <v>31.1</v>
      </c>
      <c r="L274" s="2"/>
      <c r="M274" s="2"/>
      <c r="N274" s="2"/>
      <c r="O274" s="11">
        <f t="shared" si="23"/>
        <v>31.1</v>
      </c>
      <c r="P274" s="2"/>
      <c r="Q274" s="5">
        <f t="shared" si="31"/>
        <v>-3.2102756302480988E-3</v>
      </c>
      <c r="R274" s="13">
        <v>45708</v>
      </c>
      <c r="S274" s="2">
        <v>345.7</v>
      </c>
      <c r="T274" s="2"/>
      <c r="U274" s="2"/>
      <c r="V274" s="2"/>
      <c r="W274" s="11">
        <f t="shared" si="24"/>
        <v>345.7</v>
      </c>
      <c r="X274" s="2"/>
      <c r="Y274" s="5">
        <f t="shared" si="32"/>
        <v>5.8021630717907417E-3</v>
      </c>
      <c r="Z274" s="13">
        <v>45708</v>
      </c>
      <c r="AA274" s="2">
        <v>855.4</v>
      </c>
      <c r="AB274" s="2"/>
      <c r="AC274" s="2"/>
      <c r="AD274" s="2"/>
      <c r="AE274" s="2">
        <f t="shared" si="25"/>
        <v>855.4</v>
      </c>
      <c r="AF274" s="2"/>
      <c r="AG274" s="5">
        <f t="shared" si="33"/>
        <v>7.2744659637071678E-3</v>
      </c>
      <c r="AH274" s="13">
        <v>45708</v>
      </c>
      <c r="AI274" s="2">
        <v>517</v>
      </c>
      <c r="AJ274" s="2"/>
      <c r="AK274" s="2"/>
      <c r="AL274" s="2"/>
      <c r="AM274" s="2">
        <f t="shared" si="26"/>
        <v>517</v>
      </c>
      <c r="AN274" s="2"/>
      <c r="AO274" s="5">
        <f t="shared" si="34"/>
        <v>-3.6683118652647731E-3</v>
      </c>
      <c r="AP274" s="13">
        <v>45708</v>
      </c>
      <c r="AQ274" s="11">
        <v>478.4</v>
      </c>
      <c r="AR274" s="2"/>
      <c r="AS274" s="2"/>
      <c r="AT274" s="2"/>
      <c r="AU274" s="11">
        <f t="shared" si="27"/>
        <v>478.4</v>
      </c>
      <c r="AV274" s="2"/>
      <c r="AW274" s="5">
        <f t="shared" si="35"/>
        <v>-2.0881193638620458E-3</v>
      </c>
      <c r="AX274" s="13">
        <v>45708</v>
      </c>
      <c r="AY274" s="2">
        <v>22.6</v>
      </c>
      <c r="AZ274" s="2"/>
      <c r="BA274" s="2"/>
      <c r="BB274" s="2"/>
      <c r="BC274" s="2">
        <f t="shared" si="28"/>
        <v>22.6</v>
      </c>
      <c r="BD274" s="2"/>
      <c r="BE274" s="5">
        <f t="shared" si="36"/>
        <v>-2.6202372394023961E-2</v>
      </c>
      <c r="BF274" s="13">
        <v>45708</v>
      </c>
      <c r="BG274" s="2">
        <v>148.5</v>
      </c>
      <c r="BH274" s="2"/>
      <c r="BI274" s="2"/>
      <c r="BJ274" s="2"/>
      <c r="BK274" s="2">
        <f t="shared" si="29"/>
        <v>148.5</v>
      </c>
      <c r="BL274" s="2"/>
      <c r="BM274" s="5">
        <f t="shared" si="37"/>
        <v>-1.2048338516174593E-2</v>
      </c>
    </row>
    <row r="275" spans="1:65" ht="15.75" customHeight="1" x14ac:dyDescent="0.35">
      <c r="A275" s="676"/>
      <c r="B275" s="13">
        <v>45711</v>
      </c>
      <c r="C275" s="2">
        <v>9.1999999999999993</v>
      </c>
      <c r="D275" s="2"/>
      <c r="E275" s="2"/>
      <c r="F275" s="2"/>
      <c r="G275" s="11">
        <f t="shared" si="30"/>
        <v>9.1999999999999993</v>
      </c>
      <c r="H275" s="2"/>
      <c r="I275" s="5">
        <f t="shared" si="38"/>
        <v>2.1978906718775167E-2</v>
      </c>
      <c r="J275" s="13">
        <v>45711</v>
      </c>
      <c r="K275" s="2">
        <v>31.3</v>
      </c>
      <c r="L275" s="2"/>
      <c r="M275" s="2"/>
      <c r="N275" s="2"/>
      <c r="O275" s="11">
        <f t="shared" si="23"/>
        <v>31.3</v>
      </c>
      <c r="P275" s="2"/>
      <c r="Q275" s="5">
        <f t="shared" si="31"/>
        <v>6.4102783609190188E-3</v>
      </c>
      <c r="R275" s="13">
        <v>45711</v>
      </c>
      <c r="S275" s="2">
        <v>346.4</v>
      </c>
      <c r="T275" s="2"/>
      <c r="U275" s="2"/>
      <c r="V275" s="2"/>
      <c r="W275" s="11">
        <f t="shared" si="24"/>
        <v>346.4</v>
      </c>
      <c r="X275" s="2"/>
      <c r="Y275" s="5">
        <f t="shared" si="32"/>
        <v>2.0228297607012623E-3</v>
      </c>
      <c r="Z275" s="13">
        <v>45711</v>
      </c>
      <c r="AA275" s="2">
        <v>851</v>
      </c>
      <c r="AB275" s="2"/>
      <c r="AC275" s="2"/>
      <c r="AD275" s="2"/>
      <c r="AE275" s="2">
        <f t="shared" si="25"/>
        <v>851</v>
      </c>
      <c r="AF275" s="2"/>
      <c r="AG275" s="5">
        <f t="shared" si="33"/>
        <v>-5.1570672194340972E-3</v>
      </c>
      <c r="AH275" s="13">
        <v>45711</v>
      </c>
      <c r="AI275" s="2">
        <v>514.6</v>
      </c>
      <c r="AJ275" s="2"/>
      <c r="AK275" s="2"/>
      <c r="AL275" s="2"/>
      <c r="AM275" s="2">
        <f t="shared" si="26"/>
        <v>514.6</v>
      </c>
      <c r="AN275" s="2"/>
      <c r="AO275" s="5">
        <f t="shared" si="34"/>
        <v>-4.6529746607852614E-3</v>
      </c>
      <c r="AP275" s="13">
        <v>45711</v>
      </c>
      <c r="AQ275" s="11">
        <v>476.2</v>
      </c>
      <c r="AR275" s="2"/>
      <c r="AS275" s="2"/>
      <c r="AT275" s="2"/>
      <c r="AU275" s="11">
        <f t="shared" si="27"/>
        <v>476.2</v>
      </c>
      <c r="AV275" s="2"/>
      <c r="AW275" s="5">
        <f t="shared" si="35"/>
        <v>-4.6092685836595431E-3</v>
      </c>
      <c r="AX275" s="13">
        <v>45711</v>
      </c>
      <c r="AY275" s="2">
        <v>23.1</v>
      </c>
      <c r="AZ275" s="2"/>
      <c r="BA275" s="2"/>
      <c r="BB275" s="2"/>
      <c r="BC275" s="2">
        <f t="shared" si="28"/>
        <v>23.1</v>
      </c>
      <c r="BD275" s="2"/>
      <c r="BE275" s="5">
        <f t="shared" si="36"/>
        <v>2.1882711249507587E-2</v>
      </c>
      <c r="BF275" s="13">
        <v>45711</v>
      </c>
      <c r="BG275" s="2">
        <v>149</v>
      </c>
      <c r="BH275" s="2"/>
      <c r="BI275" s="2"/>
      <c r="BJ275" s="2"/>
      <c r="BK275" s="2">
        <f t="shared" si="29"/>
        <v>149</v>
      </c>
      <c r="BL275" s="2"/>
      <c r="BM275" s="5">
        <f t="shared" si="37"/>
        <v>3.3613477027049274E-3</v>
      </c>
    </row>
    <row r="276" spans="1:65" ht="15.75" customHeight="1" x14ac:dyDescent="0.35">
      <c r="A276" s="676"/>
      <c r="B276" s="13">
        <v>45712</v>
      </c>
      <c r="C276" s="2">
        <v>9.1999999999999993</v>
      </c>
      <c r="D276" s="2"/>
      <c r="E276" s="2"/>
      <c r="F276" s="2"/>
      <c r="G276" s="11">
        <f t="shared" si="30"/>
        <v>9.1999999999999993</v>
      </c>
      <c r="H276" s="2"/>
      <c r="I276" s="5">
        <f t="shared" si="38"/>
        <v>0</v>
      </c>
      <c r="J276" s="13">
        <v>45712</v>
      </c>
      <c r="K276" s="2">
        <v>31.8</v>
      </c>
      <c r="L276" s="2"/>
      <c r="M276" s="2"/>
      <c r="N276" s="2"/>
      <c r="O276" s="11">
        <f t="shared" si="23"/>
        <v>31.8</v>
      </c>
      <c r="P276" s="2"/>
      <c r="Q276" s="5">
        <f t="shared" si="31"/>
        <v>1.5848192240023713E-2</v>
      </c>
      <c r="R276" s="13">
        <v>45712</v>
      </c>
      <c r="S276" s="2">
        <v>344.9</v>
      </c>
      <c r="T276" s="2"/>
      <c r="U276" s="2"/>
      <c r="V276" s="2"/>
      <c r="W276" s="11">
        <f t="shared" si="24"/>
        <v>344.9</v>
      </c>
      <c r="X276" s="2"/>
      <c r="Y276" s="5">
        <f t="shared" si="32"/>
        <v>-4.3396567454848205E-3</v>
      </c>
      <c r="Z276" s="13">
        <v>45712</v>
      </c>
      <c r="AA276" s="2">
        <v>851</v>
      </c>
      <c r="AB276" s="2"/>
      <c r="AC276" s="2"/>
      <c r="AD276" s="2"/>
      <c r="AE276" s="2">
        <f t="shared" si="25"/>
        <v>851</v>
      </c>
      <c r="AF276" s="2"/>
      <c r="AG276" s="5">
        <f t="shared" si="33"/>
        <v>0</v>
      </c>
      <c r="AH276" s="13">
        <v>45712</v>
      </c>
      <c r="AI276" s="2">
        <v>514.1</v>
      </c>
      <c r="AJ276" s="2"/>
      <c r="AK276" s="2"/>
      <c r="AL276" s="2"/>
      <c r="AM276" s="2">
        <f t="shared" si="26"/>
        <v>514.1</v>
      </c>
      <c r="AN276" s="2"/>
      <c r="AO276" s="5">
        <f t="shared" si="34"/>
        <v>-9.7210078618483104E-4</v>
      </c>
      <c r="AP276" s="13">
        <v>45712</v>
      </c>
      <c r="AQ276" s="11">
        <v>474.6</v>
      </c>
      <c r="AR276" s="2"/>
      <c r="AS276" s="2"/>
      <c r="AT276" s="2"/>
      <c r="AU276" s="11">
        <f t="shared" si="27"/>
        <v>474.6</v>
      </c>
      <c r="AV276" s="2"/>
      <c r="AW276" s="5">
        <f t="shared" si="35"/>
        <v>-3.3655900510991881E-3</v>
      </c>
      <c r="AX276" s="13">
        <v>45712</v>
      </c>
      <c r="AY276" s="2">
        <v>23.1</v>
      </c>
      <c r="AZ276" s="2"/>
      <c r="BA276" s="2"/>
      <c r="BB276" s="2"/>
      <c r="BC276" s="2">
        <f t="shared" si="28"/>
        <v>23.1</v>
      </c>
      <c r="BD276" s="2"/>
      <c r="BE276" s="5">
        <f t="shared" si="36"/>
        <v>0</v>
      </c>
      <c r="BF276" s="13">
        <v>45712</v>
      </c>
      <c r="BG276" s="2">
        <v>147.5</v>
      </c>
      <c r="BH276" s="2"/>
      <c r="BI276" s="2"/>
      <c r="BJ276" s="2"/>
      <c r="BK276" s="2">
        <f t="shared" si="29"/>
        <v>147.5</v>
      </c>
      <c r="BL276" s="2"/>
      <c r="BM276" s="5">
        <f t="shared" si="37"/>
        <v>-1.0118130165584667E-2</v>
      </c>
    </row>
    <row r="277" spans="1:65" ht="15.75" customHeight="1" x14ac:dyDescent="0.35">
      <c r="A277" s="676"/>
      <c r="B277" s="13">
        <v>45713</v>
      </c>
      <c r="C277" s="2">
        <v>9.9</v>
      </c>
      <c r="D277" s="2"/>
      <c r="E277" s="2"/>
      <c r="F277" s="2"/>
      <c r="G277" s="11">
        <f t="shared" si="30"/>
        <v>9.9</v>
      </c>
      <c r="H277" s="2"/>
      <c r="I277" s="5">
        <f t="shared" si="38"/>
        <v>7.3331273085549722E-2</v>
      </c>
      <c r="J277" s="13">
        <v>45713</v>
      </c>
      <c r="K277" s="2">
        <v>32</v>
      </c>
      <c r="L277" s="2"/>
      <c r="M277" s="2"/>
      <c r="N277" s="2"/>
      <c r="O277" s="11">
        <f t="shared" si="23"/>
        <v>32</v>
      </c>
      <c r="P277" s="2"/>
      <c r="Q277" s="5">
        <f t="shared" si="31"/>
        <v>6.269613013595395E-3</v>
      </c>
      <c r="R277" s="13">
        <v>45713</v>
      </c>
      <c r="S277" s="2">
        <v>344.1</v>
      </c>
      <c r="T277" s="2"/>
      <c r="U277" s="2"/>
      <c r="V277" s="2"/>
      <c r="W277" s="11">
        <f t="shared" si="24"/>
        <v>344.1</v>
      </c>
      <c r="X277" s="2"/>
      <c r="Y277" s="5">
        <f t="shared" si="32"/>
        <v>-2.3222071393603828E-3</v>
      </c>
      <c r="Z277" s="13">
        <v>45713</v>
      </c>
      <c r="AA277" s="2">
        <v>848.4</v>
      </c>
      <c r="AB277" s="2"/>
      <c r="AC277" s="2"/>
      <c r="AD277" s="2"/>
      <c r="AE277" s="2">
        <f t="shared" si="25"/>
        <v>848.4</v>
      </c>
      <c r="AF277" s="2"/>
      <c r="AG277" s="5">
        <f t="shared" si="33"/>
        <v>-3.0599058828467895E-3</v>
      </c>
      <c r="AH277" s="13">
        <v>45713</v>
      </c>
      <c r="AI277" s="2">
        <v>514.5</v>
      </c>
      <c r="AJ277" s="2"/>
      <c r="AK277" s="2"/>
      <c r="AL277" s="2"/>
      <c r="AM277" s="2">
        <f t="shared" si="26"/>
        <v>514.5</v>
      </c>
      <c r="AN277" s="2"/>
      <c r="AO277" s="5">
        <f t="shared" si="34"/>
        <v>7.7775621264536833E-4</v>
      </c>
      <c r="AP277" s="13">
        <v>45713</v>
      </c>
      <c r="AQ277" s="11">
        <v>472.5</v>
      </c>
      <c r="AR277" s="2"/>
      <c r="AS277" s="2"/>
      <c r="AT277" s="2"/>
      <c r="AU277" s="11">
        <f t="shared" si="27"/>
        <v>472.5</v>
      </c>
      <c r="AV277" s="2"/>
      <c r="AW277" s="5">
        <f t="shared" si="35"/>
        <v>-4.4345970678657531E-3</v>
      </c>
      <c r="AX277" s="13">
        <v>45713</v>
      </c>
      <c r="AY277" s="2">
        <v>23.4</v>
      </c>
      <c r="AZ277" s="2"/>
      <c r="BA277" s="2"/>
      <c r="BB277" s="2"/>
      <c r="BC277" s="2">
        <f t="shared" si="28"/>
        <v>23.4</v>
      </c>
      <c r="BD277" s="2"/>
      <c r="BE277" s="5">
        <f t="shared" si="36"/>
        <v>1.2903404835907782E-2</v>
      </c>
      <c r="BF277" s="13">
        <v>45713</v>
      </c>
      <c r="BG277" s="2">
        <v>147</v>
      </c>
      <c r="BH277" s="2"/>
      <c r="BI277" s="2"/>
      <c r="BJ277" s="2"/>
      <c r="BK277" s="2">
        <f t="shared" si="29"/>
        <v>147</v>
      </c>
      <c r="BL277" s="2"/>
      <c r="BM277" s="5">
        <f t="shared" si="37"/>
        <v>-3.3955890011381604E-3</v>
      </c>
    </row>
    <row r="278" spans="1:65" ht="15.75" customHeight="1" x14ac:dyDescent="0.35">
      <c r="A278" s="676"/>
      <c r="B278" s="13">
        <v>45714</v>
      </c>
      <c r="C278" s="2">
        <v>9.9</v>
      </c>
      <c r="D278" s="2"/>
      <c r="E278" s="2"/>
      <c r="F278" s="2"/>
      <c r="G278" s="11">
        <f t="shared" si="30"/>
        <v>9.9</v>
      </c>
      <c r="H278" s="2"/>
      <c r="I278" s="5">
        <f t="shared" si="38"/>
        <v>0</v>
      </c>
      <c r="J278" s="13">
        <v>45714</v>
      </c>
      <c r="K278" s="2">
        <v>31.5</v>
      </c>
      <c r="L278" s="2"/>
      <c r="M278" s="2"/>
      <c r="N278" s="2"/>
      <c r="O278" s="11">
        <f t="shared" si="23"/>
        <v>31.5</v>
      </c>
      <c r="P278" s="2"/>
      <c r="Q278" s="5">
        <f t="shared" si="31"/>
        <v>-1.5748356968139168E-2</v>
      </c>
      <c r="R278" s="13">
        <v>45714</v>
      </c>
      <c r="S278" s="2">
        <v>344.1</v>
      </c>
      <c r="T278" s="2"/>
      <c r="U278" s="2"/>
      <c r="V278" s="2"/>
      <c r="W278" s="11">
        <f t="shared" si="24"/>
        <v>344.1</v>
      </c>
      <c r="X278" s="2"/>
      <c r="Y278" s="5">
        <f t="shared" si="32"/>
        <v>0</v>
      </c>
      <c r="Z278" s="13">
        <v>45714</v>
      </c>
      <c r="AA278" s="2">
        <v>848.5</v>
      </c>
      <c r="AB278" s="2"/>
      <c r="AC278" s="2"/>
      <c r="AD278" s="2"/>
      <c r="AE278" s="2">
        <f t="shared" si="25"/>
        <v>848.5</v>
      </c>
      <c r="AF278" s="2"/>
      <c r="AG278" s="5">
        <f t="shared" si="33"/>
        <v>1.1786198375358155E-4</v>
      </c>
      <c r="AH278" s="13">
        <v>45714</v>
      </c>
      <c r="AI278" s="2">
        <v>513.4</v>
      </c>
      <c r="AJ278" s="2"/>
      <c r="AK278" s="2"/>
      <c r="AL278" s="2"/>
      <c r="AM278" s="2">
        <f t="shared" si="26"/>
        <v>513.4</v>
      </c>
      <c r="AN278" s="2"/>
      <c r="AO278" s="5">
        <f t="shared" si="34"/>
        <v>-2.1402868370643574E-3</v>
      </c>
      <c r="AP278" s="13">
        <v>45714</v>
      </c>
      <c r="AQ278" s="11">
        <v>470.2</v>
      </c>
      <c r="AR278" s="2"/>
      <c r="AS278" s="2"/>
      <c r="AT278" s="2"/>
      <c r="AU278" s="11">
        <f t="shared" si="27"/>
        <v>470.2</v>
      </c>
      <c r="AV278" s="2"/>
      <c r="AW278" s="5">
        <f t="shared" si="35"/>
        <v>-4.8796108278283505E-3</v>
      </c>
      <c r="AX278" s="13">
        <v>45714</v>
      </c>
      <c r="AY278" s="2">
        <v>22.9</v>
      </c>
      <c r="AZ278" s="2"/>
      <c r="BA278" s="2"/>
      <c r="BB278" s="2"/>
      <c r="BC278" s="2">
        <f t="shared" si="28"/>
        <v>22.9</v>
      </c>
      <c r="BD278" s="2"/>
      <c r="BE278" s="5">
        <f t="shared" si="36"/>
        <v>-2.1599111803461815E-2</v>
      </c>
      <c r="BF278" s="13">
        <v>45714</v>
      </c>
      <c r="BG278" s="2">
        <v>147.1</v>
      </c>
      <c r="BH278" s="2"/>
      <c r="BI278" s="2"/>
      <c r="BJ278" s="2"/>
      <c r="BK278" s="2">
        <f t="shared" si="29"/>
        <v>147.1</v>
      </c>
      <c r="BL278" s="2"/>
      <c r="BM278" s="5">
        <f t="shared" si="37"/>
        <v>6.8004082865546665E-4</v>
      </c>
    </row>
    <row r="279" spans="1:65" ht="15.75" customHeight="1" x14ac:dyDescent="0.35">
      <c r="A279" s="676"/>
      <c r="B279" s="13">
        <v>45715</v>
      </c>
      <c r="C279" s="2">
        <v>10.7</v>
      </c>
      <c r="D279" s="2"/>
      <c r="E279" s="2"/>
      <c r="F279" s="2"/>
      <c r="G279" s="11">
        <f t="shared" si="30"/>
        <v>10.7</v>
      </c>
      <c r="H279" s="2"/>
      <c r="I279" s="5">
        <f t="shared" si="38"/>
        <v>7.7708984327316113E-2</v>
      </c>
      <c r="J279" s="13">
        <v>45715</v>
      </c>
      <c r="K279" s="2">
        <v>32.200000000000003</v>
      </c>
      <c r="L279" s="2"/>
      <c r="M279" s="2"/>
      <c r="N279" s="2"/>
      <c r="O279" s="11">
        <f t="shared" si="23"/>
        <v>32.200000000000003</v>
      </c>
      <c r="P279" s="2"/>
      <c r="Q279" s="5">
        <f t="shared" si="31"/>
        <v>2.1978906718775382E-2</v>
      </c>
      <c r="R279" s="13">
        <v>45715</v>
      </c>
      <c r="S279" s="2">
        <v>328.2</v>
      </c>
      <c r="T279" s="2"/>
      <c r="U279" s="2"/>
      <c r="V279" s="2"/>
      <c r="W279" s="11">
        <f t="shared" si="24"/>
        <v>328.2</v>
      </c>
      <c r="X279" s="2">
        <v>17</v>
      </c>
      <c r="Y279" s="5">
        <f t="shared" si="32"/>
        <v>3.1916464058381858E-3</v>
      </c>
      <c r="Z279" s="13">
        <v>45715</v>
      </c>
      <c r="AA279" s="2">
        <v>847.7</v>
      </c>
      <c r="AB279" s="2"/>
      <c r="AC279" s="2"/>
      <c r="AD279" s="2"/>
      <c r="AE279" s="2">
        <f t="shared" si="25"/>
        <v>847.7</v>
      </c>
      <c r="AF279" s="2"/>
      <c r="AG279" s="5">
        <f t="shared" si="33"/>
        <v>-9.4328505992103155E-4</v>
      </c>
      <c r="AH279" s="13">
        <v>45715</v>
      </c>
      <c r="AI279" s="2">
        <v>508.3</v>
      </c>
      <c r="AJ279" s="2"/>
      <c r="AK279" s="2"/>
      <c r="AL279" s="2"/>
      <c r="AM279" s="2">
        <f t="shared" si="26"/>
        <v>508.3</v>
      </c>
      <c r="AN279" s="2"/>
      <c r="AO279" s="5">
        <f t="shared" si="34"/>
        <v>-9.9834439841831497E-3</v>
      </c>
      <c r="AP279" s="13">
        <v>45715</v>
      </c>
      <c r="AQ279" s="11">
        <v>470.6</v>
      </c>
      <c r="AR279" s="2"/>
      <c r="AS279" s="2"/>
      <c r="AT279" s="2"/>
      <c r="AU279" s="11">
        <f t="shared" si="27"/>
        <v>470.6</v>
      </c>
      <c r="AV279" s="2"/>
      <c r="AW279" s="5">
        <f t="shared" si="35"/>
        <v>8.5034018729296629E-4</v>
      </c>
      <c r="AX279" s="13">
        <v>45715</v>
      </c>
      <c r="AY279" s="2">
        <v>23</v>
      </c>
      <c r="AZ279" s="2"/>
      <c r="BA279" s="2"/>
      <c r="BB279" s="2"/>
      <c r="BC279" s="2">
        <f t="shared" si="28"/>
        <v>23</v>
      </c>
      <c r="BD279" s="2"/>
      <c r="BE279" s="5">
        <f t="shared" si="36"/>
        <v>4.3573053689558473E-3</v>
      </c>
      <c r="BF279" s="13">
        <v>45715</v>
      </c>
      <c r="BG279" s="2">
        <v>146</v>
      </c>
      <c r="BH279" s="2"/>
      <c r="BI279" s="2"/>
      <c r="BJ279" s="2"/>
      <c r="BK279" s="2">
        <f t="shared" si="29"/>
        <v>146</v>
      </c>
      <c r="BL279" s="2"/>
      <c r="BM279" s="5">
        <f t="shared" si="37"/>
        <v>-7.5060058990553073E-3</v>
      </c>
    </row>
    <row r="280" spans="1:65" ht="15.75" customHeight="1" x14ac:dyDescent="0.35">
      <c r="A280" s="676"/>
      <c r="B280" s="13">
        <v>45718</v>
      </c>
      <c r="C280" s="2">
        <v>10.3</v>
      </c>
      <c r="D280" s="2"/>
      <c r="E280" s="2"/>
      <c r="F280" s="2"/>
      <c r="G280" s="11">
        <f t="shared" si="30"/>
        <v>10.3</v>
      </c>
      <c r="H280" s="2"/>
      <c r="I280" s="5">
        <f t="shared" si="38"/>
        <v>-3.8099846232270293E-2</v>
      </c>
      <c r="J280" s="13">
        <v>45718</v>
      </c>
      <c r="K280" s="2">
        <v>31.8</v>
      </c>
      <c r="L280" s="2"/>
      <c r="M280" s="2"/>
      <c r="N280" s="2"/>
      <c r="O280" s="11">
        <f t="shared" si="23"/>
        <v>31.8</v>
      </c>
      <c r="P280" s="2"/>
      <c r="Q280" s="5">
        <f t="shared" si="31"/>
        <v>-1.2500162764231494E-2</v>
      </c>
      <c r="R280" s="13">
        <v>45718</v>
      </c>
      <c r="S280" s="2">
        <v>324.89999999999998</v>
      </c>
      <c r="T280" s="2"/>
      <c r="U280" s="2"/>
      <c r="V280" s="2"/>
      <c r="W280" s="11">
        <f t="shared" si="24"/>
        <v>324.89999999999998</v>
      </c>
      <c r="X280" s="2"/>
      <c r="Y280" s="5">
        <f t="shared" si="32"/>
        <v>-1.0105735980935976E-2</v>
      </c>
      <c r="Z280" s="13">
        <v>45718</v>
      </c>
      <c r="AA280" s="2">
        <v>847.4</v>
      </c>
      <c r="AB280" s="2"/>
      <c r="AC280" s="2"/>
      <c r="AD280" s="2"/>
      <c r="AE280" s="2">
        <f t="shared" si="25"/>
        <v>847.4</v>
      </c>
      <c r="AF280" s="2"/>
      <c r="AG280" s="5">
        <f t="shared" si="33"/>
        <v>-3.5396142190115016E-4</v>
      </c>
      <c r="AH280" s="13">
        <v>45718</v>
      </c>
      <c r="AI280" s="2">
        <v>506.5</v>
      </c>
      <c r="AJ280" s="2"/>
      <c r="AK280" s="2"/>
      <c r="AL280" s="2"/>
      <c r="AM280" s="2">
        <f t="shared" si="26"/>
        <v>506.5</v>
      </c>
      <c r="AN280" s="2"/>
      <c r="AO280" s="5">
        <f t="shared" si="34"/>
        <v>-3.5475007641188219E-3</v>
      </c>
      <c r="AP280" s="13">
        <v>45718</v>
      </c>
      <c r="AQ280" s="11">
        <v>470.1</v>
      </c>
      <c r="AR280" s="2"/>
      <c r="AS280" s="2"/>
      <c r="AT280" s="2"/>
      <c r="AU280" s="11">
        <f t="shared" si="27"/>
        <v>470.1</v>
      </c>
      <c r="AV280" s="2"/>
      <c r="AW280" s="5">
        <f t="shared" si="35"/>
        <v>-1.0630382631772403E-3</v>
      </c>
      <c r="AX280" s="13">
        <v>45718</v>
      </c>
      <c r="AY280" s="2">
        <v>22.7</v>
      </c>
      <c r="AZ280" s="2"/>
      <c r="BA280" s="2"/>
      <c r="BB280" s="2"/>
      <c r="BC280" s="2">
        <f t="shared" si="28"/>
        <v>22.7</v>
      </c>
      <c r="BD280" s="2"/>
      <c r="BE280" s="5">
        <f t="shared" si="36"/>
        <v>-1.3129291441792736E-2</v>
      </c>
      <c r="BF280" s="13">
        <v>45718</v>
      </c>
      <c r="BG280" s="2">
        <v>147</v>
      </c>
      <c r="BH280" s="2"/>
      <c r="BI280" s="2"/>
      <c r="BJ280" s="2"/>
      <c r="BK280" s="2">
        <f t="shared" si="29"/>
        <v>147</v>
      </c>
      <c r="BL280" s="2"/>
      <c r="BM280" s="5">
        <f t="shared" si="37"/>
        <v>6.8259650703998906E-3</v>
      </c>
    </row>
    <row r="281" spans="1:65" ht="15.75" customHeight="1" x14ac:dyDescent="0.35">
      <c r="A281" s="676"/>
      <c r="B281" s="13">
        <v>45719</v>
      </c>
      <c r="C281" s="2">
        <v>10.199999999999999</v>
      </c>
      <c r="D281" s="2"/>
      <c r="E281" s="2"/>
      <c r="F281" s="2"/>
      <c r="G281" s="11">
        <f t="shared" si="30"/>
        <v>10.199999999999999</v>
      </c>
      <c r="H281" s="2"/>
      <c r="I281" s="5">
        <f t="shared" si="38"/>
        <v>-9.756174945364798E-3</v>
      </c>
      <c r="J281" s="13">
        <v>45719</v>
      </c>
      <c r="K281" s="2">
        <v>31.9</v>
      </c>
      <c r="L281" s="2"/>
      <c r="M281" s="2"/>
      <c r="N281" s="2"/>
      <c r="O281" s="11">
        <f t="shared" si="23"/>
        <v>31.9</v>
      </c>
      <c r="P281" s="2"/>
      <c r="Q281" s="5">
        <f t="shared" si="31"/>
        <v>3.1397200046676247E-3</v>
      </c>
      <c r="R281" s="13">
        <v>45719</v>
      </c>
      <c r="S281" s="2">
        <v>326.89999999999998</v>
      </c>
      <c r="T281" s="2"/>
      <c r="U281" s="2"/>
      <c r="V281" s="2"/>
      <c r="W281" s="11">
        <f t="shared" si="24"/>
        <v>326.89999999999998</v>
      </c>
      <c r="X281" s="2"/>
      <c r="Y281" s="5">
        <f t="shared" si="32"/>
        <v>6.1368710551102552E-3</v>
      </c>
      <c r="Z281" s="13">
        <v>45719</v>
      </c>
      <c r="AA281" s="2">
        <v>849</v>
      </c>
      <c r="AB281" s="2"/>
      <c r="AC281" s="2"/>
      <c r="AD281" s="2"/>
      <c r="AE281" s="2">
        <f t="shared" si="25"/>
        <v>849</v>
      </c>
      <c r="AF281" s="2"/>
      <c r="AG281" s="5">
        <f t="shared" si="33"/>
        <v>1.8863481188885474E-3</v>
      </c>
      <c r="AH281" s="13">
        <v>45719</v>
      </c>
      <c r="AI281" s="2">
        <v>507.1</v>
      </c>
      <c r="AJ281" s="2"/>
      <c r="AK281" s="2"/>
      <c r="AL281" s="2"/>
      <c r="AM281" s="2">
        <f t="shared" si="26"/>
        <v>507.1</v>
      </c>
      <c r="AN281" s="2"/>
      <c r="AO281" s="5">
        <f t="shared" si="34"/>
        <v>1.1838991122353241E-3</v>
      </c>
      <c r="AP281" s="13">
        <v>45719</v>
      </c>
      <c r="AQ281" s="11">
        <v>470.1</v>
      </c>
      <c r="AR281" s="2"/>
      <c r="AS281" s="2"/>
      <c r="AT281" s="2"/>
      <c r="AU281" s="11">
        <f t="shared" si="27"/>
        <v>470.1</v>
      </c>
      <c r="AV281" s="2"/>
      <c r="AW281" s="5">
        <f t="shared" si="35"/>
        <v>0</v>
      </c>
      <c r="AX281" s="13">
        <v>45719</v>
      </c>
      <c r="AY281" s="2">
        <v>22.7</v>
      </c>
      <c r="AZ281" s="2"/>
      <c r="BA281" s="2"/>
      <c r="BB281" s="2"/>
      <c r="BC281" s="2">
        <f t="shared" si="28"/>
        <v>22.7</v>
      </c>
      <c r="BD281" s="2"/>
      <c r="BE281" s="5">
        <f t="shared" si="36"/>
        <v>0</v>
      </c>
      <c r="BF281" s="13">
        <v>45719</v>
      </c>
      <c r="BG281" s="2">
        <v>146.69999999999999</v>
      </c>
      <c r="BH281" s="2"/>
      <c r="BI281" s="2"/>
      <c r="BJ281" s="2"/>
      <c r="BK281" s="2">
        <f t="shared" si="29"/>
        <v>146.69999999999999</v>
      </c>
      <c r="BL281" s="2"/>
      <c r="BM281" s="5">
        <f t="shared" si="37"/>
        <v>-2.0429016298002933E-3</v>
      </c>
    </row>
    <row r="282" spans="1:65" ht="15.75" customHeight="1" x14ac:dyDescent="0.35">
      <c r="A282" s="676"/>
      <c r="B282" s="13">
        <v>45720</v>
      </c>
      <c r="C282" s="2">
        <v>10</v>
      </c>
      <c r="D282" s="2"/>
      <c r="E282" s="2"/>
      <c r="F282" s="2"/>
      <c r="G282" s="11">
        <f t="shared" si="30"/>
        <v>10</v>
      </c>
      <c r="H282" s="2"/>
      <c r="I282" s="5">
        <f t="shared" si="38"/>
        <v>-1.9802627296179643E-2</v>
      </c>
      <c r="J282" s="13">
        <v>45720</v>
      </c>
      <c r="K282" s="2">
        <v>31.5</v>
      </c>
      <c r="L282" s="2"/>
      <c r="M282" s="2"/>
      <c r="N282" s="2"/>
      <c r="O282" s="11">
        <f t="shared" si="23"/>
        <v>31.5</v>
      </c>
      <c r="P282" s="2"/>
      <c r="Q282" s="5">
        <f t="shared" si="31"/>
        <v>-1.2618463959211462E-2</v>
      </c>
      <c r="R282" s="13">
        <v>45720</v>
      </c>
      <c r="S282" s="2">
        <v>325.39999999999998</v>
      </c>
      <c r="T282" s="2"/>
      <c r="U282" s="2"/>
      <c r="V282" s="2"/>
      <c r="W282" s="11">
        <f t="shared" si="24"/>
        <v>325.39999999999998</v>
      </c>
      <c r="X282" s="2"/>
      <c r="Y282" s="5">
        <f t="shared" si="32"/>
        <v>-4.5991189452275595E-3</v>
      </c>
      <c r="Z282" s="13">
        <v>45720</v>
      </c>
      <c r="AA282" s="2">
        <v>828.6</v>
      </c>
      <c r="AB282" s="2"/>
      <c r="AC282" s="2"/>
      <c r="AD282" s="2"/>
      <c r="AE282" s="2">
        <f t="shared" si="25"/>
        <v>828.6</v>
      </c>
      <c r="AF282" s="2"/>
      <c r="AG282" s="5">
        <f t="shared" si="33"/>
        <v>-2.4321656668045873E-2</v>
      </c>
      <c r="AH282" s="13">
        <v>45720</v>
      </c>
      <c r="AI282" s="2">
        <v>500.3</v>
      </c>
      <c r="AJ282" s="2"/>
      <c r="AK282" s="2"/>
      <c r="AL282" s="2"/>
      <c r="AM282" s="2">
        <f t="shared" si="26"/>
        <v>500.3</v>
      </c>
      <c r="AN282" s="2"/>
      <c r="AO282" s="5">
        <f t="shared" si="34"/>
        <v>-1.3500304306814044E-2</v>
      </c>
      <c r="AP282" s="13">
        <v>45720</v>
      </c>
      <c r="AQ282" s="11">
        <v>469.1</v>
      </c>
      <c r="AR282" s="2"/>
      <c r="AS282" s="2"/>
      <c r="AT282" s="2"/>
      <c r="AU282" s="11">
        <f t="shared" si="27"/>
        <v>469.1</v>
      </c>
      <c r="AV282" s="2"/>
      <c r="AW282" s="5">
        <f t="shared" si="35"/>
        <v>-2.1294726956724986E-3</v>
      </c>
      <c r="AX282" s="13">
        <v>45720</v>
      </c>
      <c r="AY282" s="2">
        <v>22.7</v>
      </c>
      <c r="AZ282" s="2"/>
      <c r="BA282" s="2"/>
      <c r="BB282" s="2"/>
      <c r="BC282" s="2">
        <f t="shared" si="28"/>
        <v>22.7</v>
      </c>
      <c r="BD282" s="2"/>
      <c r="BE282" s="5">
        <f t="shared" si="36"/>
        <v>0</v>
      </c>
      <c r="BF282" s="13">
        <v>45720</v>
      </c>
      <c r="BG282" s="2">
        <v>146.30000000000001</v>
      </c>
      <c r="BH282" s="2"/>
      <c r="BI282" s="2"/>
      <c r="BJ282" s="2"/>
      <c r="BK282" s="2">
        <f t="shared" si="29"/>
        <v>146.30000000000001</v>
      </c>
      <c r="BL282" s="2"/>
      <c r="BM282" s="5">
        <f t="shared" si="37"/>
        <v>-2.7303771228572682E-3</v>
      </c>
    </row>
    <row r="283" spans="1:65" ht="15.75" customHeight="1" x14ac:dyDescent="0.35">
      <c r="A283" s="676"/>
      <c r="B283" s="13">
        <v>45721</v>
      </c>
      <c r="C283" s="2">
        <v>10.4</v>
      </c>
      <c r="D283" s="2"/>
      <c r="E283" s="2"/>
      <c r="F283" s="2"/>
      <c r="G283" s="11">
        <f t="shared" si="30"/>
        <v>10.4</v>
      </c>
      <c r="H283" s="2"/>
      <c r="I283" s="5">
        <f t="shared" si="38"/>
        <v>3.9220713153281329E-2</v>
      </c>
      <c r="J283" s="13">
        <v>45721</v>
      </c>
      <c r="K283" s="2">
        <v>31.1</v>
      </c>
      <c r="L283" s="2"/>
      <c r="M283" s="2"/>
      <c r="N283" s="2"/>
      <c r="O283" s="11">
        <f t="shared" si="23"/>
        <v>31.1</v>
      </c>
      <c r="P283" s="2"/>
      <c r="Q283" s="5">
        <f t="shared" si="31"/>
        <v>-1.2779726646398882E-2</v>
      </c>
      <c r="R283" s="13">
        <v>45721</v>
      </c>
      <c r="S283" s="2">
        <v>325.3</v>
      </c>
      <c r="T283" s="2"/>
      <c r="U283" s="2"/>
      <c r="V283" s="2"/>
      <c r="W283" s="11">
        <f t="shared" si="24"/>
        <v>325.3</v>
      </c>
      <c r="X283" s="2"/>
      <c r="Y283" s="5">
        <f t="shared" si="32"/>
        <v>-3.0736130563153964E-4</v>
      </c>
      <c r="Z283" s="13">
        <v>45721</v>
      </c>
      <c r="AA283" s="2">
        <v>791.9</v>
      </c>
      <c r="AB283" s="2"/>
      <c r="AC283" s="2"/>
      <c r="AD283" s="2"/>
      <c r="AE283" s="2">
        <f t="shared" si="25"/>
        <v>791.9</v>
      </c>
      <c r="AF283" s="2"/>
      <c r="AG283" s="5">
        <f t="shared" si="33"/>
        <v>-4.5302408426934705E-2</v>
      </c>
      <c r="AH283" s="13">
        <v>45721</v>
      </c>
      <c r="AI283" s="2">
        <v>500.6</v>
      </c>
      <c r="AJ283" s="2"/>
      <c r="AK283" s="2"/>
      <c r="AL283" s="2"/>
      <c r="AM283" s="2">
        <f t="shared" si="26"/>
        <v>500.6</v>
      </c>
      <c r="AN283" s="2"/>
      <c r="AO283" s="5">
        <f t="shared" si="34"/>
        <v>5.9946050351455992E-4</v>
      </c>
      <c r="AP283" s="13">
        <v>45721</v>
      </c>
      <c r="AQ283" s="11">
        <v>469.8</v>
      </c>
      <c r="AR283" s="2"/>
      <c r="AS283" s="2"/>
      <c r="AT283" s="2"/>
      <c r="AU283" s="11">
        <f t="shared" si="27"/>
        <v>469.8</v>
      </c>
      <c r="AV283" s="2"/>
      <c r="AW283" s="5">
        <f t="shared" si="35"/>
        <v>1.4911068903999734E-3</v>
      </c>
      <c r="AX283" s="13">
        <v>45721</v>
      </c>
      <c r="AY283" s="2">
        <v>22.8</v>
      </c>
      <c r="AZ283" s="2"/>
      <c r="BA283" s="2"/>
      <c r="BB283" s="2"/>
      <c r="BC283" s="2">
        <f t="shared" si="28"/>
        <v>22.8</v>
      </c>
      <c r="BD283" s="2"/>
      <c r="BE283" s="5">
        <f t="shared" si="36"/>
        <v>4.3956114730381293E-3</v>
      </c>
      <c r="BF283" s="13">
        <v>45721</v>
      </c>
      <c r="BG283" s="2">
        <v>145.9</v>
      </c>
      <c r="BH283" s="2"/>
      <c r="BI283" s="2"/>
      <c r="BJ283" s="2"/>
      <c r="BK283" s="2">
        <f t="shared" si="29"/>
        <v>145.9</v>
      </c>
      <c r="BL283" s="2"/>
      <c r="BM283" s="5">
        <f t="shared" si="37"/>
        <v>-2.7378524973386935E-3</v>
      </c>
    </row>
    <row r="284" spans="1:65" ht="15.75" customHeight="1" x14ac:dyDescent="0.35">
      <c r="A284" s="676"/>
      <c r="B284" s="13">
        <v>45722</v>
      </c>
      <c r="C284" s="2">
        <v>10.7</v>
      </c>
      <c r="D284" s="2"/>
      <c r="E284" s="2"/>
      <c r="F284" s="2"/>
      <c r="G284" s="11">
        <f t="shared" si="30"/>
        <v>10.7</v>
      </c>
      <c r="H284" s="2"/>
      <c r="I284" s="5">
        <f t="shared" si="38"/>
        <v>2.843793532053341E-2</v>
      </c>
      <c r="J284" s="13">
        <v>45722</v>
      </c>
      <c r="K284" s="2">
        <v>31.3</v>
      </c>
      <c r="L284" s="2"/>
      <c r="M284" s="2"/>
      <c r="N284" s="2"/>
      <c r="O284" s="11">
        <f t="shared" si="23"/>
        <v>31.3</v>
      </c>
      <c r="P284" s="2"/>
      <c r="Q284" s="5">
        <f t="shared" si="31"/>
        <v>6.4102783609190188E-3</v>
      </c>
      <c r="R284" s="13">
        <v>45722</v>
      </c>
      <c r="S284" s="2">
        <v>324.8</v>
      </c>
      <c r="T284" s="2"/>
      <c r="U284" s="2"/>
      <c r="V284" s="2"/>
      <c r="W284" s="11">
        <f t="shared" si="24"/>
        <v>324.8</v>
      </c>
      <c r="X284" s="2"/>
      <c r="Y284" s="5">
        <f t="shared" si="32"/>
        <v>-1.5382251917829383E-3</v>
      </c>
      <c r="Z284" s="13">
        <v>45722</v>
      </c>
      <c r="AA284" s="2">
        <v>822.7</v>
      </c>
      <c r="AB284" s="2"/>
      <c r="AC284" s="2"/>
      <c r="AD284" s="2"/>
      <c r="AE284" s="2">
        <f t="shared" si="25"/>
        <v>822.7</v>
      </c>
      <c r="AF284" s="2"/>
      <c r="AG284" s="5">
        <f t="shared" si="33"/>
        <v>3.8156492958517883E-2</v>
      </c>
      <c r="AH284" s="13">
        <v>45722</v>
      </c>
      <c r="AI284" s="2">
        <v>501.9</v>
      </c>
      <c r="AJ284" s="2"/>
      <c r="AK284" s="2"/>
      <c r="AL284" s="2"/>
      <c r="AM284" s="2">
        <f t="shared" si="26"/>
        <v>501.9</v>
      </c>
      <c r="AN284" s="2"/>
      <c r="AO284" s="5">
        <f t="shared" si="34"/>
        <v>2.5935176632140562E-3</v>
      </c>
      <c r="AP284" s="13">
        <v>45722</v>
      </c>
      <c r="AQ284" s="11">
        <v>469.9</v>
      </c>
      <c r="AR284" s="2"/>
      <c r="AS284" s="2"/>
      <c r="AT284" s="2"/>
      <c r="AU284" s="11">
        <f t="shared" si="27"/>
        <v>469.9</v>
      </c>
      <c r="AV284" s="2"/>
      <c r="AW284" s="5">
        <f t="shared" si="35"/>
        <v>2.1283388395749371E-4</v>
      </c>
      <c r="AX284" s="13">
        <v>45722</v>
      </c>
      <c r="AY284" s="2">
        <v>22.7</v>
      </c>
      <c r="AZ284" s="2"/>
      <c r="BA284" s="2"/>
      <c r="BB284" s="2"/>
      <c r="BC284" s="2">
        <f t="shared" si="28"/>
        <v>22.7</v>
      </c>
      <c r="BD284" s="2"/>
      <c r="BE284" s="5">
        <f t="shared" si="36"/>
        <v>-4.3956114730381093E-3</v>
      </c>
      <c r="BF284" s="13">
        <v>45722</v>
      </c>
      <c r="BG284" s="2">
        <v>146.30000000000001</v>
      </c>
      <c r="BH284" s="2"/>
      <c r="BI284" s="2"/>
      <c r="BJ284" s="2"/>
      <c r="BK284" s="2">
        <f t="shared" si="29"/>
        <v>146.30000000000001</v>
      </c>
      <c r="BL284" s="2"/>
      <c r="BM284" s="5">
        <f t="shared" si="37"/>
        <v>2.7378524973387993E-3</v>
      </c>
    </row>
    <row r="285" spans="1:65" ht="15.75" customHeight="1" x14ac:dyDescent="0.35">
      <c r="A285" s="676"/>
      <c r="B285" s="13">
        <v>45725</v>
      </c>
      <c r="C285" s="2">
        <v>10.5</v>
      </c>
      <c r="D285" s="2"/>
      <c r="E285" s="2"/>
      <c r="F285" s="2"/>
      <c r="G285" s="11">
        <f t="shared" si="30"/>
        <v>10.5</v>
      </c>
      <c r="H285" s="2"/>
      <c r="I285" s="5">
        <f t="shared" si="38"/>
        <v>-1.8868484304382691E-2</v>
      </c>
      <c r="J285" s="13">
        <v>45725</v>
      </c>
      <c r="K285" s="2">
        <v>31.2</v>
      </c>
      <c r="L285" s="2"/>
      <c r="M285" s="2"/>
      <c r="N285" s="2"/>
      <c r="O285" s="11">
        <f t="shared" si="23"/>
        <v>31.2</v>
      </c>
      <c r="P285" s="2"/>
      <c r="Q285" s="5">
        <f t="shared" si="31"/>
        <v>-3.2000027306709027E-3</v>
      </c>
      <c r="R285" s="13">
        <v>45725</v>
      </c>
      <c r="S285" s="2">
        <v>323.89999999999998</v>
      </c>
      <c r="T285" s="2"/>
      <c r="U285" s="2"/>
      <c r="V285" s="2"/>
      <c r="W285" s="11">
        <f t="shared" si="24"/>
        <v>323.89999999999998</v>
      </c>
      <c r="X285" s="2"/>
      <c r="Y285" s="5">
        <f t="shared" si="32"/>
        <v>-2.7747821102393311E-3</v>
      </c>
      <c r="Z285" s="13">
        <v>45725</v>
      </c>
      <c r="AA285" s="2">
        <v>822.2</v>
      </c>
      <c r="AB285" s="2"/>
      <c r="AC285" s="2"/>
      <c r="AD285" s="2"/>
      <c r="AE285" s="2">
        <f t="shared" si="25"/>
        <v>822.2</v>
      </c>
      <c r="AF285" s="2"/>
      <c r="AG285" s="5">
        <f t="shared" si="33"/>
        <v>-6.0793971110658382E-4</v>
      </c>
      <c r="AH285" s="13">
        <v>45725</v>
      </c>
      <c r="AI285" s="2">
        <v>505.4</v>
      </c>
      <c r="AJ285" s="2"/>
      <c r="AK285" s="2"/>
      <c r="AL285" s="2"/>
      <c r="AM285" s="2">
        <f t="shared" si="26"/>
        <v>505.4</v>
      </c>
      <c r="AN285" s="2"/>
      <c r="AO285" s="5">
        <f t="shared" si="34"/>
        <v>6.9492982932059444E-3</v>
      </c>
      <c r="AP285" s="13">
        <v>45725</v>
      </c>
      <c r="AQ285" s="11">
        <v>468</v>
      </c>
      <c r="AR285" s="2"/>
      <c r="AS285" s="2"/>
      <c r="AT285" s="2"/>
      <c r="AU285" s="11">
        <f t="shared" si="27"/>
        <v>468</v>
      </c>
      <c r="AV285" s="2"/>
      <c r="AW285" s="5">
        <f t="shared" si="35"/>
        <v>-4.0516101911232671E-3</v>
      </c>
      <c r="AX285" s="13">
        <v>45725</v>
      </c>
      <c r="AY285" s="2">
        <v>22.5</v>
      </c>
      <c r="AZ285" s="2"/>
      <c r="BA285" s="2"/>
      <c r="BB285" s="2"/>
      <c r="BC285" s="2">
        <f t="shared" si="28"/>
        <v>22.5</v>
      </c>
      <c r="BD285" s="2"/>
      <c r="BE285" s="5">
        <f t="shared" si="36"/>
        <v>-8.8496152769824993E-3</v>
      </c>
      <c r="BF285" s="13">
        <v>45725</v>
      </c>
      <c r="BG285" s="2">
        <v>145.1</v>
      </c>
      <c r="BH285" s="2"/>
      <c r="BI285" s="2"/>
      <c r="BJ285" s="2"/>
      <c r="BK285" s="2">
        <f t="shared" si="29"/>
        <v>145.1</v>
      </c>
      <c r="BL285" s="2"/>
      <c r="BM285" s="5">
        <f t="shared" si="37"/>
        <v>-8.2361481359365541E-3</v>
      </c>
    </row>
    <row r="286" spans="1:65" ht="15.75" customHeight="1" x14ac:dyDescent="0.35">
      <c r="A286" s="676"/>
      <c r="B286" s="13">
        <v>45726</v>
      </c>
      <c r="C286" s="2">
        <v>10.5</v>
      </c>
      <c r="D286" s="2"/>
      <c r="E286" s="2"/>
      <c r="F286" s="2"/>
      <c r="G286" s="11">
        <f t="shared" si="30"/>
        <v>10.5</v>
      </c>
      <c r="H286" s="2"/>
      <c r="I286" s="5">
        <f t="shared" si="38"/>
        <v>0</v>
      </c>
      <c r="J286" s="13">
        <v>45726</v>
      </c>
      <c r="K286" s="2">
        <v>30.7</v>
      </c>
      <c r="L286" s="2"/>
      <c r="M286" s="2"/>
      <c r="N286" s="2"/>
      <c r="O286" s="11">
        <f t="shared" si="23"/>
        <v>30.7</v>
      </c>
      <c r="P286" s="2"/>
      <c r="Q286" s="5">
        <f t="shared" si="31"/>
        <v>-1.6155440222285256E-2</v>
      </c>
      <c r="R286" s="13">
        <v>45726</v>
      </c>
      <c r="S286" s="2">
        <v>326.8</v>
      </c>
      <c r="T286" s="2"/>
      <c r="U286" s="2"/>
      <c r="V286" s="2"/>
      <c r="W286" s="11">
        <f t="shared" si="24"/>
        <v>326.8</v>
      </c>
      <c r="X286" s="2"/>
      <c r="Y286" s="5">
        <f t="shared" si="32"/>
        <v>8.9135368085642621E-3</v>
      </c>
      <c r="Z286" s="13">
        <v>45726</v>
      </c>
      <c r="AA286" s="2">
        <v>816.6</v>
      </c>
      <c r="AB286" s="2"/>
      <c r="AC286" s="2"/>
      <c r="AD286" s="2"/>
      <c r="AE286" s="2">
        <f t="shared" si="25"/>
        <v>816.6</v>
      </c>
      <c r="AF286" s="2"/>
      <c r="AG286" s="5">
        <f t="shared" si="33"/>
        <v>-6.8342955783026686E-3</v>
      </c>
      <c r="AH286" s="13">
        <v>45726</v>
      </c>
      <c r="AI286" s="2">
        <v>503.8</v>
      </c>
      <c r="AJ286" s="2"/>
      <c r="AK286" s="2"/>
      <c r="AL286" s="2"/>
      <c r="AM286" s="2">
        <f t="shared" si="26"/>
        <v>503.8</v>
      </c>
      <c r="AN286" s="2"/>
      <c r="AO286" s="5">
        <f t="shared" si="34"/>
        <v>-3.1708310355839388E-3</v>
      </c>
      <c r="AP286" s="13">
        <v>45726</v>
      </c>
      <c r="AQ286" s="11">
        <v>467.9</v>
      </c>
      <c r="AR286" s="2"/>
      <c r="AS286" s="2"/>
      <c r="AT286" s="2"/>
      <c r="AU286" s="11">
        <f t="shared" si="27"/>
        <v>467.9</v>
      </c>
      <c r="AV286" s="2"/>
      <c r="AW286" s="5">
        <f t="shared" si="35"/>
        <v>-2.136980454761337E-4</v>
      </c>
      <c r="AX286" s="13">
        <v>45726</v>
      </c>
      <c r="AY286" s="2">
        <v>22.2</v>
      </c>
      <c r="AZ286" s="2"/>
      <c r="BA286" s="2"/>
      <c r="BB286" s="2"/>
      <c r="BC286" s="2">
        <f t="shared" si="28"/>
        <v>22.2</v>
      </c>
      <c r="BD286" s="2"/>
      <c r="BE286" s="5">
        <f t="shared" si="36"/>
        <v>-1.3423020332140774E-2</v>
      </c>
      <c r="BF286" s="13">
        <v>45726</v>
      </c>
      <c r="BG286" s="2">
        <v>144.69999999999999</v>
      </c>
      <c r="BH286" s="2"/>
      <c r="BI286" s="2"/>
      <c r="BJ286" s="2"/>
      <c r="BK286" s="2">
        <f t="shared" si="29"/>
        <v>144.69999999999999</v>
      </c>
      <c r="BL286" s="2"/>
      <c r="BM286" s="5">
        <f t="shared" si="37"/>
        <v>-2.7605262527040241E-3</v>
      </c>
    </row>
    <row r="287" spans="1:65" ht="15.75" customHeight="1" x14ac:dyDescent="0.35">
      <c r="A287" s="676"/>
      <c r="B287" s="13">
        <v>45727</v>
      </c>
      <c r="C287" s="2">
        <v>10.8</v>
      </c>
      <c r="D287" s="2"/>
      <c r="E287" s="2"/>
      <c r="F287" s="2"/>
      <c r="G287" s="11">
        <f t="shared" si="30"/>
        <v>10.8</v>
      </c>
      <c r="H287" s="2"/>
      <c r="I287" s="5">
        <f t="shared" si="38"/>
        <v>2.8170876966696439E-2</v>
      </c>
      <c r="J287" s="13">
        <v>45727</v>
      </c>
      <c r="K287" s="2">
        <v>31</v>
      </c>
      <c r="L287" s="2"/>
      <c r="M287" s="2"/>
      <c r="N287" s="2"/>
      <c r="O287" s="11">
        <f t="shared" si="23"/>
        <v>31</v>
      </c>
      <c r="P287" s="2"/>
      <c r="Q287" s="5">
        <f t="shared" si="31"/>
        <v>9.7245498919947809E-3</v>
      </c>
      <c r="R287" s="13">
        <v>45727</v>
      </c>
      <c r="S287" s="2">
        <v>324.89999999999998</v>
      </c>
      <c r="T287" s="2"/>
      <c r="U287" s="2"/>
      <c r="V287" s="2"/>
      <c r="W287" s="11">
        <f t="shared" si="24"/>
        <v>324.89999999999998</v>
      </c>
      <c r="X287" s="2"/>
      <c r="Y287" s="5">
        <f t="shared" si="32"/>
        <v>-5.8309203107933215E-3</v>
      </c>
      <c r="Z287" s="13">
        <v>45727</v>
      </c>
      <c r="AA287" s="2">
        <v>840.2</v>
      </c>
      <c r="AB287" s="2"/>
      <c r="AC287" s="2"/>
      <c r="AD287" s="2"/>
      <c r="AE287" s="2">
        <f t="shared" si="25"/>
        <v>840.2</v>
      </c>
      <c r="AF287" s="2"/>
      <c r="AG287" s="5">
        <f t="shared" si="33"/>
        <v>2.8490579849806352E-2</v>
      </c>
      <c r="AH287" s="13">
        <v>45727</v>
      </c>
      <c r="AI287" s="2">
        <v>504.1</v>
      </c>
      <c r="AJ287" s="2"/>
      <c r="AK287" s="2"/>
      <c r="AL287" s="2"/>
      <c r="AM287" s="2">
        <f t="shared" si="26"/>
        <v>504.1</v>
      </c>
      <c r="AN287" s="2"/>
      <c r="AO287" s="5">
        <f t="shared" si="34"/>
        <v>5.9529717007536737E-4</v>
      </c>
      <c r="AP287" s="13">
        <v>45727</v>
      </c>
      <c r="AQ287" s="11">
        <v>470.7</v>
      </c>
      <c r="AR287" s="2"/>
      <c r="AS287" s="2"/>
      <c r="AT287" s="2"/>
      <c r="AU287" s="11">
        <f t="shared" si="27"/>
        <v>470.7</v>
      </c>
      <c r="AV287" s="2"/>
      <c r="AW287" s="5">
        <f t="shared" si="35"/>
        <v>5.966350534925959E-3</v>
      </c>
      <c r="AX287" s="13">
        <v>45727</v>
      </c>
      <c r="AY287" s="2">
        <v>22.5</v>
      </c>
      <c r="AZ287" s="2"/>
      <c r="BA287" s="2"/>
      <c r="BB287" s="2"/>
      <c r="BC287" s="2">
        <f t="shared" si="28"/>
        <v>22.5</v>
      </c>
      <c r="BD287" s="2"/>
      <c r="BE287" s="5">
        <f t="shared" si="36"/>
        <v>1.3423020332140771E-2</v>
      </c>
      <c r="BF287" s="13">
        <v>45727</v>
      </c>
      <c r="BG287" s="2">
        <v>146.4</v>
      </c>
      <c r="BH287" s="2"/>
      <c r="BI287" s="2"/>
      <c r="BJ287" s="2"/>
      <c r="BK287" s="2">
        <f t="shared" si="29"/>
        <v>146.4</v>
      </c>
      <c r="BL287" s="2"/>
      <c r="BM287" s="5">
        <f t="shared" si="37"/>
        <v>1.1679967889773176E-2</v>
      </c>
    </row>
    <row r="288" spans="1:65" ht="15.75" customHeight="1" x14ac:dyDescent="0.35">
      <c r="A288" s="676"/>
      <c r="B288" s="13">
        <v>45728</v>
      </c>
      <c r="C288" s="2">
        <v>11</v>
      </c>
      <c r="D288" s="2"/>
      <c r="E288" s="2"/>
      <c r="F288" s="2"/>
      <c r="G288" s="11">
        <f t="shared" si="30"/>
        <v>11</v>
      </c>
      <c r="H288" s="2"/>
      <c r="I288" s="5">
        <f t="shared" si="38"/>
        <v>1.8349138668196398E-2</v>
      </c>
      <c r="J288" s="13">
        <v>45728</v>
      </c>
      <c r="K288" s="2">
        <v>31.1</v>
      </c>
      <c r="L288" s="2"/>
      <c r="M288" s="2"/>
      <c r="N288" s="2"/>
      <c r="O288" s="11">
        <f t="shared" si="23"/>
        <v>31.1</v>
      </c>
      <c r="P288" s="2"/>
      <c r="Q288" s="5">
        <f t="shared" si="31"/>
        <v>3.2206147000421572E-3</v>
      </c>
      <c r="R288" s="13">
        <v>45728</v>
      </c>
      <c r="S288" s="2">
        <v>325.5</v>
      </c>
      <c r="T288" s="2"/>
      <c r="U288" s="2"/>
      <c r="V288" s="2"/>
      <c r="W288" s="11">
        <f t="shared" si="24"/>
        <v>325.5</v>
      </c>
      <c r="X288" s="2"/>
      <c r="Y288" s="5">
        <f t="shared" si="32"/>
        <v>1.8450189735692967E-3</v>
      </c>
      <c r="Z288" s="13">
        <v>45728</v>
      </c>
      <c r="AA288" s="2">
        <v>846.1</v>
      </c>
      <c r="AB288" s="2"/>
      <c r="AC288" s="2"/>
      <c r="AD288" s="2"/>
      <c r="AE288" s="2">
        <f t="shared" si="25"/>
        <v>846.1</v>
      </c>
      <c r="AF288" s="2"/>
      <c r="AG288" s="5">
        <f t="shared" si="33"/>
        <v>6.997597195173429E-3</v>
      </c>
      <c r="AH288" s="13">
        <v>45728</v>
      </c>
      <c r="AI288" s="2">
        <v>503.7</v>
      </c>
      <c r="AJ288" s="2"/>
      <c r="AK288" s="2"/>
      <c r="AL288" s="2"/>
      <c r="AM288" s="2">
        <f t="shared" si="26"/>
        <v>503.7</v>
      </c>
      <c r="AN288" s="2"/>
      <c r="AO288" s="5">
        <f t="shared" si="34"/>
        <v>-7.9380833698036626E-4</v>
      </c>
      <c r="AP288" s="13">
        <v>45728</v>
      </c>
      <c r="AQ288" s="11">
        <v>468.5</v>
      </c>
      <c r="AR288" s="2"/>
      <c r="AS288" s="2"/>
      <c r="AT288" s="2"/>
      <c r="AU288" s="11">
        <f t="shared" si="27"/>
        <v>468.5</v>
      </c>
      <c r="AV288" s="2"/>
      <c r="AW288" s="5">
        <f t="shared" si="35"/>
        <v>-4.684846728619717E-3</v>
      </c>
      <c r="AX288" s="13">
        <v>45728</v>
      </c>
      <c r="AY288" s="2">
        <v>22.5</v>
      </c>
      <c r="AZ288" s="2"/>
      <c r="BA288" s="2"/>
      <c r="BB288" s="2"/>
      <c r="BC288" s="2">
        <f t="shared" si="28"/>
        <v>22.5</v>
      </c>
      <c r="BD288" s="2"/>
      <c r="BE288" s="5">
        <f t="shared" si="36"/>
        <v>0</v>
      </c>
      <c r="BF288" s="13">
        <v>45728</v>
      </c>
      <c r="BG288" s="2">
        <v>146.30000000000001</v>
      </c>
      <c r="BH288" s="2"/>
      <c r="BI288" s="2"/>
      <c r="BJ288" s="2"/>
      <c r="BK288" s="2">
        <f t="shared" si="29"/>
        <v>146.30000000000001</v>
      </c>
      <c r="BL288" s="2"/>
      <c r="BM288" s="5">
        <f t="shared" si="37"/>
        <v>-6.8329350113247663E-4</v>
      </c>
    </row>
    <row r="289" spans="1:65" ht="15.75" customHeight="1" x14ac:dyDescent="0.35">
      <c r="A289" s="676"/>
      <c r="B289" s="13">
        <v>45729</v>
      </c>
      <c r="C289" s="2">
        <v>11.3</v>
      </c>
      <c r="D289" s="2"/>
      <c r="E289" s="2"/>
      <c r="F289" s="2"/>
      <c r="G289" s="11">
        <f t="shared" si="30"/>
        <v>11.3</v>
      </c>
      <c r="H289" s="2"/>
      <c r="I289" s="5">
        <f t="shared" si="38"/>
        <v>2.6907452919924402E-2</v>
      </c>
      <c r="J289" s="13">
        <v>45729</v>
      </c>
      <c r="K289" s="2">
        <v>31.3</v>
      </c>
      <c r="L289" s="2"/>
      <c r="M289" s="2"/>
      <c r="N289" s="2"/>
      <c r="O289" s="11">
        <f t="shared" si="23"/>
        <v>31.3</v>
      </c>
      <c r="P289" s="2"/>
      <c r="Q289" s="5">
        <f t="shared" si="31"/>
        <v>6.4102783609190188E-3</v>
      </c>
      <c r="R289" s="13">
        <v>45729</v>
      </c>
      <c r="S289" s="2">
        <v>325.39999999999998</v>
      </c>
      <c r="T289" s="2"/>
      <c r="U289" s="2"/>
      <c r="V289" s="2"/>
      <c r="W289" s="11">
        <f t="shared" si="24"/>
        <v>325.39999999999998</v>
      </c>
      <c r="X289" s="2"/>
      <c r="Y289" s="5">
        <f t="shared" si="32"/>
        <v>-3.0726686368662623E-4</v>
      </c>
      <c r="Z289" s="13">
        <v>45729</v>
      </c>
      <c r="AA289" s="2">
        <v>843.7</v>
      </c>
      <c r="AB289" s="2"/>
      <c r="AC289" s="2"/>
      <c r="AD289" s="2"/>
      <c r="AE289" s="2">
        <f t="shared" si="25"/>
        <v>843.7</v>
      </c>
      <c r="AF289" s="2"/>
      <c r="AG289" s="5">
        <f t="shared" si="33"/>
        <v>-2.8405747588741764E-3</v>
      </c>
      <c r="AH289" s="13">
        <v>45729</v>
      </c>
      <c r="AI289" s="2">
        <v>504.7</v>
      </c>
      <c r="AJ289" s="2"/>
      <c r="AK289" s="2"/>
      <c r="AL289" s="2"/>
      <c r="AM289" s="2">
        <f t="shared" si="26"/>
        <v>504.7</v>
      </c>
      <c r="AN289" s="2"/>
      <c r="AO289" s="5">
        <f t="shared" si="34"/>
        <v>1.9833405946118937E-3</v>
      </c>
      <c r="AP289" s="13">
        <v>45729</v>
      </c>
      <c r="AQ289" s="11">
        <v>465.8</v>
      </c>
      <c r="AR289" s="2"/>
      <c r="AS289" s="2"/>
      <c r="AT289" s="2"/>
      <c r="AU289" s="11">
        <f t="shared" si="27"/>
        <v>465.8</v>
      </c>
      <c r="AV289" s="2"/>
      <c r="AW289" s="5">
        <f t="shared" si="35"/>
        <v>-5.7797442282362856E-3</v>
      </c>
      <c r="AX289" s="13">
        <v>45729</v>
      </c>
      <c r="AY289" s="2">
        <v>22.7</v>
      </c>
      <c r="AZ289" s="2"/>
      <c r="BA289" s="2"/>
      <c r="BB289" s="2"/>
      <c r="BC289" s="2">
        <f t="shared" si="28"/>
        <v>22.7</v>
      </c>
      <c r="BD289" s="2"/>
      <c r="BE289" s="5">
        <f t="shared" si="36"/>
        <v>8.8496152769826E-3</v>
      </c>
      <c r="BF289" s="13">
        <v>45729</v>
      </c>
      <c r="BG289" s="2">
        <v>145.9</v>
      </c>
      <c r="BH289" s="2"/>
      <c r="BI289" s="2"/>
      <c r="BJ289" s="2"/>
      <c r="BK289" s="2">
        <f t="shared" si="29"/>
        <v>145.9</v>
      </c>
      <c r="BL289" s="2"/>
      <c r="BM289" s="5">
        <f t="shared" si="37"/>
        <v>-2.7378524973386935E-3</v>
      </c>
    </row>
    <row r="290" spans="1:65" ht="15.75" customHeight="1" x14ac:dyDescent="0.35">
      <c r="A290" s="676"/>
      <c r="B290" s="13">
        <v>45732</v>
      </c>
      <c r="C290" s="2">
        <v>11.7</v>
      </c>
      <c r="D290" s="2"/>
      <c r="E290" s="2"/>
      <c r="F290" s="2"/>
      <c r="G290" s="11">
        <f t="shared" si="30"/>
        <v>11.7</v>
      </c>
      <c r="H290" s="2"/>
      <c r="I290" s="5">
        <f t="shared" si="38"/>
        <v>3.4786116085415389E-2</v>
      </c>
      <c r="J290" s="13">
        <v>45732</v>
      </c>
      <c r="K290" s="2">
        <v>30.9</v>
      </c>
      <c r="L290" s="2"/>
      <c r="M290" s="2"/>
      <c r="N290" s="2"/>
      <c r="O290" s="11">
        <f t="shared" si="23"/>
        <v>30.9</v>
      </c>
      <c r="P290" s="2"/>
      <c r="Q290" s="5">
        <f t="shared" si="31"/>
        <v>-1.286191364240781E-2</v>
      </c>
      <c r="R290" s="13">
        <v>45732</v>
      </c>
      <c r="S290" s="2">
        <v>324.8</v>
      </c>
      <c r="T290" s="2"/>
      <c r="U290" s="2"/>
      <c r="V290" s="2"/>
      <c r="W290" s="11">
        <f t="shared" si="24"/>
        <v>324.8</v>
      </c>
      <c r="X290" s="2"/>
      <c r="Y290" s="5">
        <f t="shared" si="32"/>
        <v>-1.8455864974144165E-3</v>
      </c>
      <c r="Z290" s="13">
        <v>45732</v>
      </c>
      <c r="AA290" s="2">
        <v>835.7</v>
      </c>
      <c r="AB290" s="2"/>
      <c r="AC290" s="2"/>
      <c r="AD290" s="2"/>
      <c r="AE290" s="2">
        <f t="shared" si="25"/>
        <v>835.7</v>
      </c>
      <c r="AF290" s="2"/>
      <c r="AG290" s="5">
        <f t="shared" si="33"/>
        <v>-9.5272841641905158E-3</v>
      </c>
      <c r="AH290" s="13">
        <v>45732</v>
      </c>
      <c r="AI290" s="2">
        <v>503.5</v>
      </c>
      <c r="AJ290" s="2"/>
      <c r="AK290" s="2"/>
      <c r="AL290" s="2"/>
      <c r="AM290" s="2">
        <f t="shared" si="26"/>
        <v>503.5</v>
      </c>
      <c r="AN290" s="2"/>
      <c r="AO290" s="5">
        <f t="shared" si="34"/>
        <v>-2.3804811875997429E-3</v>
      </c>
      <c r="AP290" s="13">
        <v>45732</v>
      </c>
      <c r="AQ290" s="11">
        <v>467.7</v>
      </c>
      <c r="AR290" s="2"/>
      <c r="AS290" s="2"/>
      <c r="AT290" s="2"/>
      <c r="AU290" s="11">
        <f t="shared" si="27"/>
        <v>467.7</v>
      </c>
      <c r="AV290" s="2"/>
      <c r="AW290" s="5">
        <f t="shared" si="35"/>
        <v>4.0707072815999298E-3</v>
      </c>
      <c r="AX290" s="13">
        <v>45732</v>
      </c>
      <c r="AY290" s="2">
        <v>23.3</v>
      </c>
      <c r="AZ290" s="2"/>
      <c r="BA290" s="2"/>
      <c r="BB290" s="2"/>
      <c r="BC290" s="2">
        <f t="shared" si="28"/>
        <v>23.3</v>
      </c>
      <c r="BD290" s="2"/>
      <c r="BE290" s="5">
        <f t="shared" si="36"/>
        <v>2.6088436084297874E-2</v>
      </c>
      <c r="BF290" s="13">
        <v>45732</v>
      </c>
      <c r="BG290" s="2">
        <v>144.69999999999999</v>
      </c>
      <c r="BH290" s="2"/>
      <c r="BI290" s="2"/>
      <c r="BJ290" s="2"/>
      <c r="BK290" s="2">
        <f t="shared" si="29"/>
        <v>144.69999999999999</v>
      </c>
      <c r="BL290" s="2"/>
      <c r="BM290" s="5">
        <f t="shared" si="37"/>
        <v>-8.2588218913018617E-3</v>
      </c>
    </row>
    <row r="291" spans="1:65" ht="15.75" customHeight="1" x14ac:dyDescent="0.35">
      <c r="A291" s="676"/>
      <c r="B291" s="13">
        <v>45733</v>
      </c>
      <c r="C291" s="2">
        <v>12.3</v>
      </c>
      <c r="D291" s="2"/>
      <c r="E291" s="2"/>
      <c r="F291" s="2"/>
      <c r="G291" s="11">
        <f t="shared" si="30"/>
        <v>12.3</v>
      </c>
      <c r="H291" s="2"/>
      <c r="I291" s="5">
        <f t="shared" si="38"/>
        <v>5.0010420574661416E-2</v>
      </c>
      <c r="J291" s="13">
        <v>45733</v>
      </c>
      <c r="K291" s="2">
        <v>30.7</v>
      </c>
      <c r="L291" s="2"/>
      <c r="M291" s="2"/>
      <c r="N291" s="2"/>
      <c r="O291" s="11">
        <f t="shared" si="23"/>
        <v>30.7</v>
      </c>
      <c r="P291" s="2"/>
      <c r="Q291" s="5">
        <f t="shared" si="31"/>
        <v>-6.4935293105482308E-3</v>
      </c>
      <c r="R291" s="13">
        <v>45733</v>
      </c>
      <c r="S291" s="2">
        <v>322.60000000000002</v>
      </c>
      <c r="T291" s="2"/>
      <c r="U291" s="2"/>
      <c r="V291" s="2"/>
      <c r="W291" s="11">
        <f t="shared" si="24"/>
        <v>322.60000000000002</v>
      </c>
      <c r="X291" s="2"/>
      <c r="Y291" s="5">
        <f t="shared" si="32"/>
        <v>-6.7964425964143205E-3</v>
      </c>
      <c r="Z291" s="13">
        <v>45733</v>
      </c>
      <c r="AA291" s="2">
        <v>827.7</v>
      </c>
      <c r="AB291" s="2"/>
      <c r="AC291" s="2"/>
      <c r="AD291" s="2"/>
      <c r="AE291" s="2">
        <f t="shared" si="25"/>
        <v>827.7</v>
      </c>
      <c r="AF291" s="2"/>
      <c r="AG291" s="5">
        <f t="shared" si="33"/>
        <v>-9.618927116040359E-3</v>
      </c>
      <c r="AH291" s="13">
        <v>45733</v>
      </c>
      <c r="AI291" s="2">
        <v>503.1</v>
      </c>
      <c r="AJ291" s="2"/>
      <c r="AK291" s="2"/>
      <c r="AL291" s="2"/>
      <c r="AM291" s="2">
        <f t="shared" si="26"/>
        <v>503.1</v>
      </c>
      <c r="AN291" s="2"/>
      <c r="AO291" s="5">
        <f t="shared" si="34"/>
        <v>-7.947546613440912E-4</v>
      </c>
      <c r="AP291" s="13">
        <v>45733</v>
      </c>
      <c r="AQ291" s="11">
        <v>466.5</v>
      </c>
      <c r="AR291" s="2"/>
      <c r="AS291" s="2"/>
      <c r="AT291" s="2"/>
      <c r="AU291" s="11">
        <f t="shared" si="27"/>
        <v>466.5</v>
      </c>
      <c r="AV291" s="2"/>
      <c r="AW291" s="5">
        <f t="shared" si="35"/>
        <v>-2.5690444444419597E-3</v>
      </c>
      <c r="AX291" s="13">
        <v>45733</v>
      </c>
      <c r="AY291" s="2">
        <v>22.7</v>
      </c>
      <c r="AZ291" s="2"/>
      <c r="BA291" s="2"/>
      <c r="BB291" s="2"/>
      <c r="BC291" s="2">
        <f t="shared" si="28"/>
        <v>22.7</v>
      </c>
      <c r="BD291" s="2"/>
      <c r="BE291" s="5">
        <f t="shared" si="36"/>
        <v>-2.6088436084297967E-2</v>
      </c>
      <c r="BF291" s="13">
        <v>45733</v>
      </c>
      <c r="BG291" s="2">
        <v>145</v>
      </c>
      <c r="BH291" s="2"/>
      <c r="BI291" s="2"/>
      <c r="BJ291" s="2"/>
      <c r="BK291" s="2">
        <f t="shared" si="29"/>
        <v>145</v>
      </c>
      <c r="BL291" s="2"/>
      <c r="BM291" s="5">
        <f t="shared" si="37"/>
        <v>2.0711087831363196E-3</v>
      </c>
    </row>
    <row r="292" spans="1:65" ht="15.75" customHeight="1" x14ac:dyDescent="0.35">
      <c r="A292" s="676"/>
      <c r="B292" s="13">
        <v>45734</v>
      </c>
      <c r="C292" s="2">
        <v>12.8</v>
      </c>
      <c r="D292" s="2"/>
      <c r="E292" s="2"/>
      <c r="F292" s="2"/>
      <c r="G292" s="11">
        <f t="shared" si="30"/>
        <v>12.8</v>
      </c>
      <c r="H292" s="2"/>
      <c r="I292" s="5">
        <f t="shared" si="38"/>
        <v>3.9845908547199563E-2</v>
      </c>
      <c r="J292" s="13">
        <v>45734</v>
      </c>
      <c r="K292" s="2">
        <v>30.9</v>
      </c>
      <c r="L292" s="2"/>
      <c r="M292" s="2"/>
      <c r="N292" s="2"/>
      <c r="O292" s="11">
        <f t="shared" si="23"/>
        <v>30.9</v>
      </c>
      <c r="P292" s="2"/>
      <c r="Q292" s="5">
        <f t="shared" si="31"/>
        <v>6.4935293105483115E-3</v>
      </c>
      <c r="R292" s="13">
        <v>45734</v>
      </c>
      <c r="S292" s="2">
        <v>321.2</v>
      </c>
      <c r="T292" s="2"/>
      <c r="U292" s="2"/>
      <c r="V292" s="2"/>
      <c r="W292" s="11">
        <f t="shared" si="24"/>
        <v>321.2</v>
      </c>
      <c r="X292" s="2"/>
      <c r="Y292" s="5">
        <f t="shared" si="32"/>
        <v>-4.3491836185019896E-3</v>
      </c>
      <c r="Z292" s="13">
        <v>45734</v>
      </c>
      <c r="AA292" s="2">
        <v>831</v>
      </c>
      <c r="AB292" s="2"/>
      <c r="AC292" s="2"/>
      <c r="AD292" s="2"/>
      <c r="AE292" s="2">
        <f t="shared" si="25"/>
        <v>831</v>
      </c>
      <c r="AF292" s="2"/>
      <c r="AG292" s="5">
        <f t="shared" si="33"/>
        <v>3.979024964098017E-3</v>
      </c>
      <c r="AH292" s="13">
        <v>45734</v>
      </c>
      <c r="AI292" s="2">
        <v>502.6</v>
      </c>
      <c r="AJ292" s="2"/>
      <c r="AK292" s="2"/>
      <c r="AL292" s="2"/>
      <c r="AM292" s="2">
        <f t="shared" si="26"/>
        <v>502.6</v>
      </c>
      <c r="AN292" s="2"/>
      <c r="AO292" s="5">
        <f t="shared" si="34"/>
        <v>-9.9433238778099948E-4</v>
      </c>
      <c r="AP292" s="13">
        <v>45734</v>
      </c>
      <c r="AQ292" s="11">
        <v>464.8</v>
      </c>
      <c r="AR292" s="2"/>
      <c r="AS292" s="2"/>
      <c r="AT292" s="2"/>
      <c r="AU292" s="11">
        <f t="shared" si="27"/>
        <v>464.8</v>
      </c>
      <c r="AV292" s="2"/>
      <c r="AW292" s="5">
        <f t="shared" si="35"/>
        <v>-3.6508147496970142E-3</v>
      </c>
      <c r="AX292" s="13">
        <v>45734</v>
      </c>
      <c r="AY292" s="2">
        <v>22.8</v>
      </c>
      <c r="AZ292" s="2"/>
      <c r="BA292" s="2"/>
      <c r="BB292" s="2"/>
      <c r="BC292" s="2">
        <f t="shared" si="28"/>
        <v>22.8</v>
      </c>
      <c r="BD292" s="2"/>
      <c r="BE292" s="5">
        <f t="shared" si="36"/>
        <v>4.3956114730381293E-3</v>
      </c>
      <c r="BF292" s="13">
        <v>45734</v>
      </c>
      <c r="BG292" s="2">
        <v>146.80000000000001</v>
      </c>
      <c r="BH292" s="2"/>
      <c r="BI292" s="2"/>
      <c r="BJ292" s="2"/>
      <c r="BK292" s="2">
        <f t="shared" si="29"/>
        <v>146.80000000000001</v>
      </c>
      <c r="BL292" s="2"/>
      <c r="BM292" s="5">
        <f t="shared" si="37"/>
        <v>1.2337373759840784E-2</v>
      </c>
    </row>
    <row r="293" spans="1:65" ht="15.75" customHeight="1" x14ac:dyDescent="0.35">
      <c r="A293" s="676"/>
      <c r="B293" s="13">
        <v>45735</v>
      </c>
      <c r="C293" s="2">
        <v>13</v>
      </c>
      <c r="D293" s="2"/>
      <c r="E293" s="2"/>
      <c r="F293" s="2"/>
      <c r="G293" s="11">
        <f t="shared" si="30"/>
        <v>13</v>
      </c>
      <c r="H293" s="2"/>
      <c r="I293" s="5">
        <f t="shared" si="38"/>
        <v>1.5504186535965254E-2</v>
      </c>
      <c r="J293" s="13">
        <v>45735</v>
      </c>
      <c r="K293" s="2">
        <v>30.8</v>
      </c>
      <c r="L293" s="2"/>
      <c r="M293" s="2"/>
      <c r="N293" s="2"/>
      <c r="O293" s="11">
        <f t="shared" si="23"/>
        <v>30.8</v>
      </c>
      <c r="P293" s="2"/>
      <c r="Q293" s="5">
        <f t="shared" si="31"/>
        <v>-3.2414939241709557E-3</v>
      </c>
      <c r="R293" s="13">
        <v>45735</v>
      </c>
      <c r="S293" s="2">
        <v>319.7</v>
      </c>
      <c r="T293" s="2"/>
      <c r="U293" s="2"/>
      <c r="V293" s="2"/>
      <c r="W293" s="11">
        <f t="shared" si="24"/>
        <v>319.7</v>
      </c>
      <c r="X293" s="2"/>
      <c r="Y293" s="5">
        <f t="shared" si="32"/>
        <v>-4.6809260068108628E-3</v>
      </c>
      <c r="Z293" s="13">
        <v>45735</v>
      </c>
      <c r="AA293" s="2">
        <v>827.7</v>
      </c>
      <c r="AB293" s="2"/>
      <c r="AC293" s="2"/>
      <c r="AD293" s="2"/>
      <c r="AE293" s="2">
        <f t="shared" si="25"/>
        <v>827.7</v>
      </c>
      <c r="AF293" s="2"/>
      <c r="AG293" s="5">
        <f t="shared" si="33"/>
        <v>-3.9790249640980447E-3</v>
      </c>
      <c r="AH293" s="13">
        <v>45735</v>
      </c>
      <c r="AI293" s="2">
        <v>504.1</v>
      </c>
      <c r="AJ293" s="2"/>
      <c r="AK293" s="2"/>
      <c r="AL293" s="2"/>
      <c r="AM293" s="2">
        <f t="shared" si="26"/>
        <v>504.1</v>
      </c>
      <c r="AN293" s="2"/>
      <c r="AO293" s="5">
        <f t="shared" si="34"/>
        <v>2.9800359790932785E-3</v>
      </c>
      <c r="AP293" s="13">
        <v>45735</v>
      </c>
      <c r="AQ293" s="11">
        <v>463.2</v>
      </c>
      <c r="AR293" s="2"/>
      <c r="AS293" s="2"/>
      <c r="AT293" s="2"/>
      <c r="AU293" s="11">
        <f t="shared" si="27"/>
        <v>463.2</v>
      </c>
      <c r="AV293" s="2"/>
      <c r="AW293" s="5">
        <f t="shared" si="35"/>
        <v>-3.4482792789160442E-3</v>
      </c>
      <c r="AX293" s="13">
        <v>45735</v>
      </c>
      <c r="AY293" s="2">
        <v>22.7</v>
      </c>
      <c r="AZ293" s="2"/>
      <c r="BA293" s="2"/>
      <c r="BB293" s="2"/>
      <c r="BC293" s="2">
        <f t="shared" si="28"/>
        <v>22.7</v>
      </c>
      <c r="BD293" s="2"/>
      <c r="BE293" s="5">
        <f t="shared" si="36"/>
        <v>-4.3956114730381093E-3</v>
      </c>
      <c r="BF293" s="13">
        <v>45735</v>
      </c>
      <c r="BG293" s="2">
        <v>146.6</v>
      </c>
      <c r="BH293" s="2"/>
      <c r="BI293" s="2"/>
      <c r="BJ293" s="2"/>
      <c r="BK293" s="2">
        <f t="shared" si="29"/>
        <v>146.6</v>
      </c>
      <c r="BL293" s="2"/>
      <c r="BM293" s="5">
        <f t="shared" si="37"/>
        <v>-1.3633267278641645E-3</v>
      </c>
    </row>
    <row r="294" spans="1:65" ht="15.75" customHeight="1" x14ac:dyDescent="0.35">
      <c r="A294" s="676"/>
      <c r="B294" s="13">
        <v>45736</v>
      </c>
      <c r="C294" s="2">
        <v>12.1</v>
      </c>
      <c r="D294" s="2"/>
      <c r="E294" s="2"/>
      <c r="F294" s="2"/>
      <c r="G294" s="11">
        <f t="shared" si="30"/>
        <v>12.1</v>
      </c>
      <c r="H294" s="2"/>
      <c r="I294" s="5">
        <f t="shared" si="38"/>
        <v>-7.1743904858841301E-2</v>
      </c>
      <c r="J294" s="13">
        <v>45736</v>
      </c>
      <c r="K294" s="2">
        <v>31.2</v>
      </c>
      <c r="L294" s="2"/>
      <c r="M294" s="2"/>
      <c r="N294" s="2"/>
      <c r="O294" s="11">
        <f t="shared" si="23"/>
        <v>31.2</v>
      </c>
      <c r="P294" s="2"/>
      <c r="Q294" s="5">
        <f t="shared" si="31"/>
        <v>1.2903404835907782E-2</v>
      </c>
      <c r="R294" s="13">
        <v>45736</v>
      </c>
      <c r="S294" s="2">
        <v>319.60000000000002</v>
      </c>
      <c r="T294" s="2"/>
      <c r="U294" s="2"/>
      <c r="V294" s="2"/>
      <c r="W294" s="11">
        <f t="shared" si="24"/>
        <v>319.60000000000002</v>
      </c>
      <c r="X294" s="2"/>
      <c r="Y294" s="5">
        <f t="shared" si="32"/>
        <v>-3.128421736760684E-4</v>
      </c>
      <c r="Z294" s="13">
        <v>45736</v>
      </c>
      <c r="AA294" s="2">
        <v>826.1</v>
      </c>
      <c r="AB294" s="2"/>
      <c r="AC294" s="2"/>
      <c r="AD294" s="2"/>
      <c r="AE294" s="2">
        <f t="shared" si="25"/>
        <v>826.1</v>
      </c>
      <c r="AF294" s="2"/>
      <c r="AG294" s="5">
        <f t="shared" si="33"/>
        <v>-1.9349383228905244E-3</v>
      </c>
      <c r="AH294" s="13">
        <v>45736</v>
      </c>
      <c r="AI294" s="2">
        <v>503.4</v>
      </c>
      <c r="AJ294" s="2"/>
      <c r="AK294" s="2"/>
      <c r="AL294" s="2"/>
      <c r="AM294" s="2">
        <f t="shared" si="26"/>
        <v>503.4</v>
      </c>
      <c r="AN294" s="2"/>
      <c r="AO294" s="5">
        <f t="shared" si="34"/>
        <v>-1.3895783873697537E-3</v>
      </c>
      <c r="AP294" s="13">
        <v>45736</v>
      </c>
      <c r="AQ294" s="11">
        <v>463</v>
      </c>
      <c r="AR294" s="2"/>
      <c r="AS294" s="2"/>
      <c r="AT294" s="2"/>
      <c r="AU294" s="11">
        <f t="shared" si="27"/>
        <v>463</v>
      </c>
      <c r="AV294" s="2"/>
      <c r="AW294" s="5">
        <f t="shared" si="35"/>
        <v>-4.3187217255137789E-4</v>
      </c>
      <c r="AX294" s="13">
        <v>45736</v>
      </c>
      <c r="AY294" s="2">
        <v>22.7</v>
      </c>
      <c r="AZ294" s="2"/>
      <c r="BA294" s="2"/>
      <c r="BB294" s="2"/>
      <c r="BC294" s="2">
        <f t="shared" si="28"/>
        <v>22.7</v>
      </c>
      <c r="BD294" s="2"/>
      <c r="BE294" s="5">
        <f t="shared" si="36"/>
        <v>0</v>
      </c>
      <c r="BF294" s="13">
        <v>45736</v>
      </c>
      <c r="BG294" s="2">
        <v>146</v>
      </c>
      <c r="BH294" s="2"/>
      <c r="BI294" s="2"/>
      <c r="BJ294" s="2"/>
      <c r="BK294" s="2">
        <f t="shared" si="29"/>
        <v>146</v>
      </c>
      <c r="BL294" s="2"/>
      <c r="BM294" s="5">
        <f t="shared" si="37"/>
        <v>-4.1011677442146779E-3</v>
      </c>
    </row>
    <row r="295" spans="1:65" ht="15.75" customHeight="1" x14ac:dyDescent="0.35">
      <c r="A295" s="676"/>
      <c r="B295" s="13">
        <v>45739</v>
      </c>
      <c r="C295" s="2">
        <v>11.6</v>
      </c>
      <c r="D295" s="2"/>
      <c r="E295" s="2"/>
      <c r="F295" s="2"/>
      <c r="G295" s="11">
        <f t="shared" si="30"/>
        <v>11.6</v>
      </c>
      <c r="H295" s="2"/>
      <c r="I295" s="5">
        <f t="shared" si="38"/>
        <v>-4.2200354490376416E-2</v>
      </c>
      <c r="J295" s="13">
        <v>45739</v>
      </c>
      <c r="K295" s="2">
        <v>30.5</v>
      </c>
      <c r="L295" s="2"/>
      <c r="M295" s="2"/>
      <c r="N295" s="2"/>
      <c r="O295" s="11">
        <f t="shared" si="23"/>
        <v>30.5</v>
      </c>
      <c r="P295" s="2"/>
      <c r="Q295" s="5">
        <f t="shared" si="31"/>
        <v>-2.2691411202070765E-2</v>
      </c>
      <c r="R295" s="13">
        <v>45739</v>
      </c>
      <c r="S295" s="2">
        <v>319.89999999999998</v>
      </c>
      <c r="T295" s="2"/>
      <c r="U295" s="2"/>
      <c r="V295" s="2"/>
      <c r="W295" s="11">
        <f t="shared" si="24"/>
        <v>319.89999999999998</v>
      </c>
      <c r="X295" s="2"/>
      <c r="Y295" s="5">
        <f t="shared" si="32"/>
        <v>9.3823306335258762E-4</v>
      </c>
      <c r="Z295" s="13">
        <v>45739</v>
      </c>
      <c r="AA295" s="2">
        <v>828.3</v>
      </c>
      <c r="AB295" s="2"/>
      <c r="AC295" s="2"/>
      <c r="AD295" s="2"/>
      <c r="AE295" s="2">
        <f t="shared" si="25"/>
        <v>828.3</v>
      </c>
      <c r="AF295" s="2"/>
      <c r="AG295" s="5">
        <f t="shared" si="33"/>
        <v>2.659576035758796E-3</v>
      </c>
      <c r="AH295" s="13">
        <v>45739</v>
      </c>
      <c r="AI295" s="2">
        <v>502.2</v>
      </c>
      <c r="AJ295" s="2"/>
      <c r="AK295" s="2"/>
      <c r="AL295" s="2"/>
      <c r="AM295" s="2">
        <f t="shared" si="26"/>
        <v>502.2</v>
      </c>
      <c r="AN295" s="2"/>
      <c r="AO295" s="5">
        <f t="shared" si="34"/>
        <v>-2.3866359777308553E-3</v>
      </c>
      <c r="AP295" s="13">
        <v>45739</v>
      </c>
      <c r="AQ295" s="11">
        <v>460.8</v>
      </c>
      <c r="AR295" s="2"/>
      <c r="AS295" s="2"/>
      <c r="AT295" s="2"/>
      <c r="AU295" s="11">
        <f t="shared" si="27"/>
        <v>460.8</v>
      </c>
      <c r="AV295" s="2"/>
      <c r="AW295" s="5">
        <f t="shared" si="35"/>
        <v>-4.7629447045526184E-3</v>
      </c>
      <c r="AX295" s="13">
        <v>45739</v>
      </c>
      <c r="AY295" s="2">
        <v>22.5</v>
      </c>
      <c r="AZ295" s="2"/>
      <c r="BA295" s="2"/>
      <c r="BB295" s="2"/>
      <c r="BC295" s="2">
        <f t="shared" si="28"/>
        <v>22.5</v>
      </c>
      <c r="BD295" s="2"/>
      <c r="BE295" s="5">
        <f t="shared" si="36"/>
        <v>-8.8496152769824993E-3</v>
      </c>
      <c r="BF295" s="13">
        <v>45739</v>
      </c>
      <c r="BG295" s="2">
        <v>146.80000000000001</v>
      </c>
      <c r="BH295" s="2"/>
      <c r="BI295" s="2"/>
      <c r="BJ295" s="2"/>
      <c r="BK295" s="2">
        <f t="shared" si="29"/>
        <v>146.80000000000001</v>
      </c>
      <c r="BL295" s="2"/>
      <c r="BM295" s="5">
        <f t="shared" si="37"/>
        <v>5.4644944720787453E-3</v>
      </c>
    </row>
    <row r="296" spans="1:65" ht="15.75" customHeight="1" x14ac:dyDescent="0.35">
      <c r="A296" s="676"/>
      <c r="B296" s="13">
        <v>45740</v>
      </c>
      <c r="C296" s="2">
        <v>11.1</v>
      </c>
      <c r="D296" s="2"/>
      <c r="E296" s="2"/>
      <c r="F296" s="2"/>
      <c r="G296" s="11">
        <f t="shared" si="30"/>
        <v>11.1</v>
      </c>
      <c r="H296" s="2"/>
      <c r="I296" s="5">
        <f t="shared" si="38"/>
        <v>-4.4059989794030543E-2</v>
      </c>
      <c r="J296" s="13">
        <v>45740</v>
      </c>
      <c r="K296" s="2">
        <v>30.4</v>
      </c>
      <c r="L296" s="2"/>
      <c r="M296" s="2"/>
      <c r="N296" s="2"/>
      <c r="O296" s="11">
        <f t="shared" si="23"/>
        <v>30.4</v>
      </c>
      <c r="P296" s="2"/>
      <c r="Q296" s="5">
        <f t="shared" si="31"/>
        <v>-3.2840752011899961E-3</v>
      </c>
      <c r="R296" s="13">
        <v>45740</v>
      </c>
      <c r="S296" s="2">
        <v>318.39999999999998</v>
      </c>
      <c r="T296" s="2"/>
      <c r="U296" s="2"/>
      <c r="V296" s="2"/>
      <c r="W296" s="11">
        <f t="shared" si="24"/>
        <v>318.39999999999998</v>
      </c>
      <c r="X296" s="2"/>
      <c r="Y296" s="5">
        <f t="shared" si="32"/>
        <v>-4.699992985244348E-3</v>
      </c>
      <c r="Z296" s="13">
        <v>45740</v>
      </c>
      <c r="AA296" s="2">
        <v>820.5</v>
      </c>
      <c r="AB296" s="2"/>
      <c r="AC296" s="2"/>
      <c r="AD296" s="2"/>
      <c r="AE296" s="2">
        <f t="shared" si="25"/>
        <v>820.5</v>
      </c>
      <c r="AF296" s="2"/>
      <c r="AG296" s="5">
        <f t="shared" si="33"/>
        <v>-9.4614970740728409E-3</v>
      </c>
      <c r="AH296" s="13">
        <v>45740</v>
      </c>
      <c r="AI296" s="2">
        <v>501.8</v>
      </c>
      <c r="AJ296" s="2"/>
      <c r="AK296" s="2"/>
      <c r="AL296" s="2"/>
      <c r="AM296" s="2">
        <f t="shared" si="26"/>
        <v>501.8</v>
      </c>
      <c r="AN296" s="2"/>
      <c r="AO296" s="5">
        <f t="shared" si="34"/>
        <v>-7.9681279116264466E-4</v>
      </c>
      <c r="AP296" s="13">
        <v>45740</v>
      </c>
      <c r="AQ296" s="11">
        <v>460.7</v>
      </c>
      <c r="AR296" s="2"/>
      <c r="AS296" s="2"/>
      <c r="AT296" s="2"/>
      <c r="AU296" s="11">
        <f t="shared" si="27"/>
        <v>460.7</v>
      </c>
      <c r="AV296" s="2"/>
      <c r="AW296" s="5">
        <f t="shared" si="35"/>
        <v>-2.1703743981024891E-4</v>
      </c>
      <c r="AX296" s="13">
        <v>45740</v>
      </c>
      <c r="AY296" s="2">
        <v>22.4</v>
      </c>
      <c r="AZ296" s="2"/>
      <c r="BA296" s="2"/>
      <c r="BB296" s="2"/>
      <c r="BC296" s="2">
        <f t="shared" si="28"/>
        <v>22.4</v>
      </c>
      <c r="BD296" s="2"/>
      <c r="BE296" s="5">
        <f t="shared" si="36"/>
        <v>-4.4543503493803087E-3</v>
      </c>
      <c r="BF296" s="13">
        <v>45740</v>
      </c>
      <c r="BG296" s="2">
        <v>146.1</v>
      </c>
      <c r="BH296" s="2"/>
      <c r="BI296" s="2"/>
      <c r="BJ296" s="2"/>
      <c r="BK296" s="2">
        <f t="shared" si="29"/>
        <v>146.1</v>
      </c>
      <c r="BL296" s="2"/>
      <c r="BM296" s="5">
        <f t="shared" si="37"/>
        <v>-4.7797974237615629E-3</v>
      </c>
    </row>
    <row r="297" spans="1:65" ht="15.75" customHeight="1" x14ac:dyDescent="0.35">
      <c r="A297" s="676"/>
      <c r="B297" s="13">
        <v>45741</v>
      </c>
      <c r="C297" s="2">
        <v>11.2</v>
      </c>
      <c r="D297" s="2"/>
      <c r="E297" s="2"/>
      <c r="F297" s="2"/>
      <c r="G297" s="11">
        <f t="shared" si="30"/>
        <v>11.2</v>
      </c>
      <c r="H297" s="2"/>
      <c r="I297" s="5">
        <f t="shared" si="38"/>
        <v>8.9686699827603161E-3</v>
      </c>
      <c r="J297" s="13">
        <v>45741</v>
      </c>
      <c r="K297" s="2">
        <v>31.7</v>
      </c>
      <c r="L297" s="2"/>
      <c r="M297" s="2"/>
      <c r="N297" s="2"/>
      <c r="O297" s="11">
        <f t="shared" si="23"/>
        <v>31.7</v>
      </c>
      <c r="P297" s="2"/>
      <c r="Q297" s="5">
        <f t="shared" si="31"/>
        <v>4.1874072471059016E-2</v>
      </c>
      <c r="R297" s="13">
        <v>45741</v>
      </c>
      <c r="S297" s="2">
        <v>319.5</v>
      </c>
      <c r="T297" s="2"/>
      <c r="U297" s="2"/>
      <c r="V297" s="2"/>
      <c r="W297" s="11">
        <f t="shared" si="24"/>
        <v>319.5</v>
      </c>
      <c r="X297" s="2"/>
      <c r="Y297" s="5">
        <f t="shared" si="32"/>
        <v>3.4488198473617056E-3</v>
      </c>
      <c r="Z297" s="13">
        <v>45741</v>
      </c>
      <c r="AA297" s="2">
        <v>837.1</v>
      </c>
      <c r="AB297" s="2"/>
      <c r="AC297" s="2"/>
      <c r="AD297" s="2"/>
      <c r="AE297" s="2">
        <f t="shared" si="25"/>
        <v>837.1</v>
      </c>
      <c r="AF297" s="2"/>
      <c r="AG297" s="5">
        <f t="shared" si="33"/>
        <v>2.0029627135865143E-2</v>
      </c>
      <c r="AH297" s="13">
        <v>45741</v>
      </c>
      <c r="AI297" s="2">
        <v>501.9</v>
      </c>
      <c r="AJ297" s="2"/>
      <c r="AK297" s="2"/>
      <c r="AL297" s="2"/>
      <c r="AM297" s="2">
        <f t="shared" si="26"/>
        <v>501.9</v>
      </c>
      <c r="AN297" s="2"/>
      <c r="AO297" s="5">
        <f t="shared" si="34"/>
        <v>1.9926272856598146E-4</v>
      </c>
      <c r="AP297" s="13">
        <v>45741</v>
      </c>
      <c r="AQ297" s="11">
        <v>463.1</v>
      </c>
      <c r="AR297" s="2"/>
      <c r="AS297" s="2"/>
      <c r="AT297" s="2"/>
      <c r="AU297" s="11">
        <f t="shared" si="27"/>
        <v>463.1</v>
      </c>
      <c r="AV297" s="2"/>
      <c r="AW297" s="5">
        <f t="shared" si="35"/>
        <v>5.1959415448350147E-3</v>
      </c>
      <c r="AX297" s="13">
        <v>45741</v>
      </c>
      <c r="AY297" s="2">
        <v>22.6</v>
      </c>
      <c r="AZ297" s="2"/>
      <c r="BA297" s="2"/>
      <c r="BB297" s="2"/>
      <c r="BC297" s="2">
        <f t="shared" si="28"/>
        <v>22.6</v>
      </c>
      <c r="BD297" s="2"/>
      <c r="BE297" s="5">
        <f t="shared" si="36"/>
        <v>8.8889474172462145E-3</v>
      </c>
      <c r="BF297" s="13">
        <v>45741</v>
      </c>
      <c r="BG297" s="2">
        <v>147.9</v>
      </c>
      <c r="BH297" s="2"/>
      <c r="BI297" s="2"/>
      <c r="BJ297" s="2"/>
      <c r="BK297" s="2">
        <f t="shared" si="29"/>
        <v>147.9</v>
      </c>
      <c r="BL297" s="2"/>
      <c r="BM297" s="5">
        <f t="shared" si="37"/>
        <v>1.2245050960100387E-2</v>
      </c>
    </row>
    <row r="298" spans="1:65" ht="15.75" customHeight="1" x14ac:dyDescent="0.35">
      <c r="A298" s="676"/>
      <c r="B298" s="13">
        <v>45743</v>
      </c>
      <c r="C298" s="2">
        <v>11</v>
      </c>
      <c r="D298" s="2"/>
      <c r="E298" s="2"/>
      <c r="F298" s="2"/>
      <c r="G298" s="11">
        <f t="shared" si="30"/>
        <v>11</v>
      </c>
      <c r="H298" s="2"/>
      <c r="I298" s="5">
        <f t="shared" si="38"/>
        <v>-1.801850550267825E-2</v>
      </c>
      <c r="J298" s="13">
        <v>45743</v>
      </c>
      <c r="K298" s="2">
        <v>31.4</v>
      </c>
      <c r="L298" s="2"/>
      <c r="M298" s="2"/>
      <c r="N298" s="2"/>
      <c r="O298" s="11">
        <f t="shared" si="23"/>
        <v>31.4</v>
      </c>
      <c r="P298" s="2"/>
      <c r="Q298" s="5">
        <f t="shared" si="31"/>
        <v>-9.5087879690273006E-3</v>
      </c>
      <c r="R298" s="13">
        <v>45743</v>
      </c>
      <c r="S298" s="2">
        <v>321.89999999999998</v>
      </c>
      <c r="T298" s="2"/>
      <c r="U298" s="2"/>
      <c r="V298" s="2"/>
      <c r="W298" s="11">
        <f t="shared" si="24"/>
        <v>321.89999999999998</v>
      </c>
      <c r="X298" s="2"/>
      <c r="Y298" s="5">
        <f t="shared" si="32"/>
        <v>7.4836644871728274E-3</v>
      </c>
      <c r="Z298" s="13">
        <v>45743</v>
      </c>
      <c r="AA298" s="2">
        <v>834.7</v>
      </c>
      <c r="AB298" s="2"/>
      <c r="AC298" s="2"/>
      <c r="AD298" s="2"/>
      <c r="AE298" s="2">
        <f t="shared" si="25"/>
        <v>834.7</v>
      </c>
      <c r="AF298" s="2"/>
      <c r="AG298" s="5">
        <f t="shared" si="33"/>
        <v>-2.8711588093197453E-3</v>
      </c>
      <c r="AH298" s="13">
        <v>45743</v>
      </c>
      <c r="AI298" s="2">
        <v>500.5</v>
      </c>
      <c r="AJ298" s="2"/>
      <c r="AK298" s="2"/>
      <c r="AL298" s="2"/>
      <c r="AM298" s="2">
        <f t="shared" si="26"/>
        <v>500.5</v>
      </c>
      <c r="AN298" s="2"/>
      <c r="AO298" s="5">
        <f t="shared" si="34"/>
        <v>-2.7932979056127108E-3</v>
      </c>
      <c r="AP298" s="13">
        <v>45743</v>
      </c>
      <c r="AQ298" s="11">
        <v>462.7</v>
      </c>
      <c r="AR298" s="2"/>
      <c r="AS298" s="2"/>
      <c r="AT298" s="2"/>
      <c r="AU298" s="11">
        <f t="shared" si="27"/>
        <v>462.7</v>
      </c>
      <c r="AV298" s="2"/>
      <c r="AW298" s="5">
        <f t="shared" si="35"/>
        <v>-8.6411757375245437E-4</v>
      </c>
      <c r="AX298" s="13">
        <v>45743</v>
      </c>
      <c r="AY298" s="2">
        <v>22.6</v>
      </c>
      <c r="AZ298" s="2"/>
      <c r="BA298" s="2"/>
      <c r="BB298" s="2"/>
      <c r="BC298" s="2">
        <f t="shared" si="28"/>
        <v>22.6</v>
      </c>
      <c r="BD298" s="2"/>
      <c r="BE298" s="5">
        <f t="shared" si="36"/>
        <v>0</v>
      </c>
      <c r="BF298" s="13">
        <v>45743</v>
      </c>
      <c r="BG298" s="2">
        <v>147.19999999999999</v>
      </c>
      <c r="BH298" s="2"/>
      <c r="BI298" s="2"/>
      <c r="BJ298" s="2"/>
      <c r="BK298" s="2">
        <f t="shared" si="29"/>
        <v>147.19999999999999</v>
      </c>
      <c r="BL298" s="2"/>
      <c r="BM298" s="5">
        <f t="shared" si="37"/>
        <v>-4.7441634219783767E-3</v>
      </c>
    </row>
    <row r="299" spans="1:65" ht="15.75" customHeight="1" x14ac:dyDescent="0.35">
      <c r="A299" s="675" t="s">
        <v>70</v>
      </c>
      <c r="B299" s="13">
        <v>45753</v>
      </c>
      <c r="C299" s="2">
        <v>11.2</v>
      </c>
      <c r="D299" s="2"/>
      <c r="E299" s="2"/>
      <c r="F299" s="2"/>
      <c r="G299" s="11">
        <f t="shared" si="30"/>
        <v>11.2</v>
      </c>
      <c r="H299" s="2"/>
      <c r="I299" s="5">
        <f t="shared" si="38"/>
        <v>1.8018505502678212E-2</v>
      </c>
      <c r="J299" s="13">
        <v>45753</v>
      </c>
      <c r="K299" s="2">
        <v>31.1</v>
      </c>
      <c r="L299" s="2"/>
      <c r="M299" s="2"/>
      <c r="N299" s="2"/>
      <c r="O299" s="11">
        <f t="shared" si="23"/>
        <v>31.1</v>
      </c>
      <c r="P299" s="2"/>
      <c r="Q299" s="5">
        <f t="shared" si="31"/>
        <v>-9.6000737290191183E-3</v>
      </c>
      <c r="R299" s="13">
        <v>45753</v>
      </c>
      <c r="S299" s="2">
        <v>320.8</v>
      </c>
      <c r="T299" s="2"/>
      <c r="U299" s="2"/>
      <c r="V299" s="2"/>
      <c r="W299" s="11">
        <f t="shared" si="24"/>
        <v>320.8</v>
      </c>
      <c r="X299" s="2"/>
      <c r="Y299" s="5">
        <f t="shared" si="32"/>
        <v>-3.4230623124029756E-3</v>
      </c>
      <c r="Z299" s="13">
        <v>45753</v>
      </c>
      <c r="AA299" s="2">
        <v>827.5</v>
      </c>
      <c r="AB299" s="2"/>
      <c r="AC299" s="2"/>
      <c r="AD299" s="2"/>
      <c r="AE299" s="2">
        <f t="shared" si="25"/>
        <v>827.5</v>
      </c>
      <c r="AF299" s="2"/>
      <c r="AG299" s="5">
        <f t="shared" si="33"/>
        <v>-8.6632716054731006E-3</v>
      </c>
      <c r="AH299" s="13">
        <v>45753</v>
      </c>
      <c r="AI299" s="2">
        <v>501.7</v>
      </c>
      <c r="AJ299" s="2"/>
      <c r="AK299" s="2"/>
      <c r="AL299" s="2"/>
      <c r="AM299" s="2">
        <f t="shared" si="26"/>
        <v>501.7</v>
      </c>
      <c r="AN299" s="2"/>
      <c r="AO299" s="5">
        <f t="shared" si="34"/>
        <v>2.3947327349320663E-3</v>
      </c>
      <c r="AP299" s="13">
        <v>45753</v>
      </c>
      <c r="AQ299" s="11">
        <v>460.2</v>
      </c>
      <c r="AR299" s="2"/>
      <c r="AS299" s="2"/>
      <c r="AT299" s="2"/>
      <c r="AU299" s="11">
        <f t="shared" si="27"/>
        <v>460.2</v>
      </c>
      <c r="AV299" s="2"/>
      <c r="AW299" s="5">
        <f t="shared" si="35"/>
        <v>-5.4177183116883611E-3</v>
      </c>
      <c r="AX299" s="13">
        <v>45753</v>
      </c>
      <c r="AY299" s="2">
        <v>22.5</v>
      </c>
      <c r="AZ299" s="2"/>
      <c r="BA299" s="2"/>
      <c r="BB299" s="2"/>
      <c r="BC299" s="2">
        <f t="shared" si="28"/>
        <v>22.5</v>
      </c>
      <c r="BD299" s="2"/>
      <c r="BE299" s="5">
        <f t="shared" si="36"/>
        <v>-4.4345970678658642E-3</v>
      </c>
      <c r="BF299" s="13">
        <v>45753</v>
      </c>
      <c r="BG299" s="2">
        <v>144.4</v>
      </c>
      <c r="BH299" s="2"/>
      <c r="BI299" s="2"/>
      <c r="BJ299" s="2"/>
      <c r="BK299" s="2">
        <f t="shared" si="29"/>
        <v>144.4</v>
      </c>
      <c r="BL299" s="2"/>
      <c r="BM299" s="5">
        <f t="shared" si="37"/>
        <v>-1.9204979836049924E-2</v>
      </c>
    </row>
    <row r="300" spans="1:65" ht="15.75" customHeight="1" x14ac:dyDescent="0.35">
      <c r="A300" s="675"/>
      <c r="B300" s="13">
        <v>45754</v>
      </c>
      <c r="C300" s="2">
        <v>11</v>
      </c>
      <c r="D300" s="2"/>
      <c r="E300" s="2"/>
      <c r="F300" s="2"/>
      <c r="G300" s="11">
        <f t="shared" si="30"/>
        <v>11</v>
      </c>
      <c r="H300" s="2"/>
      <c r="I300" s="5">
        <f t="shared" si="38"/>
        <v>-1.801850550267825E-2</v>
      </c>
      <c r="J300" s="13">
        <v>45754</v>
      </c>
      <c r="K300" s="2">
        <v>31.3</v>
      </c>
      <c r="L300" s="2"/>
      <c r="M300" s="2"/>
      <c r="N300" s="2"/>
      <c r="O300" s="11">
        <f t="shared" si="23"/>
        <v>31.3</v>
      </c>
      <c r="P300" s="2"/>
      <c r="Q300" s="5">
        <f t="shared" si="31"/>
        <v>6.4102783609190188E-3</v>
      </c>
      <c r="R300" s="13">
        <v>45754</v>
      </c>
      <c r="S300" s="2">
        <v>322.5</v>
      </c>
      <c r="T300" s="2"/>
      <c r="U300" s="2"/>
      <c r="V300" s="2"/>
      <c r="W300" s="11">
        <f t="shared" si="24"/>
        <v>322.5</v>
      </c>
      <c r="X300" s="2"/>
      <c r="Y300" s="5">
        <f t="shared" si="32"/>
        <v>5.2852602434676566E-3</v>
      </c>
      <c r="Z300" s="13">
        <v>45754</v>
      </c>
      <c r="AA300" s="2">
        <v>815.7</v>
      </c>
      <c r="AB300" s="2"/>
      <c r="AC300" s="2"/>
      <c r="AD300" s="2"/>
      <c r="AE300" s="2">
        <f t="shared" si="25"/>
        <v>815.7</v>
      </c>
      <c r="AF300" s="2"/>
      <c r="AG300" s="5">
        <f t="shared" si="33"/>
        <v>-1.4362466944683233E-2</v>
      </c>
      <c r="AH300" s="13">
        <v>45754</v>
      </c>
      <c r="AI300" s="2">
        <v>498.2</v>
      </c>
      <c r="AJ300" s="2"/>
      <c r="AK300" s="2"/>
      <c r="AL300" s="2"/>
      <c r="AM300" s="2">
        <f t="shared" si="26"/>
        <v>498.2</v>
      </c>
      <c r="AN300" s="2"/>
      <c r="AO300" s="5">
        <f t="shared" si="34"/>
        <v>-7.0007286621272232E-3</v>
      </c>
      <c r="AP300" s="13">
        <v>45754</v>
      </c>
      <c r="AQ300" s="11">
        <v>460.1</v>
      </c>
      <c r="AR300" s="2"/>
      <c r="AS300" s="2"/>
      <c r="AT300" s="2"/>
      <c r="AU300" s="11">
        <f t="shared" si="27"/>
        <v>460.1</v>
      </c>
      <c r="AV300" s="2"/>
      <c r="AW300" s="5">
        <f t="shared" si="35"/>
        <v>-2.1732043984256736E-4</v>
      </c>
      <c r="AX300" s="13">
        <v>45754</v>
      </c>
      <c r="AY300" s="2">
        <v>22.6</v>
      </c>
      <c r="AZ300" s="2"/>
      <c r="BA300" s="2"/>
      <c r="BB300" s="2"/>
      <c r="BC300" s="2">
        <f t="shared" si="28"/>
        <v>22.6</v>
      </c>
      <c r="BD300" s="2"/>
      <c r="BE300" s="5">
        <f t="shared" si="36"/>
        <v>4.4345970678657748E-3</v>
      </c>
      <c r="BF300" s="13">
        <v>45754</v>
      </c>
      <c r="BG300" s="2">
        <v>145.6</v>
      </c>
      <c r="BH300" s="2"/>
      <c r="BI300" s="2"/>
      <c r="BJ300" s="2"/>
      <c r="BK300" s="2">
        <f t="shared" si="29"/>
        <v>145.6</v>
      </c>
      <c r="BL300" s="2"/>
      <c r="BM300" s="5">
        <f t="shared" si="37"/>
        <v>8.2759093038596611E-3</v>
      </c>
    </row>
    <row r="301" spans="1:65" ht="15.75" customHeight="1" x14ac:dyDescent="0.35">
      <c r="A301" s="675"/>
      <c r="B301" s="13">
        <v>45755</v>
      </c>
      <c r="C301" s="2">
        <v>10.8</v>
      </c>
      <c r="D301" s="2"/>
      <c r="E301" s="2"/>
      <c r="F301" s="2"/>
      <c r="G301" s="11">
        <f t="shared" si="30"/>
        <v>10.8</v>
      </c>
      <c r="H301" s="2"/>
      <c r="I301" s="5">
        <f t="shared" si="38"/>
        <v>-1.834913866819643E-2</v>
      </c>
      <c r="J301" s="13">
        <v>45755</v>
      </c>
      <c r="K301" s="2">
        <v>31</v>
      </c>
      <c r="L301" s="2"/>
      <c r="M301" s="2"/>
      <c r="N301" s="2"/>
      <c r="O301" s="11">
        <f t="shared" si="23"/>
        <v>31</v>
      </c>
      <c r="P301" s="2"/>
      <c r="Q301" s="5">
        <f t="shared" si="31"/>
        <v>-9.6308930609613E-3</v>
      </c>
      <c r="R301" s="13">
        <v>45755</v>
      </c>
      <c r="S301" s="2">
        <v>320.5</v>
      </c>
      <c r="T301" s="2"/>
      <c r="U301" s="2"/>
      <c r="V301" s="2"/>
      <c r="W301" s="11">
        <f t="shared" si="24"/>
        <v>320.5</v>
      </c>
      <c r="X301" s="2"/>
      <c r="Y301" s="5">
        <f t="shared" si="32"/>
        <v>-6.2208598751025057E-3</v>
      </c>
      <c r="Z301" s="13">
        <v>45755</v>
      </c>
      <c r="AA301" s="2">
        <v>813.5</v>
      </c>
      <c r="AB301" s="2"/>
      <c r="AC301" s="2"/>
      <c r="AD301" s="2"/>
      <c r="AE301" s="2">
        <f t="shared" si="25"/>
        <v>813.5</v>
      </c>
      <c r="AF301" s="2"/>
      <c r="AG301" s="5">
        <f t="shared" si="33"/>
        <v>-2.7007136474422782E-3</v>
      </c>
      <c r="AH301" s="13">
        <v>45755</v>
      </c>
      <c r="AI301" s="2">
        <v>496.5</v>
      </c>
      <c r="AJ301" s="2"/>
      <c r="AK301" s="2"/>
      <c r="AL301" s="2"/>
      <c r="AM301" s="2">
        <f t="shared" si="26"/>
        <v>496.5</v>
      </c>
      <c r="AN301" s="2"/>
      <c r="AO301" s="5">
        <f t="shared" si="34"/>
        <v>-3.4181193428527296E-3</v>
      </c>
      <c r="AP301" s="13">
        <v>45755</v>
      </c>
      <c r="AQ301" s="11">
        <v>459.9</v>
      </c>
      <c r="AR301" s="2"/>
      <c r="AS301" s="2"/>
      <c r="AT301" s="2"/>
      <c r="AU301" s="11">
        <f t="shared" si="27"/>
        <v>459.9</v>
      </c>
      <c r="AV301" s="2"/>
      <c r="AW301" s="5">
        <f t="shared" si="35"/>
        <v>-4.3478261554484701E-4</v>
      </c>
      <c r="AX301" s="13">
        <v>45755</v>
      </c>
      <c r="AY301" s="2">
        <v>23.2</v>
      </c>
      <c r="AZ301" s="2"/>
      <c r="BA301" s="2"/>
      <c r="BB301" s="2"/>
      <c r="BC301" s="2">
        <f t="shared" si="28"/>
        <v>23.2</v>
      </c>
      <c r="BD301" s="2"/>
      <c r="BE301" s="5">
        <f t="shared" si="36"/>
        <v>2.6202372394023902E-2</v>
      </c>
      <c r="BF301" s="13">
        <v>45755</v>
      </c>
      <c r="BG301" s="2">
        <v>149.6</v>
      </c>
      <c r="BH301" s="2"/>
      <c r="BI301" s="2"/>
      <c r="BJ301" s="2"/>
      <c r="BK301" s="2">
        <f t="shared" si="29"/>
        <v>149.6</v>
      </c>
      <c r="BL301" s="2"/>
      <c r="BM301" s="5">
        <f t="shared" si="37"/>
        <v>2.7101929777791179E-2</v>
      </c>
    </row>
    <row r="302" spans="1:65" ht="15.75" customHeight="1" x14ac:dyDescent="0.35">
      <c r="A302" s="675"/>
      <c r="B302" s="13">
        <v>45756</v>
      </c>
      <c r="C302" s="2">
        <v>10.8</v>
      </c>
      <c r="D302" s="2"/>
      <c r="E302" s="2"/>
      <c r="F302" s="2"/>
      <c r="G302" s="11">
        <f t="shared" si="30"/>
        <v>10.8</v>
      </c>
      <c r="H302" s="2"/>
      <c r="I302" s="5">
        <f t="shared" si="38"/>
        <v>0</v>
      </c>
      <c r="J302" s="13">
        <v>45756</v>
      </c>
      <c r="K302" s="2">
        <v>30.7</v>
      </c>
      <c r="L302" s="2"/>
      <c r="M302" s="2"/>
      <c r="N302" s="2"/>
      <c r="O302" s="11">
        <f t="shared" si="23"/>
        <v>30.7</v>
      </c>
      <c r="P302" s="2"/>
      <c r="Q302" s="5">
        <f t="shared" si="31"/>
        <v>-9.7245498919947444E-3</v>
      </c>
      <c r="R302" s="13">
        <v>45756</v>
      </c>
      <c r="S302" s="2">
        <v>320.8</v>
      </c>
      <c r="T302" s="2"/>
      <c r="U302" s="2"/>
      <c r="V302" s="2"/>
      <c r="W302" s="11">
        <f t="shared" si="24"/>
        <v>320.8</v>
      </c>
      <c r="X302" s="2"/>
      <c r="Y302" s="5">
        <f t="shared" si="32"/>
        <v>9.3559963163476767E-4</v>
      </c>
      <c r="Z302" s="13">
        <v>45756</v>
      </c>
      <c r="AA302" s="2">
        <v>821.7</v>
      </c>
      <c r="AB302" s="2"/>
      <c r="AC302" s="2"/>
      <c r="AD302" s="2"/>
      <c r="AE302" s="2">
        <f t="shared" si="25"/>
        <v>821.7</v>
      </c>
      <c r="AF302" s="2"/>
      <c r="AG302" s="5">
        <f t="shared" si="33"/>
        <v>1.0029438278049798E-2</v>
      </c>
      <c r="AH302" s="13">
        <v>45756</v>
      </c>
      <c r="AI302" s="2">
        <v>497.3</v>
      </c>
      <c r="AJ302" s="2"/>
      <c r="AK302" s="2"/>
      <c r="AL302" s="2"/>
      <c r="AM302" s="2">
        <f t="shared" si="26"/>
        <v>497.3</v>
      </c>
      <c r="AN302" s="2"/>
      <c r="AO302" s="5">
        <f t="shared" si="34"/>
        <v>1.6099822354656683E-3</v>
      </c>
      <c r="AP302" s="13">
        <v>45756</v>
      </c>
      <c r="AQ302" s="11">
        <v>468.3</v>
      </c>
      <c r="AR302" s="2"/>
      <c r="AS302" s="2"/>
      <c r="AT302" s="2"/>
      <c r="AU302" s="11">
        <f t="shared" si="27"/>
        <v>468.3</v>
      </c>
      <c r="AV302" s="2"/>
      <c r="AW302" s="5">
        <f t="shared" si="35"/>
        <v>1.8100041643617937E-2</v>
      </c>
      <c r="AX302" s="13">
        <v>45756</v>
      </c>
      <c r="AY302" s="2">
        <v>23.9</v>
      </c>
      <c r="AZ302" s="2"/>
      <c r="BA302" s="2"/>
      <c r="BB302" s="2"/>
      <c r="BC302" s="2">
        <f t="shared" si="28"/>
        <v>23.9</v>
      </c>
      <c r="BD302" s="2"/>
      <c r="BE302" s="5">
        <f t="shared" si="36"/>
        <v>2.9726180265200689E-2</v>
      </c>
      <c r="BF302" s="13">
        <v>45756</v>
      </c>
      <c r="BG302" s="2">
        <v>156.4</v>
      </c>
      <c r="BH302" s="2"/>
      <c r="BI302" s="2"/>
      <c r="BJ302" s="2"/>
      <c r="BK302" s="2">
        <f t="shared" si="29"/>
        <v>156.4</v>
      </c>
      <c r="BL302" s="2"/>
      <c r="BM302" s="5">
        <f t="shared" si="37"/>
        <v>4.4451762570834011E-2</v>
      </c>
    </row>
    <row r="303" spans="1:65" ht="15.75" customHeight="1" x14ac:dyDescent="0.35">
      <c r="A303" s="675"/>
      <c r="B303" s="13">
        <v>45757</v>
      </c>
      <c r="C303" s="2">
        <v>10.6</v>
      </c>
      <c r="D303" s="2"/>
      <c r="E303" s="2"/>
      <c r="F303" s="2"/>
      <c r="G303" s="11">
        <f t="shared" si="30"/>
        <v>10.6</v>
      </c>
      <c r="H303" s="2"/>
      <c r="I303" s="5">
        <f t="shared" si="38"/>
        <v>-1.8692133012152633E-2</v>
      </c>
      <c r="J303" s="13">
        <v>45757</v>
      </c>
      <c r="K303" s="2">
        <v>30.7</v>
      </c>
      <c r="L303" s="2"/>
      <c r="M303" s="2"/>
      <c r="N303" s="2"/>
      <c r="O303" s="11">
        <f t="shared" si="23"/>
        <v>30.7</v>
      </c>
      <c r="P303" s="2"/>
      <c r="Q303" s="5">
        <f t="shared" si="31"/>
        <v>0</v>
      </c>
      <c r="R303" s="13">
        <v>45757</v>
      </c>
      <c r="S303" s="2">
        <v>320.60000000000002</v>
      </c>
      <c r="T303" s="2"/>
      <c r="U303" s="2"/>
      <c r="V303" s="2"/>
      <c r="W303" s="11">
        <f t="shared" si="24"/>
        <v>320.60000000000002</v>
      </c>
      <c r="X303" s="2"/>
      <c r="Y303" s="5">
        <f t="shared" si="32"/>
        <v>-6.2363581690684001E-4</v>
      </c>
      <c r="Z303" s="13">
        <v>45757</v>
      </c>
      <c r="AA303" s="2">
        <v>819</v>
      </c>
      <c r="AB303" s="2"/>
      <c r="AC303" s="2"/>
      <c r="AD303" s="2"/>
      <c r="AE303" s="2">
        <f t="shared" si="25"/>
        <v>819</v>
      </c>
      <c r="AF303" s="2"/>
      <c r="AG303" s="5">
        <f t="shared" si="33"/>
        <v>-3.2912810840728442E-3</v>
      </c>
      <c r="AH303" s="13">
        <v>45757</v>
      </c>
      <c r="AI303" s="2">
        <v>499.4</v>
      </c>
      <c r="AJ303" s="2"/>
      <c r="AK303" s="2"/>
      <c r="AL303" s="2"/>
      <c r="AM303" s="2">
        <f t="shared" si="26"/>
        <v>499.4</v>
      </c>
      <c r="AN303" s="2"/>
      <c r="AO303" s="5">
        <f t="shared" si="34"/>
        <v>4.2139121249798565E-3</v>
      </c>
      <c r="AP303" s="13">
        <v>45757</v>
      </c>
      <c r="AQ303" s="11">
        <v>463.8</v>
      </c>
      <c r="AR303" s="2"/>
      <c r="AS303" s="2"/>
      <c r="AT303" s="2"/>
      <c r="AU303" s="11">
        <f t="shared" si="27"/>
        <v>463.8</v>
      </c>
      <c r="AV303" s="2"/>
      <c r="AW303" s="5">
        <f t="shared" si="35"/>
        <v>-9.6556913680647411E-3</v>
      </c>
      <c r="AX303" s="13">
        <v>45757</v>
      </c>
      <c r="AY303" s="2">
        <v>23.7</v>
      </c>
      <c r="AZ303" s="2"/>
      <c r="BA303" s="2"/>
      <c r="BB303" s="2"/>
      <c r="BC303" s="2">
        <f t="shared" si="28"/>
        <v>23.7</v>
      </c>
      <c r="BD303" s="2"/>
      <c r="BE303" s="5">
        <f t="shared" si="36"/>
        <v>-8.4034107963795041E-3</v>
      </c>
      <c r="BF303" s="13">
        <v>45757</v>
      </c>
      <c r="BG303" s="2">
        <v>154.6</v>
      </c>
      <c r="BH303" s="2"/>
      <c r="BI303" s="2"/>
      <c r="BJ303" s="2"/>
      <c r="BK303" s="2">
        <f t="shared" si="29"/>
        <v>154.6</v>
      </c>
      <c r="BL303" s="2"/>
      <c r="BM303" s="5">
        <f t="shared" si="37"/>
        <v>-1.1575691957889151E-2</v>
      </c>
    </row>
    <row r="304" spans="1:65" ht="15.75" customHeight="1" x14ac:dyDescent="0.35">
      <c r="A304" s="675"/>
      <c r="B304" s="13">
        <v>45760</v>
      </c>
      <c r="C304" s="2">
        <v>10.3</v>
      </c>
      <c r="D304" s="2"/>
      <c r="E304" s="2"/>
      <c r="F304" s="2"/>
      <c r="G304" s="11">
        <f t="shared" si="30"/>
        <v>10.3</v>
      </c>
      <c r="H304" s="2"/>
      <c r="I304" s="5">
        <f t="shared" si="38"/>
        <v>-2.8710105882431253E-2</v>
      </c>
      <c r="J304" s="13">
        <v>45760</v>
      </c>
      <c r="K304" s="2">
        <v>30.5</v>
      </c>
      <c r="L304" s="2"/>
      <c r="M304" s="2"/>
      <c r="N304" s="2"/>
      <c r="O304" s="11">
        <f t="shared" si="23"/>
        <v>30.5</v>
      </c>
      <c r="P304" s="2"/>
      <c r="Q304" s="5">
        <f t="shared" si="31"/>
        <v>-6.5359709797855334E-3</v>
      </c>
      <c r="R304" s="13">
        <v>45760</v>
      </c>
      <c r="S304" s="2">
        <v>320.10000000000002</v>
      </c>
      <c r="T304" s="2"/>
      <c r="U304" s="2"/>
      <c r="V304" s="2"/>
      <c r="W304" s="11">
        <f t="shared" si="24"/>
        <v>320.10000000000002</v>
      </c>
      <c r="X304" s="2"/>
      <c r="Y304" s="5">
        <f t="shared" si="32"/>
        <v>-1.5607931996352328E-3</v>
      </c>
      <c r="Z304" s="13">
        <v>45760</v>
      </c>
      <c r="AA304" s="2">
        <v>819.6</v>
      </c>
      <c r="AB304" s="2"/>
      <c r="AC304" s="2"/>
      <c r="AD304" s="2"/>
      <c r="AE304" s="2">
        <f t="shared" si="25"/>
        <v>819.6</v>
      </c>
      <c r="AF304" s="2"/>
      <c r="AG304" s="5">
        <f t="shared" si="33"/>
        <v>7.3233251167526307E-4</v>
      </c>
      <c r="AH304" s="13">
        <v>45760</v>
      </c>
      <c r="AI304" s="2">
        <v>499.3</v>
      </c>
      <c r="AJ304" s="2"/>
      <c r="AK304" s="2"/>
      <c r="AL304" s="2"/>
      <c r="AM304" s="2">
        <f t="shared" si="26"/>
        <v>499.3</v>
      </c>
      <c r="AN304" s="2"/>
      <c r="AO304" s="5">
        <f t="shared" si="34"/>
        <v>-2.0026033910920657E-4</v>
      </c>
      <c r="AP304" s="13">
        <v>45760</v>
      </c>
      <c r="AQ304" s="11">
        <v>466.1</v>
      </c>
      <c r="AR304" s="2"/>
      <c r="AS304" s="2"/>
      <c r="AT304" s="2"/>
      <c r="AU304" s="11">
        <f t="shared" si="27"/>
        <v>466.1</v>
      </c>
      <c r="AV304" s="2"/>
      <c r="AW304" s="5">
        <f t="shared" si="35"/>
        <v>4.9467785572639006E-3</v>
      </c>
      <c r="AX304" s="13">
        <v>45760</v>
      </c>
      <c r="AY304" s="2">
        <v>23.1</v>
      </c>
      <c r="AZ304" s="2"/>
      <c r="BA304" s="2"/>
      <c r="BB304" s="2"/>
      <c r="BC304" s="2">
        <f t="shared" si="28"/>
        <v>23.1</v>
      </c>
      <c r="BD304" s="2"/>
      <c r="BE304" s="5">
        <f t="shared" si="36"/>
        <v>-2.5642430613337555E-2</v>
      </c>
      <c r="BF304" s="13">
        <v>45760</v>
      </c>
      <c r="BG304" s="2">
        <v>161.5</v>
      </c>
      <c r="BH304" s="2"/>
      <c r="BI304" s="2"/>
      <c r="BJ304" s="2"/>
      <c r="BK304" s="2">
        <f t="shared" si="29"/>
        <v>161.5</v>
      </c>
      <c r="BL304" s="2"/>
      <c r="BM304" s="5">
        <f t="shared" si="37"/>
        <v>4.3664006509389577E-2</v>
      </c>
    </row>
    <row r="305" spans="1:65" ht="15.75" customHeight="1" x14ac:dyDescent="0.35">
      <c r="A305" s="675"/>
      <c r="B305" s="13">
        <v>45762</v>
      </c>
      <c r="C305" s="2">
        <v>10.1</v>
      </c>
      <c r="D305" s="2"/>
      <c r="E305" s="2"/>
      <c r="F305" s="2"/>
      <c r="G305" s="11">
        <f t="shared" si="30"/>
        <v>10.1</v>
      </c>
      <c r="H305" s="2"/>
      <c r="I305" s="5">
        <f t="shared" si="38"/>
        <v>-1.9608471388376424E-2</v>
      </c>
      <c r="J305" s="13">
        <v>45762</v>
      </c>
      <c r="K305" s="2">
        <v>30.5</v>
      </c>
      <c r="L305" s="2"/>
      <c r="M305" s="2"/>
      <c r="N305" s="2"/>
      <c r="O305" s="11">
        <f t="shared" si="23"/>
        <v>30.5</v>
      </c>
      <c r="P305" s="2"/>
      <c r="Q305" s="5">
        <f t="shared" si="31"/>
        <v>0</v>
      </c>
      <c r="R305" s="13">
        <v>45762</v>
      </c>
      <c r="S305" s="2">
        <v>320.8</v>
      </c>
      <c r="T305" s="2"/>
      <c r="U305" s="2"/>
      <c r="V305" s="2"/>
      <c r="W305" s="11">
        <f t="shared" si="24"/>
        <v>320.8</v>
      </c>
      <c r="X305" s="2"/>
      <c r="Y305" s="5">
        <f t="shared" si="32"/>
        <v>2.1844290165419881E-3</v>
      </c>
      <c r="Z305" s="13">
        <v>45762</v>
      </c>
      <c r="AA305" s="2">
        <v>820.6</v>
      </c>
      <c r="AB305" s="2"/>
      <c r="AC305" s="2"/>
      <c r="AD305" s="2"/>
      <c r="AE305" s="2">
        <f t="shared" si="25"/>
        <v>820.6</v>
      </c>
      <c r="AF305" s="2"/>
      <c r="AG305" s="5">
        <f t="shared" si="33"/>
        <v>1.2193636433409519E-3</v>
      </c>
      <c r="AH305" s="13">
        <v>45762</v>
      </c>
      <c r="AI305" s="2">
        <v>500.6</v>
      </c>
      <c r="AJ305" s="2"/>
      <c r="AK305" s="2"/>
      <c r="AL305" s="2"/>
      <c r="AM305" s="2">
        <f t="shared" si="26"/>
        <v>500.6</v>
      </c>
      <c r="AN305" s="2"/>
      <c r="AO305" s="5">
        <f t="shared" si="34"/>
        <v>2.6002614911102085E-3</v>
      </c>
      <c r="AP305" s="13">
        <v>45762</v>
      </c>
      <c r="AQ305" s="11">
        <v>472.9</v>
      </c>
      <c r="AR305" s="2"/>
      <c r="AS305" s="2"/>
      <c r="AT305" s="2"/>
      <c r="AU305" s="11">
        <f t="shared" si="27"/>
        <v>472.9</v>
      </c>
      <c r="AV305" s="2"/>
      <c r="AW305" s="5">
        <f t="shared" si="35"/>
        <v>1.4483746271134808E-2</v>
      </c>
      <c r="AX305" s="13">
        <v>45762</v>
      </c>
      <c r="AY305" s="2">
        <v>22.8</v>
      </c>
      <c r="AZ305" s="2"/>
      <c r="BA305" s="2"/>
      <c r="BB305" s="2"/>
      <c r="BC305" s="2">
        <f t="shared" si="28"/>
        <v>22.8</v>
      </c>
      <c r="BD305" s="2"/>
      <c r="BE305" s="5">
        <f t="shared" si="36"/>
        <v>-1.3072081567352775E-2</v>
      </c>
      <c r="BF305" s="13">
        <v>45762</v>
      </c>
      <c r="BG305" s="2">
        <v>159.69999999999999</v>
      </c>
      <c r="BH305" s="2"/>
      <c r="BI305" s="2"/>
      <c r="BJ305" s="2"/>
      <c r="BK305" s="2">
        <f t="shared" si="29"/>
        <v>159.69999999999999</v>
      </c>
      <c r="BL305" s="2"/>
      <c r="BM305" s="5">
        <f t="shared" si="37"/>
        <v>-1.1208087441744589E-2</v>
      </c>
    </row>
    <row r="306" spans="1:65" ht="15.75" customHeight="1" x14ac:dyDescent="0.35">
      <c r="A306" s="675"/>
      <c r="B306" s="13">
        <v>45763</v>
      </c>
      <c r="C306" s="2">
        <v>9.9</v>
      </c>
      <c r="D306" s="2"/>
      <c r="E306" s="2"/>
      <c r="F306" s="2"/>
      <c r="G306" s="11">
        <f t="shared" si="30"/>
        <v>9.9</v>
      </c>
      <c r="H306" s="2"/>
      <c r="I306" s="5">
        <f t="shared" si="38"/>
        <v>-2.0000666706669428E-2</v>
      </c>
      <c r="J306" s="13">
        <v>45763</v>
      </c>
      <c r="K306" s="2">
        <v>30.3</v>
      </c>
      <c r="L306" s="2"/>
      <c r="M306" s="2"/>
      <c r="N306" s="2"/>
      <c r="O306" s="11">
        <f t="shared" si="23"/>
        <v>30.3</v>
      </c>
      <c r="P306" s="2"/>
      <c r="Q306" s="5">
        <f t="shared" si="31"/>
        <v>-6.578971098042511E-3</v>
      </c>
      <c r="R306" s="13">
        <v>45763</v>
      </c>
      <c r="S306" s="2">
        <v>320.89999999999998</v>
      </c>
      <c r="T306" s="2"/>
      <c r="U306" s="2"/>
      <c r="V306" s="2"/>
      <c r="W306" s="11">
        <f t="shared" si="24"/>
        <v>320.89999999999998</v>
      </c>
      <c r="X306" s="2"/>
      <c r="Y306" s="5">
        <f t="shared" si="32"/>
        <v>3.1167212345175054E-4</v>
      </c>
      <c r="Z306" s="13">
        <v>45763</v>
      </c>
      <c r="AA306" s="2">
        <v>821.1</v>
      </c>
      <c r="AB306" s="2"/>
      <c r="AC306" s="2"/>
      <c r="AD306" s="2"/>
      <c r="AE306" s="2">
        <f t="shared" si="25"/>
        <v>821.1</v>
      </c>
      <c r="AF306" s="2"/>
      <c r="AG306" s="5">
        <f t="shared" si="33"/>
        <v>6.0912470665728234E-4</v>
      </c>
      <c r="AH306" s="13">
        <v>45763</v>
      </c>
      <c r="AI306" s="2">
        <v>499.6</v>
      </c>
      <c r="AJ306" s="2"/>
      <c r="AK306" s="2"/>
      <c r="AL306" s="2"/>
      <c r="AM306" s="2">
        <f t="shared" si="26"/>
        <v>499.6</v>
      </c>
      <c r="AN306" s="2"/>
      <c r="AO306" s="5">
        <f t="shared" si="34"/>
        <v>-1.9996007462512416E-3</v>
      </c>
      <c r="AP306" s="13">
        <v>45763</v>
      </c>
      <c r="AQ306" s="11">
        <v>466.5</v>
      </c>
      <c r="AR306" s="2"/>
      <c r="AS306" s="2"/>
      <c r="AT306" s="2"/>
      <c r="AU306" s="11">
        <f t="shared" si="27"/>
        <v>466.5</v>
      </c>
      <c r="AV306" s="2"/>
      <c r="AW306" s="5">
        <f t="shared" si="35"/>
        <v>-1.3625929362431545E-2</v>
      </c>
      <c r="AX306" s="13">
        <v>45763</v>
      </c>
      <c r="AY306" s="2">
        <v>22.5</v>
      </c>
      <c r="AZ306" s="2"/>
      <c r="BA306" s="2"/>
      <c r="BB306" s="2"/>
      <c r="BC306" s="2">
        <f t="shared" si="28"/>
        <v>22.5</v>
      </c>
      <c r="BD306" s="2"/>
      <c r="BE306" s="5">
        <f t="shared" si="36"/>
        <v>-1.324522675002068E-2</v>
      </c>
      <c r="BF306" s="13">
        <v>45763</v>
      </c>
      <c r="BG306" s="2">
        <v>155.80000000000001</v>
      </c>
      <c r="BH306" s="2"/>
      <c r="BI306" s="2"/>
      <c r="BJ306" s="2"/>
      <c r="BK306" s="2">
        <f t="shared" si="29"/>
        <v>155.80000000000001</v>
      </c>
      <c r="BL306" s="2"/>
      <c r="BM306" s="5">
        <f t="shared" si="37"/>
        <v>-2.4723921784318682E-2</v>
      </c>
    </row>
    <row r="307" spans="1:65" ht="15.75" customHeight="1" x14ac:dyDescent="0.35">
      <c r="A307" s="675"/>
      <c r="B307" s="13">
        <v>45764</v>
      </c>
      <c r="C307" s="2">
        <v>10.7</v>
      </c>
      <c r="D307" s="2"/>
      <c r="E307" s="2"/>
      <c r="F307" s="2"/>
      <c r="G307" s="11">
        <f t="shared" si="30"/>
        <v>10.7</v>
      </c>
      <c r="H307" s="2"/>
      <c r="I307" s="5">
        <f t="shared" si="38"/>
        <v>7.7708984327316113E-2</v>
      </c>
      <c r="J307" s="13">
        <v>45764</v>
      </c>
      <c r="K307" s="2">
        <v>30.5</v>
      </c>
      <c r="L307" s="2"/>
      <c r="M307" s="2"/>
      <c r="N307" s="2"/>
      <c r="O307" s="11">
        <f t="shared" si="23"/>
        <v>30.5</v>
      </c>
      <c r="P307" s="2"/>
      <c r="Q307" s="5">
        <f t="shared" si="31"/>
        <v>6.5789710980425605E-3</v>
      </c>
      <c r="R307" s="13">
        <v>45764</v>
      </c>
      <c r="S307" s="2">
        <v>319.89999999999998</v>
      </c>
      <c r="T307" s="2"/>
      <c r="U307" s="2"/>
      <c r="V307" s="2"/>
      <c r="W307" s="11">
        <f t="shared" si="24"/>
        <v>319.89999999999998</v>
      </c>
      <c r="X307" s="2"/>
      <c r="Y307" s="5">
        <f t="shared" si="32"/>
        <v>-3.1211011603388228E-3</v>
      </c>
      <c r="Z307" s="13">
        <v>45764</v>
      </c>
      <c r="AA307" s="2">
        <v>818.8</v>
      </c>
      <c r="AB307" s="2"/>
      <c r="AC307" s="2"/>
      <c r="AD307" s="2"/>
      <c r="AE307" s="2">
        <f t="shared" si="25"/>
        <v>818.8</v>
      </c>
      <c r="AF307" s="2"/>
      <c r="AG307" s="5">
        <f t="shared" si="33"/>
        <v>-2.8050509276087211E-3</v>
      </c>
      <c r="AH307" s="13">
        <v>45764</v>
      </c>
      <c r="AI307" s="2">
        <v>499.9</v>
      </c>
      <c r="AJ307" s="2"/>
      <c r="AK307" s="2"/>
      <c r="AL307" s="2"/>
      <c r="AM307" s="2">
        <f t="shared" si="26"/>
        <v>499.9</v>
      </c>
      <c r="AN307" s="2"/>
      <c r="AO307" s="5">
        <f t="shared" si="34"/>
        <v>6.0030016810199761E-4</v>
      </c>
      <c r="AP307" s="13">
        <v>45764</v>
      </c>
      <c r="AQ307" s="11">
        <v>459.3</v>
      </c>
      <c r="AR307" s="2"/>
      <c r="AS307" s="2"/>
      <c r="AT307" s="2"/>
      <c r="AU307" s="11">
        <f t="shared" si="27"/>
        <v>459.3</v>
      </c>
      <c r="AV307" s="2"/>
      <c r="AW307" s="5">
        <f t="shared" si="35"/>
        <v>-1.5554428955650755E-2</v>
      </c>
      <c r="AX307" s="13">
        <v>45764</v>
      </c>
      <c r="AY307" s="2">
        <v>22.5</v>
      </c>
      <c r="AZ307" s="2"/>
      <c r="BA307" s="2"/>
      <c r="BB307" s="2"/>
      <c r="BC307" s="2">
        <f t="shared" si="28"/>
        <v>22.5</v>
      </c>
      <c r="BD307" s="2"/>
      <c r="BE307" s="5">
        <f t="shared" si="36"/>
        <v>0</v>
      </c>
      <c r="BF307" s="13">
        <v>45764</v>
      </c>
      <c r="BG307" s="2">
        <v>155.5</v>
      </c>
      <c r="BH307" s="2"/>
      <c r="BI307" s="2"/>
      <c r="BJ307" s="2"/>
      <c r="BK307" s="2">
        <f t="shared" si="29"/>
        <v>155.5</v>
      </c>
      <c r="BL307" s="2"/>
      <c r="BM307" s="5">
        <f t="shared" si="37"/>
        <v>-1.9274018173591249E-3</v>
      </c>
    </row>
    <row r="308" spans="1:65" ht="15.75" customHeight="1" x14ac:dyDescent="0.35">
      <c r="A308" s="675"/>
      <c r="B308" s="13">
        <v>45767</v>
      </c>
      <c r="C308" s="2">
        <v>10.9</v>
      </c>
      <c r="D308" s="2"/>
      <c r="E308" s="2"/>
      <c r="F308" s="2"/>
      <c r="G308" s="11">
        <f t="shared" si="30"/>
        <v>10.9</v>
      </c>
      <c r="H308" s="2"/>
      <c r="I308" s="5">
        <f t="shared" si="38"/>
        <v>1.8519047767237531E-2</v>
      </c>
      <c r="J308" s="13">
        <v>45767</v>
      </c>
      <c r="K308" s="2">
        <v>31.1</v>
      </c>
      <c r="L308" s="2"/>
      <c r="M308" s="2"/>
      <c r="N308" s="2"/>
      <c r="O308" s="11">
        <f t="shared" si="23"/>
        <v>31.1</v>
      </c>
      <c r="P308" s="2"/>
      <c r="Q308" s="5">
        <f t="shared" si="31"/>
        <v>1.9481135571822489E-2</v>
      </c>
      <c r="R308" s="13">
        <v>45767</v>
      </c>
      <c r="S308" s="2">
        <v>321.10000000000002</v>
      </c>
      <c r="T308" s="2"/>
      <c r="U308" s="2"/>
      <c r="V308" s="2"/>
      <c r="W308" s="11">
        <f t="shared" si="24"/>
        <v>321.10000000000002</v>
      </c>
      <c r="X308" s="2"/>
      <c r="Y308" s="5">
        <f t="shared" si="32"/>
        <v>3.7441541399959978E-3</v>
      </c>
      <c r="Z308" s="13">
        <v>45767</v>
      </c>
      <c r="AA308" s="2">
        <v>809.7</v>
      </c>
      <c r="AB308" s="2"/>
      <c r="AC308" s="2"/>
      <c r="AD308" s="2"/>
      <c r="AE308" s="2">
        <f t="shared" si="25"/>
        <v>809.7</v>
      </c>
      <c r="AF308" s="2"/>
      <c r="AG308" s="5">
        <f t="shared" si="33"/>
        <v>-1.1176045095065725E-2</v>
      </c>
      <c r="AH308" s="13">
        <v>45767</v>
      </c>
      <c r="AI308" s="2">
        <v>497.4</v>
      </c>
      <c r="AJ308" s="2"/>
      <c r="AK308" s="2"/>
      <c r="AL308" s="2"/>
      <c r="AM308" s="2">
        <f t="shared" si="26"/>
        <v>497.4</v>
      </c>
      <c r="AN308" s="2"/>
      <c r="AO308" s="5">
        <f t="shared" si="34"/>
        <v>-5.013547050220394E-3</v>
      </c>
      <c r="AP308" s="13">
        <v>45767</v>
      </c>
      <c r="AQ308" s="11">
        <v>457</v>
      </c>
      <c r="AR308" s="2"/>
      <c r="AS308" s="2"/>
      <c r="AT308" s="2"/>
      <c r="AU308" s="11">
        <f t="shared" si="27"/>
        <v>457</v>
      </c>
      <c r="AV308" s="2"/>
      <c r="AW308" s="5">
        <f t="shared" si="35"/>
        <v>-5.020200437543032E-3</v>
      </c>
      <c r="AX308" s="13">
        <v>45767</v>
      </c>
      <c r="AY308" s="2">
        <v>21.7</v>
      </c>
      <c r="AZ308" s="2"/>
      <c r="BA308" s="2"/>
      <c r="BB308" s="2"/>
      <c r="BC308" s="2">
        <f t="shared" si="28"/>
        <v>21.7</v>
      </c>
      <c r="BD308" s="2"/>
      <c r="BE308" s="5">
        <f t="shared" si="36"/>
        <v>-3.6203048663960589E-2</v>
      </c>
      <c r="BF308" s="13">
        <v>45767</v>
      </c>
      <c r="BG308" s="2">
        <v>152</v>
      </c>
      <c r="BH308" s="2"/>
      <c r="BI308" s="2"/>
      <c r="BJ308" s="2"/>
      <c r="BK308" s="2">
        <f t="shared" si="29"/>
        <v>152</v>
      </c>
      <c r="BL308" s="2"/>
      <c r="BM308" s="5">
        <f t="shared" si="37"/>
        <v>-2.2765210773012433E-2</v>
      </c>
    </row>
    <row r="309" spans="1:65" ht="15.75" customHeight="1" x14ac:dyDescent="0.35">
      <c r="A309" s="675"/>
      <c r="B309" s="13">
        <v>45768</v>
      </c>
      <c r="C309" s="2">
        <v>10.7</v>
      </c>
      <c r="D309" s="2"/>
      <c r="E309" s="2"/>
      <c r="F309" s="2"/>
      <c r="G309" s="11">
        <f t="shared" si="30"/>
        <v>10.7</v>
      </c>
      <c r="H309" s="2"/>
      <c r="I309" s="5">
        <f t="shared" si="38"/>
        <v>-1.8519047767237642E-2</v>
      </c>
      <c r="J309" s="13">
        <v>45768</v>
      </c>
      <c r="K309" s="2">
        <v>30.9</v>
      </c>
      <c r="L309" s="2"/>
      <c r="M309" s="2"/>
      <c r="N309" s="2"/>
      <c r="O309" s="11">
        <f t="shared" si="23"/>
        <v>30.9</v>
      </c>
      <c r="P309" s="2"/>
      <c r="Q309" s="5">
        <f t="shared" si="31"/>
        <v>-6.4516352814887193E-3</v>
      </c>
      <c r="R309" s="13">
        <v>45768</v>
      </c>
      <c r="S309" s="2">
        <v>319.5</v>
      </c>
      <c r="T309" s="2"/>
      <c r="U309" s="2"/>
      <c r="V309" s="2"/>
      <c r="W309" s="11">
        <f t="shared" si="24"/>
        <v>319.5</v>
      </c>
      <c r="X309" s="2"/>
      <c r="Y309" s="5">
        <f t="shared" si="32"/>
        <v>-4.995327277878844E-3</v>
      </c>
      <c r="Z309" s="13">
        <v>45768</v>
      </c>
      <c r="AA309" s="2">
        <v>795.5</v>
      </c>
      <c r="AB309" s="2"/>
      <c r="AC309" s="2"/>
      <c r="AD309" s="2"/>
      <c r="AE309" s="2">
        <f t="shared" si="25"/>
        <v>795.5</v>
      </c>
      <c r="AF309" s="2"/>
      <c r="AG309" s="5">
        <f t="shared" si="33"/>
        <v>-1.7692960914227129E-2</v>
      </c>
      <c r="AH309" s="13">
        <v>45768</v>
      </c>
      <c r="AI309" s="2">
        <v>497</v>
      </c>
      <c r="AJ309" s="2"/>
      <c r="AK309" s="2"/>
      <c r="AL309" s="2"/>
      <c r="AM309" s="2">
        <f t="shared" si="26"/>
        <v>497</v>
      </c>
      <c r="AN309" s="2"/>
      <c r="AO309" s="5">
        <f t="shared" si="34"/>
        <v>-8.045052726755286E-4</v>
      </c>
      <c r="AP309" s="13">
        <v>45768</v>
      </c>
      <c r="AQ309" s="11">
        <v>455.1</v>
      </c>
      <c r="AR309" s="2"/>
      <c r="AS309" s="2"/>
      <c r="AT309" s="2"/>
      <c r="AU309" s="11">
        <f t="shared" si="27"/>
        <v>455.1</v>
      </c>
      <c r="AV309" s="2"/>
      <c r="AW309" s="5">
        <f t="shared" si="35"/>
        <v>-4.1662158716083584E-3</v>
      </c>
      <c r="AX309" s="13">
        <v>45768</v>
      </c>
      <c r="AY309" s="2">
        <v>21.1</v>
      </c>
      <c r="AZ309" s="2"/>
      <c r="BA309" s="2"/>
      <c r="BB309" s="2"/>
      <c r="BC309" s="2">
        <f t="shared" si="28"/>
        <v>21.1</v>
      </c>
      <c r="BD309" s="2"/>
      <c r="BE309" s="5">
        <f t="shared" si="36"/>
        <v>-2.8039220064392932E-2</v>
      </c>
      <c r="BF309" s="13">
        <v>45768</v>
      </c>
      <c r="BG309" s="2">
        <v>151.6</v>
      </c>
      <c r="BH309" s="2"/>
      <c r="BI309" s="2"/>
      <c r="BJ309" s="2"/>
      <c r="BK309" s="2">
        <f t="shared" si="29"/>
        <v>151.6</v>
      </c>
      <c r="BL309" s="2"/>
      <c r="BM309" s="5">
        <f t="shared" si="37"/>
        <v>-2.6350476380051138E-3</v>
      </c>
    </row>
    <row r="310" spans="1:65" ht="15.75" customHeight="1" x14ac:dyDescent="0.35">
      <c r="A310" s="675"/>
      <c r="B310" s="13">
        <v>45769</v>
      </c>
      <c r="C310" s="2">
        <v>10.4</v>
      </c>
      <c r="D310" s="2"/>
      <c r="E310" s="2"/>
      <c r="F310" s="2"/>
      <c r="G310" s="11">
        <f t="shared" si="30"/>
        <v>10.4</v>
      </c>
      <c r="H310" s="2"/>
      <c r="I310" s="5">
        <f t="shared" si="38"/>
        <v>-2.8437935320533399E-2</v>
      </c>
      <c r="J310" s="13">
        <v>45769</v>
      </c>
      <c r="K310" s="2">
        <v>30.7</v>
      </c>
      <c r="L310" s="2"/>
      <c r="M310" s="2"/>
      <c r="N310" s="2"/>
      <c r="O310" s="11">
        <f t="shared" si="23"/>
        <v>30.7</v>
      </c>
      <c r="P310" s="2"/>
      <c r="Q310" s="5">
        <f t="shared" si="31"/>
        <v>-6.4935293105482308E-3</v>
      </c>
      <c r="R310" s="13">
        <v>45769</v>
      </c>
      <c r="S310" s="2">
        <v>319.7</v>
      </c>
      <c r="T310" s="2"/>
      <c r="U310" s="2"/>
      <c r="V310" s="2"/>
      <c r="W310" s="11">
        <f t="shared" si="24"/>
        <v>319.7</v>
      </c>
      <c r="X310" s="2"/>
      <c r="Y310" s="5">
        <f t="shared" si="32"/>
        <v>6.2578224820614516E-4</v>
      </c>
      <c r="Z310" s="13">
        <v>45769</v>
      </c>
      <c r="AA310" s="2">
        <v>800</v>
      </c>
      <c r="AB310" s="2"/>
      <c r="AC310" s="2"/>
      <c r="AD310" s="2"/>
      <c r="AE310" s="2">
        <f t="shared" si="25"/>
        <v>800</v>
      </c>
      <c r="AF310" s="2"/>
      <c r="AG310" s="5">
        <f t="shared" si="33"/>
        <v>5.6408798900857062E-3</v>
      </c>
      <c r="AH310" s="13">
        <v>45769</v>
      </c>
      <c r="AI310" s="2">
        <v>496.9</v>
      </c>
      <c r="AJ310" s="2"/>
      <c r="AK310" s="2"/>
      <c r="AL310" s="2"/>
      <c r="AM310" s="2">
        <f t="shared" si="26"/>
        <v>496.9</v>
      </c>
      <c r="AN310" s="2"/>
      <c r="AO310" s="5">
        <f t="shared" si="34"/>
        <v>-2.0122748835391246E-4</v>
      </c>
      <c r="AP310" s="13">
        <v>45769</v>
      </c>
      <c r="AQ310" s="11">
        <v>454.5</v>
      </c>
      <c r="AR310" s="2"/>
      <c r="AS310" s="2"/>
      <c r="AT310" s="2"/>
      <c r="AU310" s="11">
        <f t="shared" si="27"/>
        <v>454.5</v>
      </c>
      <c r="AV310" s="2"/>
      <c r="AW310" s="5">
        <f t="shared" si="35"/>
        <v>-1.3192614050628047E-3</v>
      </c>
      <c r="AX310" s="13">
        <v>45769</v>
      </c>
      <c r="AY310" s="2">
        <v>21.2</v>
      </c>
      <c r="AZ310" s="2"/>
      <c r="BA310" s="2"/>
      <c r="BB310" s="2"/>
      <c r="BC310" s="2">
        <f t="shared" si="28"/>
        <v>21.2</v>
      </c>
      <c r="BD310" s="2"/>
      <c r="BE310" s="5">
        <f t="shared" si="36"/>
        <v>4.7281411959458957E-3</v>
      </c>
      <c r="BF310" s="13">
        <v>45769</v>
      </c>
      <c r="BG310" s="2">
        <v>152.9</v>
      </c>
      <c r="BH310" s="2"/>
      <c r="BI310" s="2"/>
      <c r="BJ310" s="2"/>
      <c r="BK310" s="2">
        <f t="shared" si="29"/>
        <v>152.9</v>
      </c>
      <c r="BL310" s="2"/>
      <c r="BM310" s="5">
        <f t="shared" si="37"/>
        <v>8.5386397267454266E-3</v>
      </c>
    </row>
    <row r="311" spans="1:65" ht="15.75" customHeight="1" x14ac:dyDescent="0.35">
      <c r="A311" s="675"/>
      <c r="B311" s="13">
        <v>45770</v>
      </c>
      <c r="C311" s="2">
        <v>10.1</v>
      </c>
      <c r="D311" s="2"/>
      <c r="E311" s="2"/>
      <c r="F311" s="2"/>
      <c r="G311" s="11">
        <f t="shared" si="30"/>
        <v>10.1</v>
      </c>
      <c r="H311" s="2"/>
      <c r="I311" s="5">
        <f t="shared" si="38"/>
        <v>-2.9270382300113338E-2</v>
      </c>
      <c r="J311" s="13">
        <v>45770</v>
      </c>
      <c r="K311" s="2">
        <v>30.6</v>
      </c>
      <c r="L311" s="2"/>
      <c r="M311" s="2"/>
      <c r="N311" s="2"/>
      <c r="O311" s="11">
        <f t="shared" si="23"/>
        <v>30.6</v>
      </c>
      <c r="P311" s="2"/>
      <c r="Q311" s="5">
        <f t="shared" si="31"/>
        <v>-3.2626456348162714E-3</v>
      </c>
      <c r="R311" s="13">
        <v>45770</v>
      </c>
      <c r="S311" s="2">
        <v>321.3</v>
      </c>
      <c r="T311" s="2"/>
      <c r="U311" s="2"/>
      <c r="V311" s="2"/>
      <c r="W311" s="11">
        <f t="shared" si="24"/>
        <v>321.3</v>
      </c>
      <c r="X311" s="2"/>
      <c r="Y311" s="5">
        <f t="shared" si="32"/>
        <v>4.9922100560170673E-3</v>
      </c>
      <c r="Z311" s="13">
        <v>45770</v>
      </c>
      <c r="AA311" s="2">
        <v>798.8</v>
      </c>
      <c r="AB311" s="2"/>
      <c r="AC311" s="2"/>
      <c r="AD311" s="2"/>
      <c r="AE311" s="2">
        <f t="shared" si="25"/>
        <v>798.8</v>
      </c>
      <c r="AF311" s="2"/>
      <c r="AG311" s="5">
        <f t="shared" si="33"/>
        <v>-1.5011261262672026E-3</v>
      </c>
      <c r="AH311" s="13">
        <v>45770</v>
      </c>
      <c r="AI311" s="2">
        <v>496.2</v>
      </c>
      <c r="AJ311" s="2"/>
      <c r="AK311" s="2"/>
      <c r="AL311" s="2"/>
      <c r="AM311" s="2">
        <f t="shared" si="26"/>
        <v>496.2</v>
      </c>
      <c r="AN311" s="2"/>
      <c r="AO311" s="5">
        <f t="shared" si="34"/>
        <v>-1.4097273505742781E-3</v>
      </c>
      <c r="AP311" s="13">
        <v>45770</v>
      </c>
      <c r="AQ311" s="11">
        <v>452</v>
      </c>
      <c r="AR311" s="2"/>
      <c r="AS311" s="2"/>
      <c r="AT311" s="2"/>
      <c r="AU311" s="11">
        <f t="shared" si="27"/>
        <v>452</v>
      </c>
      <c r="AV311" s="2"/>
      <c r="AW311" s="5">
        <f t="shared" si="35"/>
        <v>-5.5157337853023293E-3</v>
      </c>
      <c r="AX311" s="13">
        <v>45770</v>
      </c>
      <c r="AY311" s="2">
        <v>21.2</v>
      </c>
      <c r="AZ311" s="2"/>
      <c r="BA311" s="2"/>
      <c r="BB311" s="2"/>
      <c r="BC311" s="2">
        <f t="shared" si="28"/>
        <v>21.2</v>
      </c>
      <c r="BD311" s="2"/>
      <c r="BE311" s="5">
        <f t="shared" si="36"/>
        <v>0</v>
      </c>
      <c r="BF311" s="13">
        <v>45770</v>
      </c>
      <c r="BG311" s="2">
        <v>155.19999999999999</v>
      </c>
      <c r="BH311" s="2"/>
      <c r="BI311" s="2"/>
      <c r="BJ311" s="2"/>
      <c r="BK311" s="2">
        <f t="shared" si="29"/>
        <v>155.19999999999999</v>
      </c>
      <c r="BL311" s="2"/>
      <c r="BM311" s="5">
        <f t="shared" si="37"/>
        <v>1.4930494814101547E-2</v>
      </c>
    </row>
    <row r="312" spans="1:65" ht="15.75" customHeight="1" x14ac:dyDescent="0.35">
      <c r="A312" s="675"/>
      <c r="B312" s="13">
        <v>45771</v>
      </c>
      <c r="C312" s="2">
        <v>10.1</v>
      </c>
      <c r="D312" s="2"/>
      <c r="E312" s="2"/>
      <c r="F312" s="2"/>
      <c r="G312" s="11">
        <f t="shared" si="30"/>
        <v>10.1</v>
      </c>
      <c r="H312" s="2"/>
      <c r="I312" s="5">
        <f t="shared" si="38"/>
        <v>0</v>
      </c>
      <c r="J312" s="13">
        <v>45771</v>
      </c>
      <c r="K312" s="2">
        <v>30.4</v>
      </c>
      <c r="L312" s="2"/>
      <c r="M312" s="2"/>
      <c r="N312" s="2"/>
      <c r="O312" s="11">
        <f t="shared" si="23"/>
        <v>30.4</v>
      </c>
      <c r="P312" s="2"/>
      <c r="Q312" s="5">
        <f t="shared" si="31"/>
        <v>-6.5574005461591636E-3</v>
      </c>
      <c r="R312" s="13">
        <v>45771</v>
      </c>
      <c r="S312" s="2">
        <v>320.5</v>
      </c>
      <c r="T312" s="2"/>
      <c r="U312" s="2"/>
      <c r="V312" s="2"/>
      <c r="W312" s="11">
        <f t="shared" si="24"/>
        <v>320.5</v>
      </c>
      <c r="X312" s="2"/>
      <c r="Y312" s="5">
        <f t="shared" si="32"/>
        <v>-2.4929897610881106E-3</v>
      </c>
      <c r="Z312" s="13">
        <v>45771</v>
      </c>
      <c r="AA312" s="2">
        <v>796.6</v>
      </c>
      <c r="AB312" s="2"/>
      <c r="AC312" s="2"/>
      <c r="AD312" s="2"/>
      <c r="AE312" s="2">
        <f t="shared" si="25"/>
        <v>796.6</v>
      </c>
      <c r="AF312" s="2"/>
      <c r="AG312" s="5">
        <f t="shared" si="33"/>
        <v>-2.757930794116235E-3</v>
      </c>
      <c r="AH312" s="13">
        <v>45771</v>
      </c>
      <c r="AI312" s="2">
        <v>492.6</v>
      </c>
      <c r="AJ312" s="2"/>
      <c r="AK312" s="2"/>
      <c r="AL312" s="2"/>
      <c r="AM312" s="2">
        <f t="shared" si="26"/>
        <v>492.6</v>
      </c>
      <c r="AN312" s="2"/>
      <c r="AO312" s="5">
        <f t="shared" si="34"/>
        <v>-7.2815855712630084E-3</v>
      </c>
      <c r="AP312" s="13">
        <v>45771</v>
      </c>
      <c r="AQ312" s="11">
        <v>449.5</v>
      </c>
      <c r="AR312" s="2"/>
      <c r="AS312" s="2"/>
      <c r="AT312" s="2"/>
      <c r="AU312" s="11">
        <f t="shared" si="27"/>
        <v>449.5</v>
      </c>
      <c r="AV312" s="2"/>
      <c r="AW312" s="5">
        <f t="shared" si="35"/>
        <v>-5.5463259205562601E-3</v>
      </c>
      <c r="AX312" s="13">
        <v>45771</v>
      </c>
      <c r="AY312" s="2">
        <v>20.8</v>
      </c>
      <c r="AZ312" s="2"/>
      <c r="BA312" s="2"/>
      <c r="BB312" s="2"/>
      <c r="BC312" s="2">
        <f t="shared" si="28"/>
        <v>20.8</v>
      </c>
      <c r="BD312" s="2"/>
      <c r="BE312" s="5">
        <f t="shared" si="36"/>
        <v>-1.9048194970694363E-2</v>
      </c>
      <c r="BF312" s="13">
        <v>45771</v>
      </c>
      <c r="BG312" s="2">
        <v>152.4</v>
      </c>
      <c r="BH312" s="2"/>
      <c r="BI312" s="2"/>
      <c r="BJ312" s="2"/>
      <c r="BK312" s="2">
        <f t="shared" si="29"/>
        <v>152.4</v>
      </c>
      <c r="BL312" s="2"/>
      <c r="BM312" s="5">
        <f t="shared" si="37"/>
        <v>-1.820596449657241E-2</v>
      </c>
    </row>
    <row r="313" spans="1:65" ht="15.75" customHeight="1" x14ac:dyDescent="0.35">
      <c r="A313" s="675"/>
      <c r="B313" s="13">
        <v>45774</v>
      </c>
      <c r="C313" s="2">
        <v>10.199999999999999</v>
      </c>
      <c r="D313" s="2"/>
      <c r="E313" s="2"/>
      <c r="F313" s="2"/>
      <c r="G313" s="11">
        <f t="shared" si="30"/>
        <v>10.199999999999999</v>
      </c>
      <c r="H313" s="2"/>
      <c r="I313" s="5">
        <f t="shared" si="38"/>
        <v>9.8522964430116395E-3</v>
      </c>
      <c r="J313" s="13">
        <v>45774</v>
      </c>
      <c r="K313" s="2">
        <v>30.1</v>
      </c>
      <c r="L313" s="2"/>
      <c r="M313" s="2"/>
      <c r="N313" s="2"/>
      <c r="O313" s="11">
        <f t="shared" si="23"/>
        <v>30.1</v>
      </c>
      <c r="P313" s="2"/>
      <c r="Q313" s="5">
        <f t="shared" si="31"/>
        <v>-9.9174366573459155E-3</v>
      </c>
      <c r="R313" s="13">
        <v>45774</v>
      </c>
      <c r="S313" s="2">
        <v>307.8</v>
      </c>
      <c r="T313" s="2"/>
      <c r="U313" s="2"/>
      <c r="V313" s="2"/>
      <c r="W313" s="11">
        <f t="shared" si="24"/>
        <v>307.8</v>
      </c>
      <c r="X313" s="2"/>
      <c r="Y313" s="5">
        <f t="shared" si="32"/>
        <v>-4.0432054955945797E-2</v>
      </c>
      <c r="Z313" s="13">
        <v>45774</v>
      </c>
      <c r="AA313" s="2">
        <v>796</v>
      </c>
      <c r="AB313" s="2"/>
      <c r="AC313" s="2"/>
      <c r="AD313" s="2"/>
      <c r="AE313" s="2">
        <f t="shared" si="25"/>
        <v>796</v>
      </c>
      <c r="AF313" s="2"/>
      <c r="AG313" s="5">
        <f t="shared" si="33"/>
        <v>-7.5348490316089526E-4</v>
      </c>
      <c r="AH313" s="13">
        <v>45774</v>
      </c>
      <c r="AI313" s="2">
        <v>492.6</v>
      </c>
      <c r="AJ313" s="2"/>
      <c r="AK313" s="2"/>
      <c r="AL313" s="2"/>
      <c r="AM313" s="2">
        <f t="shared" si="26"/>
        <v>492.6</v>
      </c>
      <c r="AN313" s="2"/>
      <c r="AO313" s="5">
        <f t="shared" si="34"/>
        <v>0</v>
      </c>
      <c r="AP313" s="13">
        <v>45774</v>
      </c>
      <c r="AQ313" s="11">
        <v>449.9</v>
      </c>
      <c r="AR313" s="2"/>
      <c r="AS313" s="2"/>
      <c r="AT313" s="2"/>
      <c r="AU313" s="11">
        <f t="shared" si="27"/>
        <v>449.9</v>
      </c>
      <c r="AV313" s="2"/>
      <c r="AW313" s="5">
        <f t="shared" si="35"/>
        <v>8.8948193545163663E-4</v>
      </c>
      <c r="AX313" s="13">
        <v>45774</v>
      </c>
      <c r="AY313" s="2">
        <v>20.9</v>
      </c>
      <c r="AZ313" s="2"/>
      <c r="BA313" s="2"/>
      <c r="BB313" s="2"/>
      <c r="BC313" s="2">
        <f t="shared" si="28"/>
        <v>20.9</v>
      </c>
      <c r="BD313" s="2"/>
      <c r="BE313" s="5">
        <f t="shared" si="36"/>
        <v>4.7961722634930135E-3</v>
      </c>
      <c r="BF313" s="13">
        <v>45774</v>
      </c>
      <c r="BG313" s="2">
        <v>152.19999999999999</v>
      </c>
      <c r="BH313" s="2"/>
      <c r="BI313" s="2"/>
      <c r="BJ313" s="2"/>
      <c r="BK313" s="2">
        <f t="shared" si="29"/>
        <v>152.19999999999999</v>
      </c>
      <c r="BL313" s="2"/>
      <c r="BM313" s="5">
        <f t="shared" si="37"/>
        <v>-1.3131978249605835E-3</v>
      </c>
    </row>
    <row r="314" spans="1:65" ht="15.75" customHeight="1" x14ac:dyDescent="0.35">
      <c r="A314" s="675"/>
      <c r="B314" s="13">
        <v>45775</v>
      </c>
      <c r="C314" s="2">
        <v>10.1</v>
      </c>
      <c r="D314" s="2"/>
      <c r="E314" s="2"/>
      <c r="F314" s="2"/>
      <c r="G314" s="11">
        <f t="shared" si="30"/>
        <v>10.1</v>
      </c>
      <c r="H314" s="2"/>
      <c r="I314" s="5">
        <f t="shared" si="38"/>
        <v>-9.8522964430115944E-3</v>
      </c>
      <c r="J314" s="13">
        <v>45775</v>
      </c>
      <c r="K314" s="2">
        <v>30.1</v>
      </c>
      <c r="L314" s="2"/>
      <c r="M314" s="2"/>
      <c r="N314" s="2"/>
      <c r="O314" s="11">
        <f t="shared" si="23"/>
        <v>30.1</v>
      </c>
      <c r="P314" s="2"/>
      <c r="Q314" s="5">
        <f t="shared" si="31"/>
        <v>0</v>
      </c>
      <c r="R314" s="13">
        <v>45775</v>
      </c>
      <c r="S314" s="2">
        <v>302.5</v>
      </c>
      <c r="T314" s="2"/>
      <c r="U314" s="2"/>
      <c r="V314" s="2"/>
      <c r="W314" s="11">
        <f t="shared" si="24"/>
        <v>302.5</v>
      </c>
      <c r="X314" s="2"/>
      <c r="Y314" s="5">
        <f t="shared" si="32"/>
        <v>-1.7368943933882781E-2</v>
      </c>
      <c r="Z314" s="13">
        <v>45775</v>
      </c>
      <c r="AA314" s="2">
        <v>795</v>
      </c>
      <c r="AB314" s="2"/>
      <c r="AC314" s="2"/>
      <c r="AD314" s="2"/>
      <c r="AE314" s="2">
        <f t="shared" si="25"/>
        <v>795</v>
      </c>
      <c r="AF314" s="2"/>
      <c r="AG314" s="5">
        <f t="shared" si="33"/>
        <v>-1.2570711900510918E-3</v>
      </c>
      <c r="AH314" s="13">
        <v>45775</v>
      </c>
      <c r="AI314" s="2">
        <v>492</v>
      </c>
      <c r="AJ314" s="2"/>
      <c r="AK314" s="2"/>
      <c r="AL314" s="2"/>
      <c r="AM314" s="2">
        <f t="shared" si="26"/>
        <v>492</v>
      </c>
      <c r="AN314" s="2"/>
      <c r="AO314" s="5">
        <f t="shared" si="34"/>
        <v>-1.2187691941294547E-3</v>
      </c>
      <c r="AP314" s="13">
        <v>45775</v>
      </c>
      <c r="AQ314" s="11">
        <v>448.9</v>
      </c>
      <c r="AR314" s="2"/>
      <c r="AS314" s="2"/>
      <c r="AT314" s="2"/>
      <c r="AU314" s="11">
        <f t="shared" si="27"/>
        <v>448.9</v>
      </c>
      <c r="AV314" s="2"/>
      <c r="AW314" s="5">
        <f t="shared" si="35"/>
        <v>-2.2251900592401806E-3</v>
      </c>
      <c r="AX314" s="13">
        <v>45775</v>
      </c>
      <c r="AY314" s="2">
        <v>21</v>
      </c>
      <c r="AZ314" s="2"/>
      <c r="BA314" s="2"/>
      <c r="BB314" s="2"/>
      <c r="BC314" s="2">
        <f t="shared" si="28"/>
        <v>21</v>
      </c>
      <c r="BD314" s="2"/>
      <c r="BE314" s="5">
        <f t="shared" si="36"/>
        <v>4.7732787526578117E-3</v>
      </c>
      <c r="BF314" s="13">
        <v>45775</v>
      </c>
      <c r="BG314" s="2">
        <v>150.4</v>
      </c>
      <c r="BH314" s="2"/>
      <c r="BI314" s="2"/>
      <c r="BJ314" s="2"/>
      <c r="BK314" s="2">
        <f t="shared" si="29"/>
        <v>150.4</v>
      </c>
      <c r="BL314" s="2"/>
      <c r="BM314" s="5">
        <f t="shared" si="37"/>
        <v>-1.1897033911845942E-2</v>
      </c>
    </row>
    <row r="315" spans="1:65" ht="15.75" customHeight="1" x14ac:dyDescent="0.35">
      <c r="A315" s="675"/>
      <c r="B315" s="13">
        <v>45776</v>
      </c>
      <c r="C315" s="2">
        <v>10.1</v>
      </c>
      <c r="D315" s="2"/>
      <c r="E315" s="2"/>
      <c r="F315" s="2"/>
      <c r="G315" s="11">
        <f t="shared" si="30"/>
        <v>10.1</v>
      </c>
      <c r="H315" s="2"/>
      <c r="I315" s="5">
        <f t="shared" si="38"/>
        <v>0</v>
      </c>
      <c r="J315" s="13">
        <v>45776</v>
      </c>
      <c r="K315" s="2">
        <v>29.9</v>
      </c>
      <c r="L315" s="2"/>
      <c r="M315" s="2"/>
      <c r="N315" s="2"/>
      <c r="O315" s="11">
        <f t="shared" si="23"/>
        <v>29.9</v>
      </c>
      <c r="P315" s="2"/>
      <c r="Q315" s="5">
        <f t="shared" si="31"/>
        <v>-6.6666913581893451E-3</v>
      </c>
      <c r="R315" s="13">
        <v>45776</v>
      </c>
      <c r="S315" s="2">
        <v>300.2</v>
      </c>
      <c r="T315" s="2"/>
      <c r="U315" s="2"/>
      <c r="V315" s="2"/>
      <c r="W315" s="11">
        <f t="shared" si="24"/>
        <v>300.2</v>
      </c>
      <c r="X315" s="2"/>
      <c r="Y315" s="5">
        <f t="shared" si="32"/>
        <v>-7.632358271534633E-3</v>
      </c>
      <c r="Z315" s="13">
        <v>45776</v>
      </c>
      <c r="AA315" s="2">
        <v>785.6</v>
      </c>
      <c r="AB315" s="2"/>
      <c r="AC315" s="2"/>
      <c r="AD315" s="2"/>
      <c r="AE315" s="2">
        <f t="shared" si="25"/>
        <v>785.6</v>
      </c>
      <c r="AF315" s="2"/>
      <c r="AG315" s="5">
        <f t="shared" si="33"/>
        <v>-1.1894357614075788E-2</v>
      </c>
      <c r="AH315" s="13">
        <v>45776</v>
      </c>
      <c r="AI315" s="2">
        <v>490.9</v>
      </c>
      <c r="AJ315" s="2"/>
      <c r="AK315" s="2"/>
      <c r="AL315" s="2"/>
      <c r="AM315" s="2">
        <f t="shared" si="26"/>
        <v>490.9</v>
      </c>
      <c r="AN315" s="2"/>
      <c r="AO315" s="5">
        <f t="shared" si="34"/>
        <v>-2.2382754283013823E-3</v>
      </c>
      <c r="AP315" s="13">
        <v>45776</v>
      </c>
      <c r="AQ315" s="11">
        <v>446.2</v>
      </c>
      <c r="AR315" s="2"/>
      <c r="AS315" s="2"/>
      <c r="AT315" s="2"/>
      <c r="AU315" s="11">
        <f t="shared" si="27"/>
        <v>446.2</v>
      </c>
      <c r="AV315" s="2"/>
      <c r="AW315" s="5">
        <f t="shared" si="35"/>
        <v>-6.032863789454326E-3</v>
      </c>
      <c r="AX315" s="13">
        <v>45776</v>
      </c>
      <c r="AY315" s="2">
        <v>20.9</v>
      </c>
      <c r="AZ315" s="2"/>
      <c r="BA315" s="2"/>
      <c r="BB315" s="2"/>
      <c r="BC315" s="2">
        <f t="shared" si="28"/>
        <v>20.9</v>
      </c>
      <c r="BD315" s="2"/>
      <c r="BE315" s="5">
        <f t="shared" si="36"/>
        <v>-4.7732787526577709E-3</v>
      </c>
      <c r="BF315" s="13">
        <v>45776</v>
      </c>
      <c r="BG315" s="2">
        <v>151.1</v>
      </c>
      <c r="BH315" s="2"/>
      <c r="BI315" s="2"/>
      <c r="BJ315" s="2"/>
      <c r="BK315" s="2">
        <f t="shared" si="29"/>
        <v>151.1</v>
      </c>
      <c r="BL315" s="2"/>
      <c r="BM315" s="5">
        <f t="shared" si="37"/>
        <v>4.6434577629543691E-3</v>
      </c>
    </row>
    <row r="316" spans="1:65" ht="15.75" customHeight="1" x14ac:dyDescent="0.35">
      <c r="A316" s="675"/>
      <c r="B316" s="13">
        <v>45777</v>
      </c>
      <c r="C316" s="2">
        <v>10.199999999999999</v>
      </c>
      <c r="D316" s="2"/>
      <c r="E316" s="2"/>
      <c r="F316" s="2"/>
      <c r="G316" s="11">
        <f t="shared" si="30"/>
        <v>10.199999999999999</v>
      </c>
      <c r="H316" s="2"/>
      <c r="I316" s="5">
        <f t="shared" si="38"/>
        <v>9.8522964430116395E-3</v>
      </c>
      <c r="J316" s="13">
        <v>45777</v>
      </c>
      <c r="K316" s="2">
        <v>29.7</v>
      </c>
      <c r="L316" s="2"/>
      <c r="M316" s="2"/>
      <c r="N316" s="2"/>
      <c r="O316" s="11">
        <f t="shared" si="23"/>
        <v>29.7</v>
      </c>
      <c r="P316" s="2"/>
      <c r="Q316" s="5">
        <f t="shared" si="31"/>
        <v>-6.7114345879868038E-3</v>
      </c>
      <c r="R316" s="13">
        <v>45777</v>
      </c>
      <c r="S316" s="2">
        <v>299.60000000000002</v>
      </c>
      <c r="T316" s="2"/>
      <c r="U316" s="2"/>
      <c r="V316" s="2"/>
      <c r="W316" s="11">
        <f t="shared" si="24"/>
        <v>299.60000000000002</v>
      </c>
      <c r="X316" s="2"/>
      <c r="Y316" s="5">
        <f t="shared" si="32"/>
        <v>-2.0006675562970599E-3</v>
      </c>
      <c r="Z316" s="13">
        <v>45777</v>
      </c>
      <c r="AA316" s="2">
        <v>787</v>
      </c>
      <c r="AB316" s="2"/>
      <c r="AC316" s="2"/>
      <c r="AD316" s="2"/>
      <c r="AE316" s="2">
        <f t="shared" si="25"/>
        <v>787</v>
      </c>
      <c r="AF316" s="2"/>
      <c r="AG316" s="5">
        <f t="shared" si="33"/>
        <v>1.7804913771469707E-3</v>
      </c>
      <c r="AH316" s="13">
        <v>45777</v>
      </c>
      <c r="AI316" s="2">
        <v>490.9</v>
      </c>
      <c r="AJ316" s="2"/>
      <c r="AK316" s="2"/>
      <c r="AL316" s="2"/>
      <c r="AM316" s="2">
        <f t="shared" si="26"/>
        <v>490.9</v>
      </c>
      <c r="AN316" s="2"/>
      <c r="AO316" s="5">
        <f t="shared" si="34"/>
        <v>0</v>
      </c>
      <c r="AP316" s="13">
        <v>45777</v>
      </c>
      <c r="AQ316" s="11">
        <v>445</v>
      </c>
      <c r="AR316" s="2"/>
      <c r="AS316" s="2"/>
      <c r="AT316" s="2"/>
      <c r="AU316" s="11">
        <f t="shared" si="27"/>
        <v>445</v>
      </c>
      <c r="AV316" s="2"/>
      <c r="AW316" s="5">
        <f t="shared" si="35"/>
        <v>-2.692999832191911E-3</v>
      </c>
      <c r="AX316" s="13">
        <v>45777</v>
      </c>
      <c r="AY316" s="2">
        <v>20.9</v>
      </c>
      <c r="AZ316" s="2"/>
      <c r="BA316" s="2"/>
      <c r="BB316" s="2"/>
      <c r="BC316" s="2">
        <f t="shared" si="28"/>
        <v>20.9</v>
      </c>
      <c r="BD316" s="2"/>
      <c r="BE316" s="5">
        <f t="shared" si="36"/>
        <v>0</v>
      </c>
      <c r="BF316" s="13">
        <v>45777</v>
      </c>
      <c r="BG316" s="2">
        <v>152.1</v>
      </c>
      <c r="BH316" s="2"/>
      <c r="BI316" s="2"/>
      <c r="BJ316" s="2"/>
      <c r="BK316" s="2">
        <f t="shared" si="29"/>
        <v>152.1</v>
      </c>
      <c r="BL316" s="2"/>
      <c r="BM316" s="5">
        <f t="shared" si="37"/>
        <v>6.5963299865533093E-3</v>
      </c>
    </row>
    <row r="317" spans="1:65" ht="15.75" customHeight="1" x14ac:dyDescent="0.35">
      <c r="A317" s="675"/>
      <c r="B317" s="13">
        <v>45781</v>
      </c>
      <c r="C317" s="2">
        <v>10.5</v>
      </c>
      <c r="D317" s="2"/>
      <c r="E317" s="2"/>
      <c r="F317" s="2"/>
      <c r="G317" s="11">
        <f t="shared" si="30"/>
        <v>10.5</v>
      </c>
      <c r="H317" s="2"/>
      <c r="I317" s="5">
        <f t="shared" si="38"/>
        <v>2.8987536873252406E-2</v>
      </c>
      <c r="J317" s="13">
        <v>45781</v>
      </c>
      <c r="K317" s="2">
        <v>29.7</v>
      </c>
      <c r="L317" s="2"/>
      <c r="M317" s="2"/>
      <c r="N317" s="2"/>
      <c r="O317" s="11">
        <f t="shared" si="23"/>
        <v>29.7</v>
      </c>
      <c r="P317" s="2"/>
      <c r="Q317" s="5">
        <f t="shared" si="31"/>
        <v>0</v>
      </c>
      <c r="R317" s="13">
        <v>45781</v>
      </c>
      <c r="S317" s="2">
        <v>300.2</v>
      </c>
      <c r="T317" s="2"/>
      <c r="U317" s="2"/>
      <c r="V317" s="2"/>
      <c r="W317" s="11">
        <f t="shared" si="24"/>
        <v>300.2</v>
      </c>
      <c r="X317" s="2"/>
      <c r="Y317" s="5">
        <f t="shared" si="32"/>
        <v>2.0006675562969688E-3</v>
      </c>
      <c r="Z317" s="13">
        <v>45781</v>
      </c>
      <c r="AA317" s="2">
        <v>780.6</v>
      </c>
      <c r="AB317" s="2"/>
      <c r="AC317" s="2"/>
      <c r="AD317" s="2"/>
      <c r="AE317" s="2">
        <f t="shared" si="25"/>
        <v>780.6</v>
      </c>
      <c r="AF317" s="2"/>
      <c r="AG317" s="5">
        <f t="shared" si="33"/>
        <v>-8.165393670888638E-3</v>
      </c>
      <c r="AH317" s="13">
        <v>45781</v>
      </c>
      <c r="AI317" s="2">
        <v>489</v>
      </c>
      <c r="AJ317" s="2"/>
      <c r="AK317" s="2"/>
      <c r="AL317" s="2"/>
      <c r="AM317" s="2">
        <f t="shared" si="26"/>
        <v>489</v>
      </c>
      <c r="AN317" s="2"/>
      <c r="AO317" s="5">
        <f t="shared" si="34"/>
        <v>-3.8779515891347442E-3</v>
      </c>
      <c r="AP317" s="13">
        <v>45781</v>
      </c>
      <c r="AQ317" s="11">
        <v>438.1</v>
      </c>
      <c r="AR317" s="2"/>
      <c r="AS317" s="2"/>
      <c r="AT317" s="2"/>
      <c r="AU317" s="11">
        <f t="shared" si="27"/>
        <v>438.1</v>
      </c>
      <c r="AV317" s="2"/>
      <c r="AW317" s="5">
        <f t="shared" si="35"/>
        <v>-1.5627087346387375E-2</v>
      </c>
      <c r="AX317" s="13">
        <v>45781</v>
      </c>
      <c r="AY317" s="2">
        <v>21.4</v>
      </c>
      <c r="AZ317" s="2"/>
      <c r="BA317" s="2"/>
      <c r="BB317" s="2"/>
      <c r="BC317" s="2">
        <f t="shared" si="28"/>
        <v>21.4</v>
      </c>
      <c r="BD317" s="2"/>
      <c r="BE317" s="5">
        <f t="shared" si="36"/>
        <v>2.3641763057040494E-2</v>
      </c>
      <c r="BF317" s="13">
        <v>45781</v>
      </c>
      <c r="BG317" s="2">
        <v>151.4</v>
      </c>
      <c r="BH317" s="2"/>
      <c r="BI317" s="2"/>
      <c r="BJ317" s="2"/>
      <c r="BK317" s="2">
        <f t="shared" si="29"/>
        <v>151.4</v>
      </c>
      <c r="BL317" s="2"/>
      <c r="BM317" s="5">
        <f t="shared" si="37"/>
        <v>-4.6128582618987181E-3</v>
      </c>
    </row>
    <row r="318" spans="1:65" ht="15.75" customHeight="1" x14ac:dyDescent="0.35">
      <c r="A318" s="675"/>
      <c r="B318" s="13">
        <v>45782</v>
      </c>
      <c r="C318" s="2">
        <v>10.3</v>
      </c>
      <c r="D318" s="2"/>
      <c r="E318" s="2"/>
      <c r="F318" s="2"/>
      <c r="G318" s="11">
        <f t="shared" si="30"/>
        <v>10.3</v>
      </c>
      <c r="H318" s="2"/>
      <c r="I318" s="5">
        <f t="shared" si="38"/>
        <v>-1.9231361927887533E-2</v>
      </c>
      <c r="J318" s="13">
        <v>45782</v>
      </c>
      <c r="K318" s="2">
        <v>29.9</v>
      </c>
      <c r="L318" s="2"/>
      <c r="M318" s="2"/>
      <c r="N318" s="2"/>
      <c r="O318" s="11">
        <f t="shared" si="23"/>
        <v>29.9</v>
      </c>
      <c r="P318" s="2"/>
      <c r="Q318" s="5">
        <f t="shared" si="31"/>
        <v>6.7114345879867778E-3</v>
      </c>
      <c r="R318" s="13">
        <v>45782</v>
      </c>
      <c r="S318" s="2">
        <v>304.10000000000002</v>
      </c>
      <c r="T318" s="2"/>
      <c r="U318" s="2"/>
      <c r="V318" s="2"/>
      <c r="W318" s="11">
        <f t="shared" si="24"/>
        <v>304.10000000000002</v>
      </c>
      <c r="X318" s="2"/>
      <c r="Y318" s="5">
        <f t="shared" si="32"/>
        <v>1.2907675483957578E-2</v>
      </c>
      <c r="Z318" s="13">
        <v>45782</v>
      </c>
      <c r="AA318" s="2">
        <v>732.1</v>
      </c>
      <c r="AB318" s="2"/>
      <c r="AC318" s="2"/>
      <c r="AD318" s="2"/>
      <c r="AE318" s="2">
        <f t="shared" si="25"/>
        <v>732.1</v>
      </c>
      <c r="AF318" s="2"/>
      <c r="AG318" s="5">
        <f t="shared" si="33"/>
        <v>-6.4145738093917617E-2</v>
      </c>
      <c r="AH318" s="13">
        <v>45782</v>
      </c>
      <c r="AI318" s="2">
        <v>490.9</v>
      </c>
      <c r="AJ318" s="2"/>
      <c r="AK318" s="2"/>
      <c r="AL318" s="2"/>
      <c r="AM318" s="2">
        <f t="shared" si="26"/>
        <v>490.9</v>
      </c>
      <c r="AN318" s="2"/>
      <c r="AO318" s="5">
        <f t="shared" si="34"/>
        <v>3.8779515891348339E-3</v>
      </c>
      <c r="AP318" s="13">
        <v>45782</v>
      </c>
      <c r="AQ318" s="11">
        <v>432.7</v>
      </c>
      <c r="AR318" s="2"/>
      <c r="AS318" s="2"/>
      <c r="AT318" s="2"/>
      <c r="AU318" s="11">
        <f t="shared" si="27"/>
        <v>432.7</v>
      </c>
      <c r="AV318" s="2"/>
      <c r="AW318" s="5">
        <f t="shared" si="35"/>
        <v>-1.240254758901374E-2</v>
      </c>
      <c r="AX318" s="13">
        <v>45782</v>
      </c>
      <c r="AY318" s="2">
        <v>20.6</v>
      </c>
      <c r="AZ318" s="2"/>
      <c r="BA318" s="2"/>
      <c r="BB318" s="2"/>
      <c r="BC318" s="2">
        <f t="shared" si="28"/>
        <v>20.6</v>
      </c>
      <c r="BD318" s="2"/>
      <c r="BE318" s="5">
        <f t="shared" si="36"/>
        <v>-3.8099846232270293E-2</v>
      </c>
      <c r="BF318" s="13">
        <v>45782</v>
      </c>
      <c r="BG318" s="2">
        <v>150.80000000000001</v>
      </c>
      <c r="BH318" s="2"/>
      <c r="BI318" s="2"/>
      <c r="BJ318" s="2"/>
      <c r="BK318" s="2">
        <f t="shared" si="29"/>
        <v>150.80000000000001</v>
      </c>
      <c r="BL318" s="2"/>
      <c r="BM318" s="5">
        <f t="shared" si="37"/>
        <v>-3.9708854294926198E-3</v>
      </c>
    </row>
    <row r="319" spans="1:65" ht="15.75" customHeight="1" x14ac:dyDescent="0.35">
      <c r="A319" s="675"/>
      <c r="B319" s="13">
        <v>45783</v>
      </c>
      <c r="C319" s="2">
        <v>10.6</v>
      </c>
      <c r="D319" s="2"/>
      <c r="E319" s="2"/>
      <c r="F319" s="2"/>
      <c r="G319" s="11">
        <f t="shared" si="30"/>
        <v>10.6</v>
      </c>
      <c r="H319" s="2"/>
      <c r="I319" s="5">
        <f t="shared" si="38"/>
        <v>2.871010588243136E-2</v>
      </c>
      <c r="J319" s="13">
        <v>45783</v>
      </c>
      <c r="K319" s="2">
        <v>30.4</v>
      </c>
      <c r="L319" s="2"/>
      <c r="M319" s="2"/>
      <c r="N319" s="2"/>
      <c r="O319" s="11">
        <f t="shared" si="23"/>
        <v>30.4</v>
      </c>
      <c r="P319" s="2"/>
      <c r="Q319" s="5">
        <f t="shared" si="31"/>
        <v>1.6584128015535261E-2</v>
      </c>
      <c r="R319" s="13">
        <v>45783</v>
      </c>
      <c r="S319" s="2">
        <v>302.10000000000002</v>
      </c>
      <c r="T319" s="2"/>
      <c r="U319" s="2"/>
      <c r="V319" s="2"/>
      <c r="W319" s="11">
        <f t="shared" si="24"/>
        <v>302.10000000000002</v>
      </c>
      <c r="X319" s="2"/>
      <c r="Y319" s="5">
        <f t="shared" si="32"/>
        <v>-6.5985062906926632E-3</v>
      </c>
      <c r="Z319" s="13">
        <v>45783</v>
      </c>
      <c r="AA319" s="2">
        <v>758.1</v>
      </c>
      <c r="AB319" s="2"/>
      <c r="AC319" s="2"/>
      <c r="AD319" s="2"/>
      <c r="AE319" s="2">
        <f t="shared" si="25"/>
        <v>758.1</v>
      </c>
      <c r="AF319" s="2"/>
      <c r="AG319" s="5">
        <f t="shared" si="33"/>
        <v>3.4898186409661212E-2</v>
      </c>
      <c r="AH319" s="13">
        <v>45783</v>
      </c>
      <c r="AI319" s="2">
        <v>489.3</v>
      </c>
      <c r="AJ319" s="2"/>
      <c r="AK319" s="2"/>
      <c r="AL319" s="2"/>
      <c r="AM319" s="2">
        <f t="shared" si="26"/>
        <v>489.3</v>
      </c>
      <c r="AN319" s="2"/>
      <c r="AO319" s="5">
        <f t="shared" si="34"/>
        <v>-3.2646427689288393E-3</v>
      </c>
      <c r="AP319" s="13">
        <v>45783</v>
      </c>
      <c r="AQ319" s="11">
        <v>420.6</v>
      </c>
      <c r="AR319" s="2"/>
      <c r="AS319" s="2"/>
      <c r="AT319" s="2"/>
      <c r="AU319" s="11">
        <f t="shared" si="27"/>
        <v>420.6</v>
      </c>
      <c r="AV319" s="2"/>
      <c r="AW319" s="5">
        <f t="shared" si="35"/>
        <v>-2.8362383962239595E-2</v>
      </c>
      <c r="AX319" s="13">
        <v>45783</v>
      </c>
      <c r="AY319" s="2">
        <v>21</v>
      </c>
      <c r="AZ319" s="2"/>
      <c r="BA319" s="2"/>
      <c r="BB319" s="2"/>
      <c r="BC319" s="2">
        <f t="shared" si="28"/>
        <v>21</v>
      </c>
      <c r="BD319" s="2"/>
      <c r="BE319" s="5">
        <f t="shared" si="36"/>
        <v>1.9231361927887592E-2</v>
      </c>
      <c r="BF319" s="13">
        <v>45783</v>
      </c>
      <c r="BG319" s="2">
        <v>149</v>
      </c>
      <c r="BH319" s="2"/>
      <c r="BI319" s="2"/>
      <c r="BJ319" s="2"/>
      <c r="BK319" s="2">
        <f t="shared" si="29"/>
        <v>149</v>
      </c>
      <c r="BL319" s="2"/>
      <c r="BM319" s="5">
        <f t="shared" si="37"/>
        <v>-1.2008149628396607E-2</v>
      </c>
    </row>
    <row r="320" spans="1:65" ht="15.75" customHeight="1" x14ac:dyDescent="0.35">
      <c r="A320" s="675"/>
      <c r="B320" s="13">
        <v>45784</v>
      </c>
      <c r="C320" s="2">
        <v>10.3</v>
      </c>
      <c r="D320" s="2"/>
      <c r="E320" s="2"/>
      <c r="F320" s="2"/>
      <c r="G320" s="11">
        <f t="shared" si="30"/>
        <v>10.3</v>
      </c>
      <c r="H320" s="2"/>
      <c r="I320" s="5">
        <f t="shared" si="38"/>
        <v>-2.8710105882431253E-2</v>
      </c>
      <c r="J320" s="13">
        <v>45784</v>
      </c>
      <c r="K320" s="2">
        <v>29.7</v>
      </c>
      <c r="L320" s="2"/>
      <c r="M320" s="2"/>
      <c r="N320" s="2"/>
      <c r="O320" s="11">
        <f t="shared" si="23"/>
        <v>29.7</v>
      </c>
      <c r="P320" s="2"/>
      <c r="Q320" s="5">
        <f t="shared" si="31"/>
        <v>-2.3295562603522068E-2</v>
      </c>
      <c r="R320" s="13">
        <v>45784</v>
      </c>
      <c r="S320" s="2">
        <v>297.3</v>
      </c>
      <c r="T320" s="2"/>
      <c r="U320" s="2"/>
      <c r="V320" s="2"/>
      <c r="W320" s="11">
        <f t="shared" si="24"/>
        <v>297.3</v>
      </c>
      <c r="X320" s="2"/>
      <c r="Y320" s="5">
        <f t="shared" si="32"/>
        <v>-1.6016358388574379E-2</v>
      </c>
      <c r="Z320" s="13">
        <v>45784</v>
      </c>
      <c r="AA320" s="2">
        <v>745.7</v>
      </c>
      <c r="AB320" s="2"/>
      <c r="AC320" s="2"/>
      <c r="AD320" s="2"/>
      <c r="AE320" s="2">
        <f t="shared" si="25"/>
        <v>745.7</v>
      </c>
      <c r="AF320" s="2"/>
      <c r="AG320" s="5">
        <f t="shared" si="33"/>
        <v>-1.6491928512509017E-2</v>
      </c>
      <c r="AH320" s="13">
        <v>45784</v>
      </c>
      <c r="AI320" s="2">
        <v>478.9</v>
      </c>
      <c r="AJ320" s="2"/>
      <c r="AK320" s="2"/>
      <c r="AL320" s="2"/>
      <c r="AM320" s="2">
        <f t="shared" si="26"/>
        <v>478.9</v>
      </c>
      <c r="AN320" s="2"/>
      <c r="AO320" s="5">
        <f t="shared" si="34"/>
        <v>-2.1483990946514306E-2</v>
      </c>
      <c r="AP320" s="13">
        <v>45784</v>
      </c>
      <c r="AQ320" s="11">
        <v>403.3</v>
      </c>
      <c r="AR320" s="2"/>
      <c r="AS320" s="2"/>
      <c r="AT320" s="2"/>
      <c r="AU320" s="11">
        <f t="shared" si="27"/>
        <v>403.3</v>
      </c>
      <c r="AV320" s="2"/>
      <c r="AW320" s="5">
        <f t="shared" si="35"/>
        <v>-4.2001561389276937E-2</v>
      </c>
      <c r="AX320" s="13">
        <v>45784</v>
      </c>
      <c r="AY320" s="2">
        <v>20</v>
      </c>
      <c r="AZ320" s="2"/>
      <c r="BA320" s="2"/>
      <c r="BB320" s="2"/>
      <c r="BC320" s="2">
        <f t="shared" si="28"/>
        <v>20</v>
      </c>
      <c r="BD320" s="2"/>
      <c r="BE320" s="5">
        <f t="shared" si="36"/>
        <v>-4.8790164169432056E-2</v>
      </c>
      <c r="BF320" s="13">
        <v>45784</v>
      </c>
      <c r="BG320" s="2">
        <v>145.9</v>
      </c>
      <c r="BH320" s="2"/>
      <c r="BI320" s="2"/>
      <c r="BJ320" s="2"/>
      <c r="BK320" s="2">
        <f t="shared" si="29"/>
        <v>145.9</v>
      </c>
      <c r="BL320" s="2"/>
      <c r="BM320" s="5">
        <f t="shared" si="37"/>
        <v>-2.1024850416719136E-2</v>
      </c>
    </row>
    <row r="321" spans="1:65" ht="15.75" customHeight="1" x14ac:dyDescent="0.35">
      <c r="A321" s="675"/>
      <c r="B321" s="13">
        <v>45785</v>
      </c>
      <c r="C321" s="2">
        <v>10.5</v>
      </c>
      <c r="D321" s="2"/>
      <c r="E321" s="2"/>
      <c r="F321" s="2"/>
      <c r="G321" s="11">
        <f t="shared" si="30"/>
        <v>10.5</v>
      </c>
      <c r="H321" s="2"/>
      <c r="I321" s="5">
        <f t="shared" si="38"/>
        <v>1.9231361927887592E-2</v>
      </c>
      <c r="J321" s="13">
        <v>45785</v>
      </c>
      <c r="K321" s="2">
        <v>30.4</v>
      </c>
      <c r="L321" s="2"/>
      <c r="M321" s="2"/>
      <c r="N321" s="2"/>
      <c r="O321" s="11">
        <f t="shared" si="23"/>
        <v>30.4</v>
      </c>
      <c r="P321" s="2"/>
      <c r="Q321" s="5">
        <f t="shared" si="31"/>
        <v>2.3295562603522082E-2</v>
      </c>
      <c r="R321" s="13">
        <v>45785</v>
      </c>
      <c r="S321" s="2">
        <v>298</v>
      </c>
      <c r="T321" s="2"/>
      <c r="U321" s="2"/>
      <c r="V321" s="2"/>
      <c r="W321" s="11">
        <f t="shared" si="24"/>
        <v>298</v>
      </c>
      <c r="X321" s="2"/>
      <c r="Y321" s="5">
        <f t="shared" si="32"/>
        <v>2.3517565013524023E-3</v>
      </c>
      <c r="Z321" s="13">
        <v>45785</v>
      </c>
      <c r="AA321" s="2">
        <v>750</v>
      </c>
      <c r="AB321" s="2"/>
      <c r="AC321" s="2"/>
      <c r="AD321" s="2"/>
      <c r="AE321" s="2">
        <f t="shared" si="25"/>
        <v>750</v>
      </c>
      <c r="AF321" s="2"/>
      <c r="AG321" s="5">
        <f t="shared" si="33"/>
        <v>5.7498319806070326E-3</v>
      </c>
      <c r="AH321" s="13">
        <v>45785</v>
      </c>
      <c r="AI321" s="2">
        <v>483.5</v>
      </c>
      <c r="AJ321" s="2"/>
      <c r="AK321" s="2"/>
      <c r="AL321" s="2"/>
      <c r="AM321" s="2">
        <f t="shared" si="26"/>
        <v>483.5</v>
      </c>
      <c r="AN321" s="2"/>
      <c r="AO321" s="5">
        <f t="shared" si="34"/>
        <v>9.5595075447853194E-3</v>
      </c>
      <c r="AP321" s="13">
        <v>45785</v>
      </c>
      <c r="AQ321" s="11">
        <v>415.1</v>
      </c>
      <c r="AR321" s="2"/>
      <c r="AS321" s="2"/>
      <c r="AT321" s="2"/>
      <c r="AU321" s="11">
        <f t="shared" si="27"/>
        <v>415.1</v>
      </c>
      <c r="AV321" s="2"/>
      <c r="AW321" s="5">
        <f t="shared" si="35"/>
        <v>2.8838753179670721E-2</v>
      </c>
      <c r="AX321" s="13">
        <v>45785</v>
      </c>
      <c r="AY321" s="2">
        <v>20.6</v>
      </c>
      <c r="AZ321" s="2"/>
      <c r="BA321" s="2"/>
      <c r="BB321" s="2"/>
      <c r="BC321" s="2">
        <f t="shared" si="28"/>
        <v>20.6</v>
      </c>
      <c r="BD321" s="2"/>
      <c r="BE321" s="5">
        <f t="shared" si="36"/>
        <v>2.9558802241544429E-2</v>
      </c>
      <c r="BF321" s="13">
        <v>45785</v>
      </c>
      <c r="BG321" s="2">
        <v>148.1</v>
      </c>
      <c r="BH321" s="2"/>
      <c r="BI321" s="2"/>
      <c r="BJ321" s="2"/>
      <c r="BK321" s="2">
        <f t="shared" si="29"/>
        <v>148.1</v>
      </c>
      <c r="BL321" s="2"/>
      <c r="BM321" s="5">
        <f t="shared" si="37"/>
        <v>1.4966265745013E-2</v>
      </c>
    </row>
    <row r="322" spans="1:65" ht="15.75" customHeight="1" x14ac:dyDescent="0.35">
      <c r="A322" s="675"/>
      <c r="B322" s="13">
        <v>45789</v>
      </c>
      <c r="C322" s="2">
        <v>11.5</v>
      </c>
      <c r="D322" s="2"/>
      <c r="E322" s="2"/>
      <c r="F322" s="2"/>
      <c r="G322" s="11">
        <f t="shared" si="30"/>
        <v>11.5</v>
      </c>
      <c r="H322" s="2"/>
      <c r="I322" s="5">
        <f t="shared" si="38"/>
        <v>9.0971778205726786E-2</v>
      </c>
      <c r="J322" s="13">
        <v>45789</v>
      </c>
      <c r="K322" s="2">
        <v>30.4</v>
      </c>
      <c r="L322" s="6"/>
      <c r="M322" s="2"/>
      <c r="N322" s="2"/>
      <c r="O322" s="11">
        <f t="shared" si="23"/>
        <v>30.4</v>
      </c>
      <c r="P322" s="2"/>
      <c r="Q322" s="5">
        <f t="shared" si="31"/>
        <v>0</v>
      </c>
      <c r="R322" s="13">
        <v>45789</v>
      </c>
      <c r="S322" s="2">
        <v>298.10000000000002</v>
      </c>
      <c r="T322" s="2"/>
      <c r="U322" s="2"/>
      <c r="V322" s="2"/>
      <c r="W322" s="11">
        <f t="shared" si="24"/>
        <v>298.10000000000002</v>
      </c>
      <c r="X322" s="2"/>
      <c r="Y322" s="5">
        <f t="shared" si="32"/>
        <v>3.3551417862135921E-4</v>
      </c>
      <c r="Z322" s="13">
        <v>45789</v>
      </c>
      <c r="AA322" s="2">
        <v>752.1</v>
      </c>
      <c r="AB322" s="2"/>
      <c r="AC322" s="2"/>
      <c r="AD322" s="2"/>
      <c r="AE322" s="2">
        <f t="shared" si="25"/>
        <v>752.1</v>
      </c>
      <c r="AF322" s="2"/>
      <c r="AG322" s="5">
        <f t="shared" si="33"/>
        <v>2.7960873020014092E-3</v>
      </c>
      <c r="AH322" s="13">
        <v>45789</v>
      </c>
      <c r="AI322" s="2">
        <v>495</v>
      </c>
      <c r="AJ322" s="2"/>
      <c r="AK322" s="2"/>
      <c r="AL322" s="2"/>
      <c r="AM322" s="2">
        <f t="shared" si="26"/>
        <v>495</v>
      </c>
      <c r="AN322" s="2"/>
      <c r="AO322" s="5">
        <f t="shared" si="34"/>
        <v>2.3506447675341317E-2</v>
      </c>
      <c r="AP322" s="13">
        <v>45789</v>
      </c>
      <c r="AQ322" s="11">
        <v>413.5</v>
      </c>
      <c r="AR322" s="2"/>
      <c r="AS322" s="2"/>
      <c r="AT322" s="2"/>
      <c r="AU322" s="11">
        <f t="shared" si="27"/>
        <v>413.5</v>
      </c>
      <c r="AV322" s="2"/>
      <c r="AW322" s="5">
        <f t="shared" si="35"/>
        <v>-3.8619405952471124E-3</v>
      </c>
      <c r="AX322" s="13">
        <v>45789</v>
      </c>
      <c r="AY322" s="2">
        <v>20.6</v>
      </c>
      <c r="AZ322" s="2"/>
      <c r="BA322" s="2"/>
      <c r="BB322" s="2"/>
      <c r="BC322" s="2">
        <f t="shared" si="28"/>
        <v>20.6</v>
      </c>
      <c r="BD322" s="2"/>
      <c r="BE322" s="5">
        <f t="shared" si="36"/>
        <v>0</v>
      </c>
      <c r="BF322" s="13">
        <v>45789</v>
      </c>
      <c r="BG322" s="2">
        <v>148</v>
      </c>
      <c r="BH322" s="2"/>
      <c r="BI322" s="2"/>
      <c r="BJ322" s="2"/>
      <c r="BK322" s="2">
        <f t="shared" si="29"/>
        <v>148</v>
      </c>
      <c r="BL322" s="2"/>
      <c r="BM322" s="5">
        <f t="shared" si="37"/>
        <v>-6.7544750963796684E-4</v>
      </c>
    </row>
    <row r="323" spans="1:65" ht="15.75" customHeight="1" x14ac:dyDescent="0.35">
      <c r="A323" s="675"/>
      <c r="B323" s="13">
        <v>45790</v>
      </c>
      <c r="C323" s="2">
        <v>11.8</v>
      </c>
      <c r="D323" s="2"/>
      <c r="E323" s="2"/>
      <c r="F323" s="2"/>
      <c r="G323" s="11">
        <f t="shared" si="30"/>
        <v>11.8</v>
      </c>
      <c r="H323" s="2"/>
      <c r="I323" s="5">
        <f t="shared" si="38"/>
        <v>2.5752496102414764E-2</v>
      </c>
      <c r="J323" s="13">
        <v>45790</v>
      </c>
      <c r="K323" s="2">
        <v>28.8</v>
      </c>
      <c r="L323" s="6">
        <v>0.05</v>
      </c>
      <c r="M323" s="2"/>
      <c r="N323" s="2"/>
      <c r="O323" s="11">
        <f t="shared" si="23"/>
        <v>30.240000000000002</v>
      </c>
      <c r="P323" s="2">
        <v>1.5</v>
      </c>
      <c r="Q323" s="5">
        <f t="shared" si="31"/>
        <v>4.3135106686087055E-2</v>
      </c>
      <c r="R323" s="13">
        <v>45790</v>
      </c>
      <c r="S323" s="2">
        <v>297</v>
      </c>
      <c r="T323" s="2"/>
      <c r="U323" s="2"/>
      <c r="V323" s="2"/>
      <c r="W323" s="11">
        <f t="shared" si="24"/>
        <v>297</v>
      </c>
      <c r="X323" s="2"/>
      <c r="Y323" s="5">
        <f t="shared" si="32"/>
        <v>-3.6968618813262031E-3</v>
      </c>
      <c r="Z323" s="13">
        <v>45790</v>
      </c>
      <c r="AA323" s="2">
        <v>737.7</v>
      </c>
      <c r="AB323" s="2"/>
      <c r="AC323" s="2"/>
      <c r="AD323" s="2"/>
      <c r="AE323" s="2">
        <f t="shared" si="25"/>
        <v>737.7</v>
      </c>
      <c r="AF323" s="2"/>
      <c r="AG323" s="5">
        <f t="shared" si="33"/>
        <v>-1.9332055942100742E-2</v>
      </c>
      <c r="AH323" s="13">
        <v>45790</v>
      </c>
      <c r="AI323" s="2">
        <v>496.1</v>
      </c>
      <c r="AJ323" s="2"/>
      <c r="AK323" s="2"/>
      <c r="AL323" s="2"/>
      <c r="AM323" s="2">
        <f t="shared" si="26"/>
        <v>496.1</v>
      </c>
      <c r="AN323" s="2"/>
      <c r="AO323" s="5">
        <f t="shared" si="34"/>
        <v>2.2197567383130316E-3</v>
      </c>
      <c r="AP323" s="13">
        <v>45790</v>
      </c>
      <c r="AQ323" s="11">
        <v>412.7</v>
      </c>
      <c r="AR323" s="2"/>
      <c r="AS323" s="2"/>
      <c r="AT323" s="2"/>
      <c r="AU323" s="11">
        <f t="shared" si="27"/>
        <v>412.7</v>
      </c>
      <c r="AV323" s="2"/>
      <c r="AW323" s="5">
        <f t="shared" si="35"/>
        <v>-1.9365777052099463E-3</v>
      </c>
      <c r="AX323" s="13">
        <v>45790</v>
      </c>
      <c r="AY323" s="2">
        <v>20.100000000000001</v>
      </c>
      <c r="AZ323" s="2"/>
      <c r="BA323" s="2"/>
      <c r="BB323" s="2"/>
      <c r="BC323" s="2">
        <f t="shared" si="28"/>
        <v>20.100000000000001</v>
      </c>
      <c r="BD323" s="2"/>
      <c r="BE323" s="5">
        <f t="shared" si="36"/>
        <v>-2.4571260730505317E-2</v>
      </c>
      <c r="BF323" s="13">
        <v>45790</v>
      </c>
      <c r="BG323" s="2">
        <v>145.5</v>
      </c>
      <c r="BH323" s="2"/>
      <c r="BI323" s="2"/>
      <c r="BJ323" s="2"/>
      <c r="BK323" s="2">
        <f t="shared" si="29"/>
        <v>145.5</v>
      </c>
      <c r="BL323" s="2"/>
      <c r="BM323" s="5">
        <f t="shared" si="37"/>
        <v>-1.7036187152567852E-2</v>
      </c>
    </row>
    <row r="324" spans="1:65" ht="15.75" customHeight="1" x14ac:dyDescent="0.35">
      <c r="A324" s="675"/>
      <c r="B324" s="13">
        <v>45791</v>
      </c>
      <c r="C324" s="2">
        <v>11.6</v>
      </c>
      <c r="D324" s="2"/>
      <c r="E324" s="2"/>
      <c r="F324" s="2"/>
      <c r="G324" s="11">
        <f t="shared" si="30"/>
        <v>11.6</v>
      </c>
      <c r="H324" s="2"/>
      <c r="I324" s="5">
        <f t="shared" si="38"/>
        <v>-1.7094433359300183E-2</v>
      </c>
      <c r="J324" s="13">
        <v>45791</v>
      </c>
      <c r="K324" s="2">
        <v>27.9</v>
      </c>
      <c r="L324" s="6"/>
      <c r="M324" s="2"/>
      <c r="N324" s="2"/>
      <c r="O324" s="11">
        <f t="shared" si="23"/>
        <v>27.9</v>
      </c>
      <c r="P324" s="2"/>
      <c r="Q324" s="5">
        <f t="shared" si="31"/>
        <v>-8.0538862484012361E-2</v>
      </c>
      <c r="R324" s="13">
        <v>45791</v>
      </c>
      <c r="S324" s="2">
        <v>296.89999999999998</v>
      </c>
      <c r="T324" s="2"/>
      <c r="U324" s="2"/>
      <c r="V324" s="2"/>
      <c r="W324" s="11">
        <f t="shared" si="24"/>
        <v>296.89999999999998</v>
      </c>
      <c r="X324" s="2"/>
      <c r="Y324" s="5">
        <f t="shared" si="32"/>
        <v>-3.36757032985576E-4</v>
      </c>
      <c r="Z324" s="13">
        <v>45791</v>
      </c>
      <c r="AA324" s="2">
        <v>739.6</v>
      </c>
      <c r="AB324" s="2"/>
      <c r="AC324" s="2"/>
      <c r="AD324" s="2"/>
      <c r="AE324" s="2">
        <f t="shared" si="25"/>
        <v>739.6</v>
      </c>
      <c r="AF324" s="2"/>
      <c r="AG324" s="5">
        <f t="shared" si="33"/>
        <v>2.5722616227131781E-3</v>
      </c>
      <c r="AH324" s="13">
        <v>45791</v>
      </c>
      <c r="AI324" s="2">
        <v>491.5</v>
      </c>
      <c r="AJ324" s="2"/>
      <c r="AK324" s="2"/>
      <c r="AL324" s="2"/>
      <c r="AM324" s="2">
        <f t="shared" si="26"/>
        <v>491.5</v>
      </c>
      <c r="AN324" s="2"/>
      <c r="AO324" s="5">
        <f t="shared" si="34"/>
        <v>-9.315579719782011E-3</v>
      </c>
      <c r="AP324" s="13">
        <v>45791</v>
      </c>
      <c r="AQ324" s="11">
        <v>409.4</v>
      </c>
      <c r="AR324" s="2"/>
      <c r="AS324" s="2"/>
      <c r="AT324" s="2"/>
      <c r="AU324" s="11">
        <f t="shared" si="27"/>
        <v>409.4</v>
      </c>
      <c r="AV324" s="2"/>
      <c r="AW324" s="5">
        <f t="shared" si="35"/>
        <v>-8.0282635313470001E-3</v>
      </c>
      <c r="AX324" s="13">
        <v>45791</v>
      </c>
      <c r="AY324" s="2">
        <v>19.2</v>
      </c>
      <c r="AZ324" s="2"/>
      <c r="BA324" s="2"/>
      <c r="BB324" s="2"/>
      <c r="BC324" s="2">
        <f t="shared" si="28"/>
        <v>19.2</v>
      </c>
      <c r="BD324" s="2"/>
      <c r="BE324" s="5">
        <f t="shared" si="36"/>
        <v>-4.580953603129434E-2</v>
      </c>
      <c r="BF324" s="13">
        <v>45791</v>
      </c>
      <c r="BG324" s="2">
        <v>145.69999999999999</v>
      </c>
      <c r="BH324" s="2"/>
      <c r="BI324" s="2"/>
      <c r="BJ324" s="2"/>
      <c r="BK324" s="2">
        <f t="shared" si="29"/>
        <v>145.69999999999999</v>
      </c>
      <c r="BL324" s="2"/>
      <c r="BM324" s="5">
        <f t="shared" si="37"/>
        <v>1.3736265896119398E-3</v>
      </c>
    </row>
    <row r="325" spans="1:65" ht="15.75" customHeight="1" x14ac:dyDescent="0.35">
      <c r="A325" s="675"/>
      <c r="B325" s="13">
        <v>45792</v>
      </c>
      <c r="C325" s="2">
        <v>11</v>
      </c>
      <c r="D325" s="2"/>
      <c r="E325" s="2"/>
      <c r="F325" s="2"/>
      <c r="G325" s="11">
        <f t="shared" si="30"/>
        <v>11</v>
      </c>
      <c r="H325" s="2"/>
      <c r="I325" s="5">
        <f t="shared" si="38"/>
        <v>-5.3109825313948408E-2</v>
      </c>
      <c r="J325" s="13">
        <v>45792</v>
      </c>
      <c r="K325" s="2">
        <v>27.3</v>
      </c>
      <c r="L325" s="2"/>
      <c r="M325" s="2"/>
      <c r="N325" s="2"/>
      <c r="O325" s="11">
        <f t="shared" si="23"/>
        <v>27.3</v>
      </c>
      <c r="P325" s="2"/>
      <c r="Q325" s="5">
        <f t="shared" si="31"/>
        <v>-2.1739986636405764E-2</v>
      </c>
      <c r="R325" s="13">
        <v>45792</v>
      </c>
      <c r="S325" s="2">
        <v>294.89999999999998</v>
      </c>
      <c r="T325" s="2"/>
      <c r="U325" s="2"/>
      <c r="V325" s="2"/>
      <c r="W325" s="11">
        <f t="shared" si="24"/>
        <v>294.89999999999998</v>
      </c>
      <c r="X325" s="2"/>
      <c r="Y325" s="5">
        <f t="shared" si="32"/>
        <v>-6.7590659484835763E-3</v>
      </c>
      <c r="Z325" s="13">
        <v>45792</v>
      </c>
      <c r="AA325" s="2">
        <v>769.2</v>
      </c>
      <c r="AB325" s="2"/>
      <c r="AC325" s="2"/>
      <c r="AD325" s="2"/>
      <c r="AE325" s="2">
        <f t="shared" si="25"/>
        <v>769.2</v>
      </c>
      <c r="AF325" s="2"/>
      <c r="AG325" s="5">
        <f t="shared" si="33"/>
        <v>3.9241514201654927E-2</v>
      </c>
      <c r="AH325" s="13">
        <v>45792</v>
      </c>
      <c r="AI325" s="2">
        <v>491.2</v>
      </c>
      <c r="AJ325" s="2"/>
      <c r="AK325" s="2"/>
      <c r="AL325" s="2"/>
      <c r="AM325" s="2">
        <f t="shared" si="26"/>
        <v>491.2</v>
      </c>
      <c r="AN325" s="2"/>
      <c r="AO325" s="5">
        <f t="shared" si="34"/>
        <v>-6.1056275428854367E-4</v>
      </c>
      <c r="AP325" s="13">
        <v>45792</v>
      </c>
      <c r="AQ325" s="11">
        <v>404.9</v>
      </c>
      <c r="AR325" s="2"/>
      <c r="AS325" s="2"/>
      <c r="AT325" s="2"/>
      <c r="AU325" s="11">
        <f t="shared" si="27"/>
        <v>404.9</v>
      </c>
      <c r="AV325" s="2"/>
      <c r="AW325" s="5">
        <f t="shared" si="35"/>
        <v>-1.1052550189073758E-2</v>
      </c>
      <c r="AX325" s="13">
        <v>45792</v>
      </c>
      <c r="AY325" s="2">
        <v>19.100000000000001</v>
      </c>
      <c r="AZ325" s="2"/>
      <c r="BA325" s="2"/>
      <c r="BB325" s="2"/>
      <c r="BC325" s="2">
        <f t="shared" si="28"/>
        <v>19.100000000000001</v>
      </c>
      <c r="BD325" s="2"/>
      <c r="BE325" s="5">
        <f t="shared" si="36"/>
        <v>-5.2219439811516007E-3</v>
      </c>
      <c r="BF325" s="13">
        <v>45792</v>
      </c>
      <c r="BG325" s="2">
        <v>143.5</v>
      </c>
      <c r="BH325" s="2"/>
      <c r="BI325" s="2"/>
      <c r="BJ325" s="2"/>
      <c r="BK325" s="2">
        <f t="shared" si="29"/>
        <v>143.5</v>
      </c>
      <c r="BL325" s="2"/>
      <c r="BM325" s="5">
        <f t="shared" si="37"/>
        <v>-1.5214678001483281E-2</v>
      </c>
    </row>
    <row r="326" spans="1:65" ht="15.75" customHeight="1" x14ac:dyDescent="0.35">
      <c r="A326" s="675"/>
      <c r="B326" s="13">
        <v>45794</v>
      </c>
      <c r="C326" s="2">
        <v>11.1</v>
      </c>
      <c r="D326" s="2"/>
      <c r="E326" s="2"/>
      <c r="F326" s="2"/>
      <c r="G326" s="11">
        <f t="shared" si="30"/>
        <v>11.1</v>
      </c>
      <c r="H326" s="2"/>
      <c r="I326" s="5">
        <f t="shared" si="38"/>
        <v>9.0498355199178562E-3</v>
      </c>
      <c r="J326" s="13">
        <v>45794</v>
      </c>
      <c r="K326" s="2">
        <v>27.8</v>
      </c>
      <c r="L326" s="2"/>
      <c r="M326" s="2"/>
      <c r="N326" s="2"/>
      <c r="O326" s="11">
        <f t="shared" si="23"/>
        <v>27.8</v>
      </c>
      <c r="P326" s="2"/>
      <c r="Q326" s="5">
        <f t="shared" si="31"/>
        <v>1.8149318505677269E-2</v>
      </c>
      <c r="R326" s="13">
        <v>45794</v>
      </c>
      <c r="S326" s="2">
        <v>294.7</v>
      </c>
      <c r="T326" s="2"/>
      <c r="U326" s="2"/>
      <c r="V326" s="2"/>
      <c r="W326" s="11">
        <f t="shared" si="24"/>
        <v>294.7</v>
      </c>
      <c r="X326" s="2"/>
      <c r="Y326" s="5">
        <f t="shared" si="32"/>
        <v>-6.7842607758151758E-4</v>
      </c>
      <c r="Z326" s="13">
        <v>45794</v>
      </c>
      <c r="AA326" s="2">
        <v>825.4</v>
      </c>
      <c r="AB326" s="2"/>
      <c r="AC326" s="2"/>
      <c r="AD326" s="2"/>
      <c r="AE326" s="2">
        <f t="shared" si="25"/>
        <v>825.4</v>
      </c>
      <c r="AF326" s="2"/>
      <c r="AG326" s="5">
        <f t="shared" si="33"/>
        <v>7.0517103603856712E-2</v>
      </c>
      <c r="AH326" s="13">
        <v>45794</v>
      </c>
      <c r="AI326" s="2">
        <v>490.1</v>
      </c>
      <c r="AJ326" s="2"/>
      <c r="AK326" s="2"/>
      <c r="AL326" s="2"/>
      <c r="AM326" s="2">
        <f t="shared" si="26"/>
        <v>490.1</v>
      </c>
      <c r="AN326" s="2"/>
      <c r="AO326" s="5">
        <f t="shared" si="34"/>
        <v>-2.241924917430865E-3</v>
      </c>
      <c r="AP326" s="13">
        <v>45794</v>
      </c>
      <c r="AQ326" s="11">
        <v>407.9</v>
      </c>
      <c r="AR326" s="2"/>
      <c r="AS326" s="2"/>
      <c r="AT326" s="2"/>
      <c r="AU326" s="11">
        <f t="shared" si="27"/>
        <v>407.9</v>
      </c>
      <c r="AV326" s="2"/>
      <c r="AW326" s="5">
        <f t="shared" si="35"/>
        <v>7.3819232853972435E-3</v>
      </c>
      <c r="AX326" s="13">
        <v>45794</v>
      </c>
      <c r="AY326" s="2">
        <v>18.600000000000001</v>
      </c>
      <c r="AZ326" s="2"/>
      <c r="BA326" s="2"/>
      <c r="BB326" s="2"/>
      <c r="BC326" s="2">
        <f t="shared" si="28"/>
        <v>18.600000000000001</v>
      </c>
      <c r="BD326" s="2"/>
      <c r="BE326" s="5">
        <f t="shared" si="36"/>
        <v>-2.6526754333428597E-2</v>
      </c>
      <c r="BF326" s="13">
        <v>45794</v>
      </c>
      <c r="BG326" s="2">
        <v>143.80000000000001</v>
      </c>
      <c r="BH326" s="2"/>
      <c r="BI326" s="2"/>
      <c r="BJ326" s="2"/>
      <c r="BK326" s="2">
        <f t="shared" si="29"/>
        <v>143.80000000000001</v>
      </c>
      <c r="BL326" s="2"/>
      <c r="BM326" s="5">
        <f t="shared" si="37"/>
        <v>2.0884100872706744E-3</v>
      </c>
    </row>
    <row r="327" spans="1:65" ht="15.75" customHeight="1" x14ac:dyDescent="0.35">
      <c r="A327" s="675"/>
      <c r="B327" s="13">
        <v>45795</v>
      </c>
      <c r="C327" s="2">
        <v>10.7</v>
      </c>
      <c r="D327" s="2"/>
      <c r="E327" s="2"/>
      <c r="F327" s="2"/>
      <c r="G327" s="11">
        <f t="shared" si="30"/>
        <v>10.7</v>
      </c>
      <c r="H327" s="2"/>
      <c r="I327" s="5">
        <f t="shared" si="38"/>
        <v>-3.670136685042804E-2</v>
      </c>
      <c r="J327" s="13">
        <v>45795</v>
      </c>
      <c r="K327" s="2">
        <v>27.3</v>
      </c>
      <c r="L327" s="2"/>
      <c r="M327" s="2"/>
      <c r="N327" s="2"/>
      <c r="O327" s="11">
        <f t="shared" si="23"/>
        <v>27.3</v>
      </c>
      <c r="P327" s="2"/>
      <c r="Q327" s="5">
        <f t="shared" si="31"/>
        <v>-1.8149318505677334E-2</v>
      </c>
      <c r="R327" s="13">
        <v>45795</v>
      </c>
      <c r="S327" s="2">
        <v>296.2</v>
      </c>
      <c r="T327" s="2"/>
      <c r="U327" s="2"/>
      <c r="V327" s="2"/>
      <c r="W327" s="11">
        <f t="shared" si="24"/>
        <v>296.2</v>
      </c>
      <c r="X327" s="2"/>
      <c r="Y327" s="5">
        <f t="shared" si="32"/>
        <v>5.0770120900492915E-3</v>
      </c>
      <c r="Z327" s="13">
        <v>45795</v>
      </c>
      <c r="AA327" s="2">
        <v>887.3</v>
      </c>
      <c r="AB327" s="2"/>
      <c r="AC327" s="2"/>
      <c r="AD327" s="2"/>
      <c r="AE327" s="2">
        <f t="shared" si="25"/>
        <v>887.3</v>
      </c>
      <c r="AF327" s="2"/>
      <c r="AG327" s="5">
        <f t="shared" si="33"/>
        <v>7.2315026522810716E-2</v>
      </c>
      <c r="AH327" s="13">
        <v>45795</v>
      </c>
      <c r="AI327" s="2">
        <v>483.5</v>
      </c>
      <c r="AJ327" s="2"/>
      <c r="AK327" s="2"/>
      <c r="AL327" s="2"/>
      <c r="AM327" s="2">
        <f t="shared" si="26"/>
        <v>483.5</v>
      </c>
      <c r="AN327" s="2"/>
      <c r="AO327" s="5">
        <f t="shared" si="34"/>
        <v>-1.3558137022152795E-2</v>
      </c>
      <c r="AP327" s="13">
        <v>45795</v>
      </c>
      <c r="AQ327" s="11">
        <v>407.8</v>
      </c>
      <c r="AR327" s="2"/>
      <c r="AS327" s="2"/>
      <c r="AT327" s="2"/>
      <c r="AU327" s="11">
        <f t="shared" si="27"/>
        <v>407.8</v>
      </c>
      <c r="AV327" s="2"/>
      <c r="AW327" s="5">
        <f t="shared" si="35"/>
        <v>-2.4518818315783121E-4</v>
      </c>
      <c r="AX327" s="13">
        <v>45795</v>
      </c>
      <c r="AY327" s="2">
        <v>18.600000000000001</v>
      </c>
      <c r="AZ327" s="2"/>
      <c r="BA327" s="2"/>
      <c r="BB327" s="2"/>
      <c r="BC327" s="2">
        <f t="shared" si="28"/>
        <v>18.600000000000001</v>
      </c>
      <c r="BD327" s="2"/>
      <c r="BE327" s="5">
        <f t="shared" si="36"/>
        <v>0</v>
      </c>
      <c r="BF327" s="13">
        <v>45795</v>
      </c>
      <c r="BG327" s="2">
        <v>142.1</v>
      </c>
      <c r="BH327" s="2"/>
      <c r="BI327" s="2"/>
      <c r="BJ327" s="2"/>
      <c r="BK327" s="2">
        <f t="shared" si="29"/>
        <v>142.1</v>
      </c>
      <c r="BL327" s="2"/>
      <c r="BM327" s="5">
        <f t="shared" si="37"/>
        <v>-1.1892410183891509E-2</v>
      </c>
    </row>
    <row r="328" spans="1:65" ht="15.75" customHeight="1" x14ac:dyDescent="0.35">
      <c r="A328" s="675"/>
      <c r="B328" s="13">
        <v>45796</v>
      </c>
      <c r="C328" s="2">
        <v>11.3</v>
      </c>
      <c r="D328" s="2"/>
      <c r="E328" s="2"/>
      <c r="F328" s="2"/>
      <c r="G328" s="11">
        <f t="shared" si="30"/>
        <v>11.3</v>
      </c>
      <c r="H328" s="2"/>
      <c r="I328" s="5">
        <f t="shared" si="38"/>
        <v>5.4558984250434608E-2</v>
      </c>
      <c r="J328" s="13">
        <v>45796</v>
      </c>
      <c r="K328" s="2">
        <v>27.4</v>
      </c>
      <c r="L328" s="2"/>
      <c r="M328" s="2"/>
      <c r="N328" s="2"/>
      <c r="O328" s="11">
        <f t="shared" si="23"/>
        <v>27.4</v>
      </c>
      <c r="P328" s="2"/>
      <c r="Q328" s="5">
        <f t="shared" si="31"/>
        <v>3.6563112031104792E-3</v>
      </c>
      <c r="R328" s="13">
        <v>45796</v>
      </c>
      <c r="S328" s="2">
        <v>294.10000000000002</v>
      </c>
      <c r="T328" s="2"/>
      <c r="U328" s="2"/>
      <c r="V328" s="2"/>
      <c r="W328" s="11">
        <f t="shared" si="24"/>
        <v>294.10000000000002</v>
      </c>
      <c r="X328" s="2"/>
      <c r="Y328" s="5">
        <f t="shared" si="32"/>
        <v>-7.115056273748901E-3</v>
      </c>
      <c r="Z328" s="13">
        <v>45796</v>
      </c>
      <c r="AA328" s="2">
        <v>869.9</v>
      </c>
      <c r="AB328" s="2"/>
      <c r="AC328" s="2"/>
      <c r="AD328" s="2"/>
      <c r="AE328" s="2">
        <f t="shared" si="25"/>
        <v>869.9</v>
      </c>
      <c r="AF328" s="2"/>
      <c r="AG328" s="5">
        <f t="shared" si="33"/>
        <v>-1.9804881327797029E-2</v>
      </c>
      <c r="AH328" s="13">
        <v>45796</v>
      </c>
      <c r="AI328" s="2">
        <v>485.9</v>
      </c>
      <c r="AJ328" s="2"/>
      <c r="AK328" s="2"/>
      <c r="AL328" s="2"/>
      <c r="AM328" s="2">
        <f t="shared" si="26"/>
        <v>485.9</v>
      </c>
      <c r="AN328" s="2"/>
      <c r="AO328" s="5">
        <f t="shared" si="34"/>
        <v>4.9515265185083425E-3</v>
      </c>
      <c r="AP328" s="13">
        <v>45796</v>
      </c>
      <c r="AQ328" s="11">
        <v>405.1</v>
      </c>
      <c r="AR328" s="2"/>
      <c r="AS328" s="2"/>
      <c r="AT328" s="2"/>
      <c r="AU328" s="11">
        <f t="shared" si="27"/>
        <v>405.1</v>
      </c>
      <c r="AV328" s="2"/>
      <c r="AW328" s="5">
        <f t="shared" si="35"/>
        <v>-6.6429079317099149E-3</v>
      </c>
      <c r="AX328" s="13">
        <v>45796</v>
      </c>
      <c r="AY328" s="2">
        <v>18.8</v>
      </c>
      <c r="AZ328" s="2"/>
      <c r="BA328" s="2"/>
      <c r="BB328" s="2"/>
      <c r="BC328" s="2">
        <f t="shared" si="28"/>
        <v>18.8</v>
      </c>
      <c r="BD328" s="2"/>
      <c r="BE328" s="5">
        <f t="shared" si="36"/>
        <v>1.069528911674795E-2</v>
      </c>
      <c r="BF328" s="13">
        <v>45796</v>
      </c>
      <c r="BG328" s="2">
        <v>143.30000000000001</v>
      </c>
      <c r="BH328" s="2"/>
      <c r="BI328" s="2"/>
      <c r="BJ328" s="2"/>
      <c r="BK328" s="2">
        <f t="shared" si="29"/>
        <v>143.30000000000001</v>
      </c>
      <c r="BL328" s="2"/>
      <c r="BM328" s="5">
        <f t="shared" si="37"/>
        <v>8.4092997310713288E-3</v>
      </c>
    </row>
    <row r="329" spans="1:65" ht="15.75" customHeight="1" x14ac:dyDescent="0.35">
      <c r="A329" s="675"/>
      <c r="B329" s="13">
        <v>45797</v>
      </c>
      <c r="C329" s="2">
        <v>10.6</v>
      </c>
      <c r="D329" s="2"/>
      <c r="E329" s="2"/>
      <c r="F329" s="2"/>
      <c r="G329" s="11">
        <f t="shared" si="30"/>
        <v>10.6</v>
      </c>
      <c r="H329" s="2"/>
      <c r="I329" s="5">
        <f t="shared" si="38"/>
        <v>-6.3948724600273524E-2</v>
      </c>
      <c r="J329" s="13">
        <v>45797</v>
      </c>
      <c r="K329" s="2">
        <v>27.5</v>
      </c>
      <c r="L329" s="2"/>
      <c r="M329" s="2"/>
      <c r="N329" s="2"/>
      <c r="O329" s="11">
        <f t="shared" si="23"/>
        <v>27.5</v>
      </c>
      <c r="P329" s="2"/>
      <c r="Q329" s="5">
        <f t="shared" si="31"/>
        <v>3.6429912785012298E-3</v>
      </c>
      <c r="R329" s="13">
        <v>45797</v>
      </c>
      <c r="S329" s="2">
        <v>294.5</v>
      </c>
      <c r="T329" s="2"/>
      <c r="U329" s="2"/>
      <c r="V329" s="2"/>
      <c r="W329" s="11">
        <f t="shared" si="24"/>
        <v>294.5</v>
      </c>
      <c r="X329" s="2"/>
      <c r="Y329" s="5">
        <f t="shared" si="32"/>
        <v>1.3591575316919615E-3</v>
      </c>
      <c r="Z329" s="13">
        <v>45797</v>
      </c>
      <c r="AA329" s="2">
        <v>857.2</v>
      </c>
      <c r="AB329" s="2"/>
      <c r="AC329" s="2"/>
      <c r="AD329" s="2"/>
      <c r="AE329" s="2">
        <f t="shared" si="25"/>
        <v>857.2</v>
      </c>
      <c r="AF329" s="2"/>
      <c r="AG329" s="5">
        <f t="shared" si="33"/>
        <v>-1.4706998914073035E-2</v>
      </c>
      <c r="AH329" s="13">
        <v>45797</v>
      </c>
      <c r="AI329" s="2">
        <v>483.4</v>
      </c>
      <c r="AJ329" s="2"/>
      <c r="AK329" s="2"/>
      <c r="AL329" s="2"/>
      <c r="AM329" s="2">
        <f t="shared" si="26"/>
        <v>483.4</v>
      </c>
      <c r="AN329" s="2"/>
      <c r="AO329" s="5">
        <f t="shared" si="34"/>
        <v>-5.1583731424747125E-3</v>
      </c>
      <c r="AP329" s="13">
        <v>45797</v>
      </c>
      <c r="AQ329" s="11">
        <v>404.3</v>
      </c>
      <c r="AR329" s="2"/>
      <c r="AS329" s="2"/>
      <c r="AT329" s="2"/>
      <c r="AU329" s="11">
        <f t="shared" si="27"/>
        <v>404.3</v>
      </c>
      <c r="AV329" s="2"/>
      <c r="AW329" s="5">
        <f t="shared" si="35"/>
        <v>-1.9767735619196855E-3</v>
      </c>
      <c r="AX329" s="13">
        <v>45797</v>
      </c>
      <c r="AY329" s="2">
        <v>18.600000000000001</v>
      </c>
      <c r="AZ329" s="2"/>
      <c r="BA329" s="2"/>
      <c r="BB329" s="2"/>
      <c r="BC329" s="2">
        <f t="shared" si="28"/>
        <v>18.600000000000001</v>
      </c>
      <c r="BD329" s="2"/>
      <c r="BE329" s="5">
        <f t="shared" si="36"/>
        <v>-1.0695289116747919E-2</v>
      </c>
      <c r="BF329" s="13">
        <v>45797</v>
      </c>
      <c r="BG329" s="2">
        <v>143.1</v>
      </c>
      <c r="BH329" s="2"/>
      <c r="BI329" s="2"/>
      <c r="BJ329" s="2"/>
      <c r="BK329" s="2">
        <f t="shared" si="29"/>
        <v>143.1</v>
      </c>
      <c r="BL329" s="2"/>
      <c r="BM329" s="5">
        <f t="shared" si="37"/>
        <v>-1.3966482717210872E-3</v>
      </c>
    </row>
    <row r="330" spans="1:65" ht="15.75" customHeight="1" x14ac:dyDescent="0.35">
      <c r="A330" s="675"/>
      <c r="B330" s="13">
        <v>45798</v>
      </c>
      <c r="C330" s="2">
        <v>10.1</v>
      </c>
      <c r="D330" s="2"/>
      <c r="E330" s="2"/>
      <c r="F330" s="2"/>
      <c r="G330" s="11">
        <f t="shared" si="30"/>
        <v>10.1</v>
      </c>
      <c r="H330" s="2"/>
      <c r="I330" s="5">
        <f t="shared" si="38"/>
        <v>-4.8318577270807683E-2</v>
      </c>
      <c r="J330" s="13">
        <v>45798</v>
      </c>
      <c r="K330" s="2">
        <v>27.4</v>
      </c>
      <c r="L330" s="2"/>
      <c r="M330" s="2"/>
      <c r="N330" s="2"/>
      <c r="O330" s="11">
        <f t="shared" si="23"/>
        <v>27.4</v>
      </c>
      <c r="P330" s="2"/>
      <c r="Q330" s="5">
        <f t="shared" si="31"/>
        <v>-3.6429912785010919E-3</v>
      </c>
      <c r="R330" s="13">
        <v>45798</v>
      </c>
      <c r="S330" s="2">
        <v>288.39999999999998</v>
      </c>
      <c r="T330" s="2"/>
      <c r="U330" s="2"/>
      <c r="V330" s="2"/>
      <c r="W330" s="11">
        <f t="shared" si="24"/>
        <v>288.39999999999998</v>
      </c>
      <c r="X330" s="2"/>
      <c r="Y330" s="5">
        <f t="shared" si="32"/>
        <v>-2.0930597680847516E-2</v>
      </c>
      <c r="Z330" s="13">
        <v>45798</v>
      </c>
      <c r="AA330" s="2">
        <v>846</v>
      </c>
      <c r="AB330" s="2"/>
      <c r="AC330" s="2"/>
      <c r="AD330" s="2"/>
      <c r="AE330" s="2">
        <f t="shared" si="25"/>
        <v>846</v>
      </c>
      <c r="AF330" s="2"/>
      <c r="AG330" s="5">
        <f t="shared" si="33"/>
        <v>-1.315190399319878E-2</v>
      </c>
      <c r="AH330" s="13">
        <v>45798</v>
      </c>
      <c r="AI330" s="2">
        <v>485</v>
      </c>
      <c r="AJ330" s="2"/>
      <c r="AK330" s="2"/>
      <c r="AL330" s="2"/>
      <c r="AM330" s="2">
        <f t="shared" si="26"/>
        <v>485</v>
      </c>
      <c r="AN330" s="2"/>
      <c r="AO330" s="5">
        <f t="shared" si="34"/>
        <v>3.3044226681007136E-3</v>
      </c>
      <c r="AP330" s="13">
        <v>45798</v>
      </c>
      <c r="AQ330" s="11">
        <v>405.4</v>
      </c>
      <c r="AR330" s="2"/>
      <c r="AS330" s="2"/>
      <c r="AT330" s="2"/>
      <c r="AU330" s="11">
        <f t="shared" si="27"/>
        <v>405.4</v>
      </c>
      <c r="AV330" s="2"/>
      <c r="AW330" s="5">
        <f t="shared" si="35"/>
        <v>2.7170573711743288E-3</v>
      </c>
      <c r="AX330" s="13">
        <v>45798</v>
      </c>
      <c r="AY330" s="2">
        <v>18.399999999999999</v>
      </c>
      <c r="AZ330" s="2"/>
      <c r="BA330" s="2"/>
      <c r="BB330" s="2"/>
      <c r="BC330" s="2">
        <f t="shared" si="28"/>
        <v>18.399999999999999</v>
      </c>
      <c r="BD330" s="2"/>
      <c r="BE330" s="5">
        <f t="shared" si="36"/>
        <v>-1.081091610421573E-2</v>
      </c>
      <c r="BF330" s="13">
        <v>45798</v>
      </c>
      <c r="BG330" s="2">
        <v>142.30000000000001</v>
      </c>
      <c r="BH330" s="2"/>
      <c r="BI330" s="2"/>
      <c r="BJ330" s="2"/>
      <c r="BK330" s="2">
        <f t="shared" si="29"/>
        <v>142.30000000000001</v>
      </c>
      <c r="BL330" s="2"/>
      <c r="BM330" s="5">
        <f t="shared" si="37"/>
        <v>-5.6061814665983763E-3</v>
      </c>
    </row>
    <row r="331" spans="1:65" ht="15.75" customHeight="1" x14ac:dyDescent="0.35">
      <c r="A331" s="675"/>
      <c r="B331" s="13">
        <v>45799</v>
      </c>
      <c r="C331" s="2">
        <v>10.1</v>
      </c>
      <c r="D331" s="2"/>
      <c r="E331" s="2"/>
      <c r="F331" s="2"/>
      <c r="G331" s="11">
        <f t="shared" si="30"/>
        <v>10.1</v>
      </c>
      <c r="H331" s="2"/>
      <c r="I331" s="5">
        <f t="shared" si="38"/>
        <v>0</v>
      </c>
      <c r="J331" s="13">
        <v>45799</v>
      </c>
      <c r="K331" s="2">
        <v>27.3</v>
      </c>
      <c r="L331" s="2"/>
      <c r="M331" s="2"/>
      <c r="N331" s="2"/>
      <c r="O331" s="11">
        <f t="shared" si="23"/>
        <v>27.3</v>
      </c>
      <c r="P331" s="2"/>
      <c r="Q331" s="5">
        <f t="shared" si="31"/>
        <v>-3.6563112031104319E-3</v>
      </c>
      <c r="R331" s="13">
        <v>45799</v>
      </c>
      <c r="S331" s="2">
        <v>281.89999999999998</v>
      </c>
      <c r="T331" s="2"/>
      <c r="U331" s="2"/>
      <c r="V331" s="2"/>
      <c r="W331" s="11">
        <f t="shared" si="24"/>
        <v>281.89999999999998</v>
      </c>
      <c r="X331" s="2"/>
      <c r="Y331" s="5">
        <f t="shared" si="32"/>
        <v>-2.2796007290727137E-2</v>
      </c>
      <c r="Z331" s="13">
        <v>45799</v>
      </c>
      <c r="AA331" s="2">
        <v>826.6</v>
      </c>
      <c r="AB331" s="2"/>
      <c r="AC331" s="2"/>
      <c r="AD331" s="2"/>
      <c r="AE331" s="2">
        <f t="shared" si="25"/>
        <v>826.6</v>
      </c>
      <c r="AF331" s="2"/>
      <c r="AG331" s="5">
        <f t="shared" si="33"/>
        <v>-2.319845752859127E-2</v>
      </c>
      <c r="AH331" s="13">
        <v>45799</v>
      </c>
      <c r="AI331" s="2">
        <v>484.9</v>
      </c>
      <c r="AJ331" s="2"/>
      <c r="AK331" s="2"/>
      <c r="AL331" s="2"/>
      <c r="AM331" s="2">
        <f t="shared" si="26"/>
        <v>484.9</v>
      </c>
      <c r="AN331" s="2"/>
      <c r="AO331" s="5">
        <f t="shared" si="34"/>
        <v>-2.0620682617664704E-4</v>
      </c>
      <c r="AP331" s="13">
        <v>45799</v>
      </c>
      <c r="AQ331" s="11">
        <v>404.4</v>
      </c>
      <c r="AR331" s="2"/>
      <c r="AS331" s="2"/>
      <c r="AT331" s="2"/>
      <c r="AU331" s="11">
        <f t="shared" si="27"/>
        <v>404.4</v>
      </c>
      <c r="AV331" s="2"/>
      <c r="AW331" s="5">
        <f t="shared" si="35"/>
        <v>-2.4697468715833316E-3</v>
      </c>
      <c r="AX331" s="13">
        <v>45799</v>
      </c>
      <c r="AY331" s="2">
        <v>18.5</v>
      </c>
      <c r="AZ331" s="2"/>
      <c r="BA331" s="2"/>
      <c r="BB331" s="2"/>
      <c r="BC331" s="2">
        <f t="shared" si="28"/>
        <v>18.5</v>
      </c>
      <c r="BD331" s="2"/>
      <c r="BE331" s="5">
        <f t="shared" si="36"/>
        <v>5.4200674693393345E-3</v>
      </c>
      <c r="BF331" s="13">
        <v>45799</v>
      </c>
      <c r="BG331" s="2">
        <v>144.5</v>
      </c>
      <c r="BH331" s="2"/>
      <c r="BI331" s="2"/>
      <c r="BJ331" s="2"/>
      <c r="BK331" s="2">
        <f t="shared" si="29"/>
        <v>144.5</v>
      </c>
      <c r="BL331" s="2"/>
      <c r="BM331" s="5">
        <f t="shared" si="37"/>
        <v>1.5342002456680073E-2</v>
      </c>
    </row>
    <row r="332" spans="1:65" ht="15.75" customHeight="1" x14ac:dyDescent="0.35">
      <c r="A332" s="675"/>
      <c r="B332" s="13">
        <v>45801</v>
      </c>
      <c r="C332" s="2">
        <v>10.199999999999999</v>
      </c>
      <c r="D332" s="2"/>
      <c r="E332" s="2"/>
      <c r="F332" s="2"/>
      <c r="G332" s="11">
        <f t="shared" si="30"/>
        <v>10.199999999999999</v>
      </c>
      <c r="H332" s="2"/>
      <c r="I332" s="5">
        <f t="shared" si="38"/>
        <v>9.8522964430116395E-3</v>
      </c>
      <c r="J332" s="13">
        <v>45801</v>
      </c>
      <c r="K332" s="2">
        <v>27.1</v>
      </c>
      <c r="L332" s="2"/>
      <c r="M332" s="2"/>
      <c r="N332" s="2"/>
      <c r="O332" s="11">
        <f t="shared" si="23"/>
        <v>27.1</v>
      </c>
      <c r="P332" s="2"/>
      <c r="Q332" s="5">
        <f t="shared" si="31"/>
        <v>-7.352974305258806E-3</v>
      </c>
      <c r="R332" s="13">
        <v>45801</v>
      </c>
      <c r="S332" s="2">
        <v>274.5</v>
      </c>
      <c r="T332" s="2"/>
      <c r="U332" s="2"/>
      <c r="V332" s="2"/>
      <c r="W332" s="11">
        <f t="shared" si="24"/>
        <v>274.5</v>
      </c>
      <c r="X332" s="2"/>
      <c r="Y332" s="5">
        <f t="shared" si="32"/>
        <v>-2.6601137170481508E-2</v>
      </c>
      <c r="Z332" s="13">
        <v>45801</v>
      </c>
      <c r="AA332" s="2">
        <v>859.6</v>
      </c>
      <c r="AB332" s="2"/>
      <c r="AC332" s="2"/>
      <c r="AD332" s="2"/>
      <c r="AE332" s="2">
        <f t="shared" si="25"/>
        <v>859.6</v>
      </c>
      <c r="AF332" s="2"/>
      <c r="AG332" s="5">
        <f t="shared" si="33"/>
        <v>3.9146262690723341E-2</v>
      </c>
      <c r="AH332" s="13">
        <v>45801</v>
      </c>
      <c r="AI332" s="2">
        <v>483.3</v>
      </c>
      <c r="AJ332" s="2"/>
      <c r="AK332" s="2"/>
      <c r="AL332" s="2"/>
      <c r="AM332" s="2">
        <f t="shared" si="26"/>
        <v>483.3</v>
      </c>
      <c r="AN332" s="2"/>
      <c r="AO332" s="5">
        <f t="shared" si="34"/>
        <v>-3.3051052602681751E-3</v>
      </c>
      <c r="AP332" s="13">
        <v>45801</v>
      </c>
      <c r="AQ332" s="11">
        <v>402.4</v>
      </c>
      <c r="AR332" s="2"/>
      <c r="AS332" s="2"/>
      <c r="AT332" s="2"/>
      <c r="AU332" s="11">
        <f t="shared" si="27"/>
        <v>402.4</v>
      </c>
      <c r="AV332" s="2"/>
      <c r="AW332" s="5">
        <f t="shared" si="35"/>
        <v>-4.9578683607868854E-3</v>
      </c>
      <c r="AX332" s="13">
        <v>45801</v>
      </c>
      <c r="AY332" s="2">
        <v>18.5</v>
      </c>
      <c r="AZ332" s="2"/>
      <c r="BA332" s="2"/>
      <c r="BB332" s="2"/>
      <c r="BC332" s="2">
        <f t="shared" si="28"/>
        <v>18.5</v>
      </c>
      <c r="BD332" s="2"/>
      <c r="BE332" s="5">
        <f t="shared" si="36"/>
        <v>0</v>
      </c>
      <c r="BF332" s="13">
        <v>45801</v>
      </c>
      <c r="BG332" s="2">
        <v>143.9</v>
      </c>
      <c r="BH332" s="2"/>
      <c r="BI332" s="2"/>
      <c r="BJ332" s="2"/>
      <c r="BK332" s="2">
        <f t="shared" si="29"/>
        <v>143.9</v>
      </c>
      <c r="BL332" s="2"/>
      <c r="BM332" s="5">
        <f t="shared" si="37"/>
        <v>-4.1608936591646705E-3</v>
      </c>
    </row>
    <row r="333" spans="1:65" ht="15.75" customHeight="1" x14ac:dyDescent="0.35">
      <c r="A333" s="675"/>
      <c r="B333" s="13">
        <v>45802</v>
      </c>
      <c r="C333" s="2">
        <v>10.7</v>
      </c>
      <c r="D333" s="2"/>
      <c r="E333" s="2"/>
      <c r="F333" s="2"/>
      <c r="G333" s="11">
        <f t="shared" si="30"/>
        <v>10.7</v>
      </c>
      <c r="H333" s="2"/>
      <c r="I333" s="5">
        <f t="shared" si="38"/>
        <v>4.7856021177635141E-2</v>
      </c>
      <c r="J333" s="13">
        <v>45802</v>
      </c>
      <c r="K333" s="2">
        <v>27</v>
      </c>
      <c r="L333" s="2"/>
      <c r="M333" s="2"/>
      <c r="N333" s="2"/>
      <c r="O333" s="11">
        <f t="shared" si="23"/>
        <v>27</v>
      </c>
      <c r="P333" s="2"/>
      <c r="Q333" s="5">
        <f t="shared" si="31"/>
        <v>-3.6968618813262031E-3</v>
      </c>
      <c r="R333" s="13">
        <v>45802</v>
      </c>
      <c r="S333" s="2">
        <v>272.3</v>
      </c>
      <c r="T333" s="2"/>
      <c r="U333" s="2"/>
      <c r="V333" s="2"/>
      <c r="W333" s="11">
        <f t="shared" si="24"/>
        <v>272.3</v>
      </c>
      <c r="X333" s="2"/>
      <c r="Y333" s="5">
        <f t="shared" si="32"/>
        <v>-8.0468612698713568E-3</v>
      </c>
      <c r="Z333" s="13">
        <v>45802</v>
      </c>
      <c r="AA333" s="2">
        <v>859.6</v>
      </c>
      <c r="AB333" s="2"/>
      <c r="AC333" s="2"/>
      <c r="AD333" s="2"/>
      <c r="AE333" s="2">
        <f t="shared" si="25"/>
        <v>859.6</v>
      </c>
      <c r="AF333" s="2"/>
      <c r="AG333" s="5">
        <f t="shared" si="33"/>
        <v>0</v>
      </c>
      <c r="AH333" s="13">
        <v>45802</v>
      </c>
      <c r="AI333" s="2">
        <v>484.6</v>
      </c>
      <c r="AJ333" s="2"/>
      <c r="AK333" s="2"/>
      <c r="AL333" s="2"/>
      <c r="AM333" s="2">
        <f t="shared" si="26"/>
        <v>484.6</v>
      </c>
      <c r="AN333" s="2"/>
      <c r="AO333" s="5">
        <f t="shared" si="34"/>
        <v>2.6862295313869865E-3</v>
      </c>
      <c r="AP333" s="13">
        <v>45802</v>
      </c>
      <c r="AQ333" s="11">
        <v>402.4</v>
      </c>
      <c r="AR333" s="2"/>
      <c r="AS333" s="2"/>
      <c r="AT333" s="2"/>
      <c r="AU333" s="11">
        <f t="shared" si="27"/>
        <v>402.4</v>
      </c>
      <c r="AV333" s="2"/>
      <c r="AW333" s="5">
        <f t="shared" si="35"/>
        <v>0</v>
      </c>
      <c r="AX333" s="13">
        <v>45802</v>
      </c>
      <c r="AY333" s="2">
        <v>18.600000000000001</v>
      </c>
      <c r="AZ333" s="2"/>
      <c r="BA333" s="2"/>
      <c r="BB333" s="2"/>
      <c r="BC333" s="2">
        <f t="shared" si="28"/>
        <v>18.600000000000001</v>
      </c>
      <c r="BD333" s="2"/>
      <c r="BE333" s="5">
        <f t="shared" si="36"/>
        <v>5.3908486348765933E-3</v>
      </c>
      <c r="BF333" s="13">
        <v>45802</v>
      </c>
      <c r="BG333" s="2">
        <v>142.69999999999999</v>
      </c>
      <c r="BH333" s="2"/>
      <c r="BI333" s="2"/>
      <c r="BJ333" s="2"/>
      <c r="BK333" s="2">
        <f t="shared" si="29"/>
        <v>142.69999999999999</v>
      </c>
      <c r="BL333" s="2"/>
      <c r="BM333" s="5">
        <f t="shared" si="37"/>
        <v>-8.3740894105315111E-3</v>
      </c>
    </row>
    <row r="334" spans="1:65" ht="15.75" customHeight="1" x14ac:dyDescent="0.35">
      <c r="A334" s="675"/>
      <c r="B334" s="13">
        <v>45803</v>
      </c>
      <c r="C334" s="2">
        <v>10.199999999999999</v>
      </c>
      <c r="D334" s="2"/>
      <c r="E334" s="2"/>
      <c r="F334" s="2"/>
      <c r="G334" s="11">
        <f t="shared" si="30"/>
        <v>10.199999999999999</v>
      </c>
      <c r="H334" s="2"/>
      <c r="I334" s="5">
        <f t="shared" si="38"/>
        <v>-4.78560211776351E-2</v>
      </c>
      <c r="J334" s="13">
        <v>45803</v>
      </c>
      <c r="K334" s="2">
        <v>26.7</v>
      </c>
      <c r="L334" s="2"/>
      <c r="M334" s="2"/>
      <c r="N334" s="2"/>
      <c r="O334" s="11">
        <f t="shared" si="23"/>
        <v>26.7</v>
      </c>
      <c r="P334" s="2"/>
      <c r="Q334" s="5">
        <f t="shared" si="31"/>
        <v>-1.1173300598125302E-2</v>
      </c>
      <c r="R334" s="13">
        <v>45803</v>
      </c>
      <c r="S334" s="2">
        <v>271.2</v>
      </c>
      <c r="T334" s="2"/>
      <c r="U334" s="2"/>
      <c r="V334" s="2"/>
      <c r="W334" s="11">
        <f t="shared" si="24"/>
        <v>271.2</v>
      </c>
      <c r="X334" s="2"/>
      <c r="Y334" s="5">
        <f t="shared" si="32"/>
        <v>-4.0478436134735295E-3</v>
      </c>
      <c r="Z334" s="13">
        <v>45803</v>
      </c>
      <c r="AA334" s="2">
        <v>859.6</v>
      </c>
      <c r="AB334" s="2"/>
      <c r="AC334" s="2"/>
      <c r="AD334" s="2"/>
      <c r="AE334" s="2">
        <f t="shared" si="25"/>
        <v>859.6</v>
      </c>
      <c r="AF334" s="2"/>
      <c r="AG334" s="5">
        <f t="shared" si="33"/>
        <v>0</v>
      </c>
      <c r="AH334" s="13">
        <v>45803</v>
      </c>
      <c r="AI334" s="2">
        <v>482.7</v>
      </c>
      <c r="AJ334" s="2"/>
      <c r="AK334" s="2"/>
      <c r="AL334" s="2"/>
      <c r="AM334" s="2">
        <f t="shared" si="26"/>
        <v>482.7</v>
      </c>
      <c r="AN334" s="2"/>
      <c r="AO334" s="5">
        <f t="shared" si="34"/>
        <v>-3.9284657159781942E-3</v>
      </c>
      <c r="AP334" s="13">
        <v>45803</v>
      </c>
      <c r="AQ334" s="11">
        <v>401.2</v>
      </c>
      <c r="AR334" s="2"/>
      <c r="AS334" s="2"/>
      <c r="AT334" s="2"/>
      <c r="AU334" s="11">
        <f t="shared" si="27"/>
        <v>401.2</v>
      </c>
      <c r="AV334" s="2"/>
      <c r="AW334" s="5">
        <f t="shared" si="35"/>
        <v>-2.9865626977489674E-3</v>
      </c>
      <c r="AX334" s="13">
        <v>45803</v>
      </c>
      <c r="AY334" s="2">
        <v>18.5</v>
      </c>
      <c r="AZ334" s="2"/>
      <c r="BA334" s="2"/>
      <c r="BB334" s="2"/>
      <c r="BC334" s="2">
        <f t="shared" si="28"/>
        <v>18.5</v>
      </c>
      <c r="BD334" s="2"/>
      <c r="BE334" s="5">
        <f t="shared" si="36"/>
        <v>-5.3908486348765343E-3</v>
      </c>
      <c r="BF334" s="13">
        <v>45803</v>
      </c>
      <c r="BG334" s="2">
        <v>143.80000000000001</v>
      </c>
      <c r="BH334" s="2"/>
      <c r="BI334" s="2"/>
      <c r="BJ334" s="2"/>
      <c r="BK334" s="2">
        <f t="shared" si="29"/>
        <v>143.80000000000001</v>
      </c>
      <c r="BL334" s="2"/>
      <c r="BM334" s="5">
        <f t="shared" si="37"/>
        <v>7.6789208041557477E-3</v>
      </c>
    </row>
    <row r="335" spans="1:65" ht="15.75" customHeight="1" x14ac:dyDescent="0.35">
      <c r="A335" s="675"/>
      <c r="B335" s="13">
        <v>45804</v>
      </c>
      <c r="C335" s="2">
        <v>10</v>
      </c>
      <c r="D335" s="2"/>
      <c r="E335" s="2"/>
      <c r="F335" s="2"/>
      <c r="G335" s="11">
        <f t="shared" si="30"/>
        <v>10</v>
      </c>
      <c r="H335" s="2"/>
      <c r="I335" s="5">
        <f t="shared" si="38"/>
        <v>-1.9802627296179643E-2</v>
      </c>
      <c r="J335" s="13">
        <v>45804</v>
      </c>
      <c r="K335" s="2">
        <v>26.4</v>
      </c>
      <c r="L335" s="2"/>
      <c r="M335" s="2"/>
      <c r="N335" s="2"/>
      <c r="O335" s="11">
        <f t="shared" si="23"/>
        <v>26.4</v>
      </c>
      <c r="P335" s="2"/>
      <c r="Q335" s="5">
        <f t="shared" si="31"/>
        <v>-1.1299555253933394E-2</v>
      </c>
      <c r="R335" s="13">
        <v>45804</v>
      </c>
      <c r="S335" s="2">
        <v>273.60000000000002</v>
      </c>
      <c r="T335" s="2"/>
      <c r="U335" s="2"/>
      <c r="V335" s="2"/>
      <c r="W335" s="11">
        <f t="shared" si="24"/>
        <v>273.60000000000002</v>
      </c>
      <c r="X335" s="2"/>
      <c r="Y335" s="5">
        <f t="shared" si="32"/>
        <v>8.8106296821551262E-3</v>
      </c>
      <c r="Z335" s="13">
        <v>45804</v>
      </c>
      <c r="AA335" s="2">
        <v>827.6</v>
      </c>
      <c r="AB335" s="2"/>
      <c r="AC335" s="2"/>
      <c r="AD335" s="2"/>
      <c r="AE335" s="2">
        <f t="shared" si="25"/>
        <v>827.6</v>
      </c>
      <c r="AF335" s="2">
        <v>10.5</v>
      </c>
      <c r="AG335" s="5">
        <f t="shared" si="33"/>
        <v>-2.5329739663494836E-2</v>
      </c>
      <c r="AH335" s="13">
        <v>45804</v>
      </c>
      <c r="AI335" s="2">
        <v>479.3</v>
      </c>
      <c r="AJ335" s="2"/>
      <c r="AK335" s="2"/>
      <c r="AL335" s="2"/>
      <c r="AM335" s="2">
        <f t="shared" si="26"/>
        <v>479.3</v>
      </c>
      <c r="AN335" s="2"/>
      <c r="AO335" s="5">
        <f t="shared" si="34"/>
        <v>-7.0686365008616235E-3</v>
      </c>
      <c r="AP335" s="13">
        <v>45804</v>
      </c>
      <c r="AQ335" s="11">
        <v>392.9</v>
      </c>
      <c r="AR335" s="2"/>
      <c r="AS335" s="2"/>
      <c r="AT335" s="2"/>
      <c r="AU335" s="11">
        <f t="shared" si="27"/>
        <v>392.9</v>
      </c>
      <c r="AV335" s="2"/>
      <c r="AW335" s="5">
        <f t="shared" si="35"/>
        <v>-2.0904929523366391E-2</v>
      </c>
      <c r="AX335" s="13">
        <v>45804</v>
      </c>
      <c r="AY335" s="2">
        <v>18.2</v>
      </c>
      <c r="AZ335" s="2"/>
      <c r="BA335" s="2"/>
      <c r="BB335" s="2"/>
      <c r="BC335" s="2">
        <f t="shared" si="28"/>
        <v>18.2</v>
      </c>
      <c r="BD335" s="2"/>
      <c r="BE335" s="5">
        <f t="shared" si="36"/>
        <v>-1.6349138001529526E-2</v>
      </c>
      <c r="BF335" s="13">
        <v>45804</v>
      </c>
      <c r="BG335" s="2">
        <v>143.80000000000001</v>
      </c>
      <c r="BH335" s="2"/>
      <c r="BI335" s="2"/>
      <c r="BJ335" s="2"/>
      <c r="BK335" s="2">
        <f t="shared" si="29"/>
        <v>143.80000000000001</v>
      </c>
      <c r="BL335" s="2"/>
      <c r="BM335" s="5">
        <f t="shared" si="37"/>
        <v>0</v>
      </c>
    </row>
    <row r="336" spans="1:65" ht="15.75" customHeight="1" x14ac:dyDescent="0.35">
      <c r="A336" s="675"/>
      <c r="B336" s="13">
        <v>45805</v>
      </c>
      <c r="C336" s="2">
        <v>10</v>
      </c>
      <c r="D336" s="2"/>
      <c r="E336" s="2"/>
      <c r="F336" s="2"/>
      <c r="G336" s="11">
        <f t="shared" si="30"/>
        <v>10</v>
      </c>
      <c r="H336" s="2"/>
      <c r="I336" s="5">
        <f t="shared" si="38"/>
        <v>0</v>
      </c>
      <c r="J336" s="13">
        <v>45805</v>
      </c>
      <c r="K336" s="2">
        <v>26</v>
      </c>
      <c r="L336" s="2"/>
      <c r="M336" s="2"/>
      <c r="N336" s="2"/>
      <c r="O336" s="11">
        <f t="shared" si="23"/>
        <v>26</v>
      </c>
      <c r="P336" s="2"/>
      <c r="Q336" s="5">
        <f t="shared" si="31"/>
        <v>-1.5267472130788421E-2</v>
      </c>
      <c r="R336" s="13">
        <v>45805</v>
      </c>
      <c r="S336" s="2">
        <v>273.2</v>
      </c>
      <c r="T336" s="2"/>
      <c r="U336" s="2"/>
      <c r="V336" s="2"/>
      <c r="W336" s="11">
        <f t="shared" si="24"/>
        <v>273.2</v>
      </c>
      <c r="X336" s="2"/>
      <c r="Y336" s="5">
        <f t="shared" si="32"/>
        <v>-1.4630580517605511E-3</v>
      </c>
      <c r="Z336" s="13">
        <v>45805</v>
      </c>
      <c r="AA336" s="2">
        <v>800.2</v>
      </c>
      <c r="AB336" s="2"/>
      <c r="AC336" s="2"/>
      <c r="AD336" s="2"/>
      <c r="AE336" s="2">
        <f t="shared" si="25"/>
        <v>800.2</v>
      </c>
      <c r="AF336" s="2"/>
      <c r="AG336" s="5">
        <f t="shared" si="33"/>
        <v>-3.3668249448253286E-2</v>
      </c>
      <c r="AH336" s="13">
        <v>45805</v>
      </c>
      <c r="AI336" s="2">
        <v>471</v>
      </c>
      <c r="AJ336" s="2"/>
      <c r="AK336" s="2"/>
      <c r="AL336" s="2"/>
      <c r="AM336" s="2">
        <f t="shared" si="26"/>
        <v>471</v>
      </c>
      <c r="AN336" s="2"/>
      <c r="AO336" s="5">
        <f t="shared" si="34"/>
        <v>-1.7468612149167853E-2</v>
      </c>
      <c r="AP336" s="13">
        <v>45805</v>
      </c>
      <c r="AQ336" s="11">
        <v>380.8</v>
      </c>
      <c r="AR336" s="2"/>
      <c r="AS336" s="2"/>
      <c r="AT336" s="2"/>
      <c r="AU336" s="11">
        <f t="shared" si="27"/>
        <v>380.8</v>
      </c>
      <c r="AV336" s="2"/>
      <c r="AW336" s="5">
        <f t="shared" si="35"/>
        <v>-3.1280823647203783E-2</v>
      </c>
      <c r="AX336" s="13">
        <v>45805</v>
      </c>
      <c r="AY336" s="2">
        <v>18</v>
      </c>
      <c r="AZ336" s="2"/>
      <c r="BA336" s="2"/>
      <c r="BB336" s="2"/>
      <c r="BC336" s="2">
        <f t="shared" si="28"/>
        <v>18</v>
      </c>
      <c r="BD336" s="2"/>
      <c r="BE336" s="5">
        <f t="shared" si="36"/>
        <v>-1.1049836186584935E-2</v>
      </c>
      <c r="BF336" s="13">
        <v>45805</v>
      </c>
      <c r="BG336" s="2">
        <v>142.4</v>
      </c>
      <c r="BH336" s="2"/>
      <c r="BI336" s="2"/>
      <c r="BJ336" s="2"/>
      <c r="BK336" s="2">
        <f t="shared" si="29"/>
        <v>142.4</v>
      </c>
      <c r="BL336" s="2"/>
      <c r="BM336" s="5">
        <f t="shared" si="37"/>
        <v>-9.7834463090709714E-3</v>
      </c>
    </row>
    <row r="337" spans="1:65" ht="15.75" customHeight="1" x14ac:dyDescent="0.35">
      <c r="A337" s="675"/>
      <c r="B337" s="13">
        <v>45806</v>
      </c>
      <c r="C337" s="2">
        <v>10</v>
      </c>
      <c r="D337" s="2"/>
      <c r="E337" s="2"/>
      <c r="F337" s="2"/>
      <c r="G337" s="11">
        <f t="shared" si="30"/>
        <v>10</v>
      </c>
      <c r="H337" s="2"/>
      <c r="I337" s="5">
        <f t="shared" si="38"/>
        <v>0</v>
      </c>
      <c r="J337" s="13">
        <v>45806</v>
      </c>
      <c r="K337" s="2">
        <v>26.8</v>
      </c>
      <c r="L337" s="2"/>
      <c r="M337" s="2"/>
      <c r="N337" s="2"/>
      <c r="O337" s="11">
        <f t="shared" si="23"/>
        <v>26.8</v>
      </c>
      <c r="P337" s="2"/>
      <c r="Q337" s="5">
        <f t="shared" si="31"/>
        <v>3.0305349495329058E-2</v>
      </c>
      <c r="R337" s="13">
        <v>45806</v>
      </c>
      <c r="S337" s="2">
        <v>283.39999999999998</v>
      </c>
      <c r="T337" s="2"/>
      <c r="U337" s="2"/>
      <c r="V337" s="2"/>
      <c r="W337" s="11">
        <f t="shared" si="24"/>
        <v>283.39999999999998</v>
      </c>
      <c r="X337" s="2"/>
      <c r="Y337" s="5">
        <f t="shared" si="32"/>
        <v>3.6655199559944944E-2</v>
      </c>
      <c r="Z337" s="13">
        <v>45806</v>
      </c>
      <c r="AA337" s="2">
        <v>821.5</v>
      </c>
      <c r="AB337" s="2"/>
      <c r="AC337" s="2"/>
      <c r="AD337" s="2"/>
      <c r="AE337" s="2">
        <f t="shared" si="25"/>
        <v>821.5</v>
      </c>
      <c r="AF337" s="2"/>
      <c r="AG337" s="5">
        <f t="shared" si="33"/>
        <v>2.6270241054188133E-2</v>
      </c>
      <c r="AH337" s="13">
        <v>45806</v>
      </c>
      <c r="AI337" s="2">
        <v>477.5</v>
      </c>
      <c r="AJ337" s="2"/>
      <c r="AK337" s="2"/>
      <c r="AL337" s="2"/>
      <c r="AM337" s="2">
        <f t="shared" si="26"/>
        <v>477.5</v>
      </c>
      <c r="AN337" s="2"/>
      <c r="AO337" s="5">
        <f t="shared" si="34"/>
        <v>1.3706065904367296E-2</v>
      </c>
      <c r="AP337" s="13">
        <v>45806</v>
      </c>
      <c r="AQ337" s="11">
        <v>388.9</v>
      </c>
      <c r="AR337" s="2"/>
      <c r="AS337" s="2"/>
      <c r="AT337" s="2"/>
      <c r="AU337" s="11">
        <f t="shared" si="27"/>
        <v>388.9</v>
      </c>
      <c r="AV337" s="2"/>
      <c r="AW337" s="5">
        <f t="shared" si="35"/>
        <v>2.1047938244491173E-2</v>
      </c>
      <c r="AX337" s="13">
        <v>45806</v>
      </c>
      <c r="AY337" s="2">
        <v>18</v>
      </c>
      <c r="AZ337" s="2"/>
      <c r="BA337" s="2"/>
      <c r="BB337" s="2"/>
      <c r="BC337" s="2">
        <f t="shared" si="28"/>
        <v>18</v>
      </c>
      <c r="BD337" s="2"/>
      <c r="BE337" s="5">
        <f t="shared" si="36"/>
        <v>0</v>
      </c>
      <c r="BF337" s="13">
        <v>45806</v>
      </c>
      <c r="BG337" s="2">
        <v>144.5</v>
      </c>
      <c r="BH337" s="2"/>
      <c r="BI337" s="2"/>
      <c r="BJ337" s="2"/>
      <c r="BK337" s="2">
        <f t="shared" si="29"/>
        <v>144.5</v>
      </c>
      <c r="BL337" s="2"/>
      <c r="BM337" s="5">
        <f t="shared" si="37"/>
        <v>1.4639508574611508E-2</v>
      </c>
    </row>
    <row r="338" spans="1:65" ht="15.75" customHeight="1" x14ac:dyDescent="0.35">
      <c r="A338" s="675"/>
      <c r="B338" s="13">
        <v>45809</v>
      </c>
      <c r="C338" s="2">
        <v>10</v>
      </c>
      <c r="D338" s="2"/>
      <c r="E338" s="2"/>
      <c r="F338" s="2"/>
      <c r="G338" s="11">
        <f t="shared" si="30"/>
        <v>10</v>
      </c>
      <c r="H338" s="2"/>
      <c r="I338" s="5">
        <f t="shared" si="38"/>
        <v>0</v>
      </c>
      <c r="J338" s="13">
        <v>45809</v>
      </c>
      <c r="K338" s="2">
        <v>27.1</v>
      </c>
      <c r="L338" s="2"/>
      <c r="M338" s="2"/>
      <c r="N338" s="2"/>
      <c r="O338" s="11">
        <f t="shared" si="23"/>
        <v>27.1</v>
      </c>
      <c r="P338" s="2"/>
      <c r="Q338" s="5">
        <f t="shared" si="31"/>
        <v>1.1131840368844199E-2</v>
      </c>
      <c r="R338" s="13">
        <v>45809</v>
      </c>
      <c r="S338" s="2">
        <v>287.10000000000002</v>
      </c>
      <c r="T338" s="2"/>
      <c r="U338" s="2"/>
      <c r="V338" s="2"/>
      <c r="W338" s="11">
        <f t="shared" si="24"/>
        <v>287.10000000000002</v>
      </c>
      <c r="X338" s="2"/>
      <c r="Y338" s="5">
        <f t="shared" si="32"/>
        <v>1.2971259870438291E-2</v>
      </c>
      <c r="Z338" s="13">
        <v>45809</v>
      </c>
      <c r="AA338" s="2">
        <v>836</v>
      </c>
      <c r="AB338" s="2"/>
      <c r="AC338" s="2"/>
      <c r="AD338" s="2"/>
      <c r="AE338" s="2">
        <f t="shared" si="25"/>
        <v>836</v>
      </c>
      <c r="AF338" s="2"/>
      <c r="AG338" s="5">
        <f t="shared" si="33"/>
        <v>1.7496675607378772E-2</v>
      </c>
      <c r="AH338" s="13">
        <v>45809</v>
      </c>
      <c r="AI338" s="2">
        <v>481.2</v>
      </c>
      <c r="AJ338" s="2"/>
      <c r="AK338" s="2"/>
      <c r="AL338" s="2"/>
      <c r="AM338" s="2">
        <f t="shared" si="26"/>
        <v>481.2</v>
      </c>
      <c r="AN338" s="2"/>
      <c r="AO338" s="5">
        <f t="shared" si="34"/>
        <v>7.7188241797388358E-3</v>
      </c>
      <c r="AP338" s="13">
        <v>45809</v>
      </c>
      <c r="AQ338" s="11">
        <v>399.9</v>
      </c>
      <c r="AR338" s="2"/>
      <c r="AS338" s="2"/>
      <c r="AT338" s="2"/>
      <c r="AU338" s="11">
        <f t="shared" si="27"/>
        <v>399.9</v>
      </c>
      <c r="AV338" s="2"/>
      <c r="AW338" s="5">
        <f t="shared" si="35"/>
        <v>2.7892274691071174E-2</v>
      </c>
      <c r="AX338" s="13">
        <v>45809</v>
      </c>
      <c r="AY338" s="2">
        <v>18.399999999999999</v>
      </c>
      <c r="AZ338" s="2"/>
      <c r="BA338" s="2"/>
      <c r="BB338" s="2"/>
      <c r="BC338" s="2">
        <f t="shared" si="28"/>
        <v>18.399999999999999</v>
      </c>
      <c r="BD338" s="2"/>
      <c r="BE338" s="5">
        <f t="shared" si="36"/>
        <v>2.1978906718775167E-2</v>
      </c>
      <c r="BF338" s="13">
        <v>45809</v>
      </c>
      <c r="BG338" s="2">
        <v>145</v>
      </c>
      <c r="BH338" s="2"/>
      <c r="BI338" s="2"/>
      <c r="BJ338" s="2"/>
      <c r="BK338" s="2">
        <f t="shared" si="29"/>
        <v>145</v>
      </c>
      <c r="BL338" s="2"/>
      <c r="BM338" s="5">
        <f t="shared" si="37"/>
        <v>3.4542348680876036E-3</v>
      </c>
    </row>
    <row r="339" spans="1:65" ht="15.75" customHeight="1" x14ac:dyDescent="0.35">
      <c r="A339" s="675"/>
      <c r="B339" s="13">
        <v>45810</v>
      </c>
      <c r="C339" s="2">
        <v>10.1</v>
      </c>
      <c r="D339" s="2"/>
      <c r="E339" s="2"/>
      <c r="F339" s="2"/>
      <c r="G339" s="11">
        <f t="shared" si="30"/>
        <v>10.1</v>
      </c>
      <c r="H339" s="2"/>
      <c r="I339" s="5">
        <f t="shared" si="38"/>
        <v>9.950330853168092E-3</v>
      </c>
      <c r="J339" s="13">
        <v>45810</v>
      </c>
      <c r="K339" s="2">
        <v>26.9</v>
      </c>
      <c r="L339" s="2"/>
      <c r="M339" s="2"/>
      <c r="N339" s="2"/>
      <c r="O339" s="11">
        <f t="shared" si="23"/>
        <v>26.9</v>
      </c>
      <c r="P339" s="2"/>
      <c r="Q339" s="5">
        <f t="shared" si="31"/>
        <v>-7.4074412778619165E-3</v>
      </c>
      <c r="R339" s="13">
        <v>45810</v>
      </c>
      <c r="S339" s="2">
        <v>287.2</v>
      </c>
      <c r="T339" s="2"/>
      <c r="U339" s="2"/>
      <c r="V339" s="2"/>
      <c r="W339" s="11">
        <f t="shared" si="24"/>
        <v>287.2</v>
      </c>
      <c r="X339" s="2"/>
      <c r="Y339" s="5">
        <f t="shared" si="32"/>
        <v>3.4825004705068879E-4</v>
      </c>
      <c r="Z339" s="13">
        <v>45810</v>
      </c>
      <c r="AA339" s="2">
        <v>825.1</v>
      </c>
      <c r="AB339" s="2"/>
      <c r="AC339" s="2"/>
      <c r="AD339" s="2"/>
      <c r="AE339" s="2">
        <f t="shared" si="25"/>
        <v>825.1</v>
      </c>
      <c r="AF339" s="2"/>
      <c r="AG339" s="5">
        <f t="shared" si="33"/>
        <v>-1.3124021974404119E-2</v>
      </c>
      <c r="AH339" s="13">
        <v>45810</v>
      </c>
      <c r="AI339" s="2">
        <v>480.2</v>
      </c>
      <c r="AJ339" s="2"/>
      <c r="AK339" s="2"/>
      <c r="AL339" s="2"/>
      <c r="AM339" s="2">
        <f t="shared" si="26"/>
        <v>480.2</v>
      </c>
      <c r="AN339" s="2"/>
      <c r="AO339" s="5">
        <f t="shared" si="34"/>
        <v>-2.0803003133709665E-3</v>
      </c>
      <c r="AP339" s="13">
        <v>45810</v>
      </c>
      <c r="AQ339" s="11">
        <v>404.4</v>
      </c>
      <c r="AR339" s="2"/>
      <c r="AS339" s="2"/>
      <c r="AT339" s="2"/>
      <c r="AU339" s="11">
        <f t="shared" si="27"/>
        <v>404.4</v>
      </c>
      <c r="AV339" s="2"/>
      <c r="AW339" s="5">
        <f t="shared" si="35"/>
        <v>1.1189971293543587E-2</v>
      </c>
      <c r="AX339" s="13">
        <v>45810</v>
      </c>
      <c r="AY339" s="2">
        <v>18.399999999999999</v>
      </c>
      <c r="AZ339" s="2"/>
      <c r="BA339" s="2"/>
      <c r="BB339" s="2"/>
      <c r="BC339" s="2">
        <f t="shared" si="28"/>
        <v>18.399999999999999</v>
      </c>
      <c r="BD339" s="2"/>
      <c r="BE339" s="5">
        <f t="shared" si="36"/>
        <v>0</v>
      </c>
      <c r="BF339" s="13">
        <v>45810</v>
      </c>
      <c r="BG339" s="2">
        <v>147</v>
      </c>
      <c r="BH339" s="2"/>
      <c r="BI339" s="2"/>
      <c r="BJ339" s="2"/>
      <c r="BK339" s="2">
        <f t="shared" si="29"/>
        <v>147</v>
      </c>
      <c r="BL339" s="2"/>
      <c r="BM339" s="5">
        <f t="shared" si="37"/>
        <v>1.3698844358161927E-2</v>
      </c>
    </row>
    <row r="340" spans="1:65" ht="15.75" customHeight="1" x14ac:dyDescent="0.35">
      <c r="A340" s="675"/>
      <c r="B340" s="13">
        <v>45811</v>
      </c>
      <c r="C340" s="2">
        <v>9.9</v>
      </c>
      <c r="D340" s="2"/>
      <c r="E340" s="2"/>
      <c r="F340" s="2"/>
      <c r="G340" s="11">
        <f t="shared" si="30"/>
        <v>9.9</v>
      </c>
      <c r="H340" s="2"/>
      <c r="I340" s="5">
        <f t="shared" si="38"/>
        <v>-2.0000666706669428E-2</v>
      </c>
      <c r="J340" s="13">
        <v>45811</v>
      </c>
      <c r="K340" s="2">
        <v>26.9</v>
      </c>
      <c r="L340" s="2"/>
      <c r="M340" s="2"/>
      <c r="N340" s="2"/>
      <c r="O340" s="11">
        <f t="shared" si="23"/>
        <v>26.9</v>
      </c>
      <c r="P340" s="2"/>
      <c r="Q340" s="5">
        <f t="shared" si="31"/>
        <v>0</v>
      </c>
      <c r="R340" s="13">
        <v>45811</v>
      </c>
      <c r="S340" s="2">
        <v>284.39999999999998</v>
      </c>
      <c r="T340" s="2"/>
      <c r="U340" s="2"/>
      <c r="V340" s="2"/>
      <c r="W340" s="11">
        <f t="shared" si="24"/>
        <v>284.39999999999998</v>
      </c>
      <c r="X340" s="2"/>
      <c r="Y340" s="5">
        <f t="shared" si="32"/>
        <v>-9.7971392449833807E-3</v>
      </c>
      <c r="Z340" s="13">
        <v>45811</v>
      </c>
      <c r="AA340" s="2">
        <v>818.4</v>
      </c>
      <c r="AB340" s="2"/>
      <c r="AC340" s="2"/>
      <c r="AD340" s="2"/>
      <c r="AE340" s="2">
        <f t="shared" si="25"/>
        <v>818.4</v>
      </c>
      <c r="AF340" s="2"/>
      <c r="AG340" s="5">
        <f t="shared" si="33"/>
        <v>-8.1533764728808529E-3</v>
      </c>
      <c r="AH340" s="13">
        <v>45811</v>
      </c>
      <c r="AI340" s="2">
        <v>476</v>
      </c>
      <c r="AJ340" s="2"/>
      <c r="AK340" s="2"/>
      <c r="AL340" s="2"/>
      <c r="AM340" s="2">
        <f t="shared" si="26"/>
        <v>476</v>
      </c>
      <c r="AN340" s="2"/>
      <c r="AO340" s="5">
        <f t="shared" si="34"/>
        <v>-8.7848295557328027E-3</v>
      </c>
      <c r="AP340" s="13">
        <v>45811</v>
      </c>
      <c r="AQ340" s="11">
        <v>397.6</v>
      </c>
      <c r="AR340" s="2"/>
      <c r="AS340" s="2"/>
      <c r="AT340" s="2"/>
      <c r="AU340" s="11">
        <f t="shared" si="27"/>
        <v>397.6</v>
      </c>
      <c r="AV340" s="2"/>
      <c r="AW340" s="5">
        <f t="shared" si="35"/>
        <v>-1.6958012363897219E-2</v>
      </c>
      <c r="AX340" s="13">
        <v>45811</v>
      </c>
      <c r="AY340" s="2">
        <v>18.7</v>
      </c>
      <c r="AZ340" s="2"/>
      <c r="BA340" s="2"/>
      <c r="BB340" s="2"/>
      <c r="BC340" s="2">
        <f t="shared" si="28"/>
        <v>18.7</v>
      </c>
      <c r="BD340" s="2"/>
      <c r="BE340" s="5">
        <f t="shared" si="36"/>
        <v>1.6172859245600968E-2</v>
      </c>
      <c r="BF340" s="13">
        <v>45811</v>
      </c>
      <c r="BG340" s="2">
        <v>147.69999999999999</v>
      </c>
      <c r="BH340" s="2"/>
      <c r="BI340" s="2"/>
      <c r="BJ340" s="2"/>
      <c r="BK340" s="2">
        <f t="shared" si="29"/>
        <v>147.69999999999999</v>
      </c>
      <c r="BL340" s="2"/>
      <c r="BM340" s="5">
        <f t="shared" si="37"/>
        <v>4.7506027585977988E-3</v>
      </c>
    </row>
    <row r="341" spans="1:65" ht="15.75" customHeight="1" x14ac:dyDescent="0.35">
      <c r="A341" s="675"/>
      <c r="B341" s="13">
        <v>45812</v>
      </c>
      <c r="C341" s="2">
        <v>10</v>
      </c>
      <c r="D341" s="2"/>
      <c r="E341" s="2"/>
      <c r="F341" s="2"/>
      <c r="G341" s="11">
        <f t="shared" si="30"/>
        <v>10</v>
      </c>
      <c r="H341" s="2"/>
      <c r="I341" s="5">
        <f t="shared" si="38"/>
        <v>1.0050335853501506E-2</v>
      </c>
      <c r="J341" s="13">
        <v>45812</v>
      </c>
      <c r="K341" s="2">
        <v>27.1</v>
      </c>
      <c r="L341" s="2"/>
      <c r="M341" s="2"/>
      <c r="N341" s="2"/>
      <c r="O341" s="11">
        <f t="shared" si="23"/>
        <v>27.1</v>
      </c>
      <c r="P341" s="2"/>
      <c r="Q341" s="5">
        <f t="shared" si="31"/>
        <v>7.4074412778618176E-3</v>
      </c>
      <c r="R341" s="13">
        <v>45812</v>
      </c>
      <c r="S341" s="2">
        <v>286.2</v>
      </c>
      <c r="T341" s="2"/>
      <c r="U341" s="2"/>
      <c r="V341" s="2"/>
      <c r="W341" s="11">
        <f t="shared" si="24"/>
        <v>286.2</v>
      </c>
      <c r="X341" s="2"/>
      <c r="Y341" s="5">
        <f t="shared" si="32"/>
        <v>6.3091691932647556E-3</v>
      </c>
      <c r="Z341" s="13">
        <v>45812</v>
      </c>
      <c r="AA341" s="2">
        <v>825.5</v>
      </c>
      <c r="AB341" s="2"/>
      <c r="AC341" s="2"/>
      <c r="AD341" s="2"/>
      <c r="AE341" s="2">
        <f t="shared" si="25"/>
        <v>825.5</v>
      </c>
      <c r="AF341" s="2"/>
      <c r="AG341" s="5">
        <f t="shared" si="33"/>
        <v>8.6380487227660768E-3</v>
      </c>
      <c r="AH341" s="13">
        <v>45812</v>
      </c>
      <c r="AI341" s="2">
        <v>479.5</v>
      </c>
      <c r="AJ341" s="2"/>
      <c r="AK341" s="2"/>
      <c r="AL341" s="2"/>
      <c r="AM341" s="2">
        <f t="shared" si="26"/>
        <v>479.5</v>
      </c>
      <c r="AN341" s="2"/>
      <c r="AO341" s="5">
        <f t="shared" si="34"/>
        <v>7.3260400920728812E-3</v>
      </c>
      <c r="AP341" s="13">
        <v>45812</v>
      </c>
      <c r="AQ341" s="11">
        <v>399.4</v>
      </c>
      <c r="AR341" s="2"/>
      <c r="AS341" s="2"/>
      <c r="AT341" s="2"/>
      <c r="AU341" s="11">
        <f t="shared" si="27"/>
        <v>399.4</v>
      </c>
      <c r="AV341" s="2"/>
      <c r="AW341" s="5">
        <f t="shared" si="35"/>
        <v>4.5169461992958168E-3</v>
      </c>
      <c r="AX341" s="13">
        <v>45812</v>
      </c>
      <c r="AY341" s="2">
        <v>18.7</v>
      </c>
      <c r="AZ341" s="2"/>
      <c r="BA341" s="2"/>
      <c r="BB341" s="2"/>
      <c r="BC341" s="2">
        <f t="shared" si="28"/>
        <v>18.7</v>
      </c>
      <c r="BD341" s="2"/>
      <c r="BE341" s="5">
        <f t="shared" si="36"/>
        <v>0</v>
      </c>
      <c r="BF341" s="13">
        <v>45812</v>
      </c>
      <c r="BG341" s="2">
        <v>150</v>
      </c>
      <c r="BH341" s="2"/>
      <c r="BI341" s="2"/>
      <c r="BJ341" s="2"/>
      <c r="BK341" s="2">
        <f t="shared" si="29"/>
        <v>150</v>
      </c>
      <c r="BL341" s="2"/>
      <c r="BM341" s="5">
        <f t="shared" si="37"/>
        <v>1.5452104558921714E-2</v>
      </c>
    </row>
    <row r="342" spans="1:65" ht="15.75" customHeight="1" x14ac:dyDescent="0.35">
      <c r="A342" s="675"/>
      <c r="B342" s="13">
        <v>45823</v>
      </c>
      <c r="C342" s="2">
        <v>10</v>
      </c>
      <c r="D342" s="2"/>
      <c r="E342" s="2"/>
      <c r="F342" s="2"/>
      <c r="G342" s="11">
        <f t="shared" si="30"/>
        <v>10</v>
      </c>
      <c r="H342" s="2"/>
      <c r="I342" s="5">
        <f t="shared" si="38"/>
        <v>0</v>
      </c>
      <c r="J342" s="13">
        <v>45823</v>
      </c>
      <c r="K342" s="2">
        <v>27</v>
      </c>
      <c r="L342" s="2"/>
      <c r="M342" s="2"/>
      <c r="N342" s="2"/>
      <c r="O342" s="11">
        <f t="shared" si="23"/>
        <v>27</v>
      </c>
      <c r="P342" s="2"/>
      <c r="Q342" s="5">
        <f t="shared" si="31"/>
        <v>-3.6968618813262031E-3</v>
      </c>
      <c r="R342" s="13">
        <v>45823</v>
      </c>
      <c r="S342" s="2">
        <v>284.3</v>
      </c>
      <c r="T342" s="2"/>
      <c r="U342" s="2"/>
      <c r="V342" s="2"/>
      <c r="W342" s="11">
        <f t="shared" si="24"/>
        <v>284.3</v>
      </c>
      <c r="X342" s="2"/>
      <c r="Y342" s="5">
        <f t="shared" si="32"/>
        <v>-6.6608484653963469E-3</v>
      </c>
      <c r="Z342" s="13">
        <v>45823</v>
      </c>
      <c r="AA342" s="2">
        <v>816.2</v>
      </c>
      <c r="AB342" s="2"/>
      <c r="AC342" s="2"/>
      <c r="AD342" s="2"/>
      <c r="AE342" s="2">
        <f t="shared" si="25"/>
        <v>816.2</v>
      </c>
      <c r="AF342" s="2"/>
      <c r="AG342" s="5">
        <f t="shared" si="33"/>
        <v>-1.1329840388477329E-2</v>
      </c>
      <c r="AH342" s="13">
        <v>45823</v>
      </c>
      <c r="AI342" s="2">
        <v>477.2</v>
      </c>
      <c r="AJ342" s="2"/>
      <c r="AK342" s="2"/>
      <c r="AL342" s="2"/>
      <c r="AM342" s="2">
        <f t="shared" si="26"/>
        <v>477.2</v>
      </c>
      <c r="AN342" s="2"/>
      <c r="AO342" s="5">
        <f t="shared" si="34"/>
        <v>-4.8082040997319241E-3</v>
      </c>
      <c r="AP342" s="13">
        <v>45823</v>
      </c>
      <c r="AQ342" s="11">
        <v>396.2</v>
      </c>
      <c r="AR342" s="2"/>
      <c r="AS342" s="2"/>
      <c r="AT342" s="2"/>
      <c r="AU342" s="11">
        <f t="shared" si="27"/>
        <v>396.2</v>
      </c>
      <c r="AV342" s="2"/>
      <c r="AW342" s="5">
        <f t="shared" si="35"/>
        <v>-8.0442867172642717E-3</v>
      </c>
      <c r="AX342" s="13">
        <v>45823</v>
      </c>
      <c r="AY342" s="2">
        <v>19.100000000000001</v>
      </c>
      <c r="AZ342" s="2"/>
      <c r="BA342" s="2"/>
      <c r="BB342" s="2"/>
      <c r="BC342" s="2">
        <f t="shared" si="28"/>
        <v>19.100000000000001</v>
      </c>
      <c r="BD342" s="2"/>
      <c r="BE342" s="5">
        <f t="shared" si="36"/>
        <v>2.1164811192043331E-2</v>
      </c>
      <c r="BF342" s="13">
        <v>45823</v>
      </c>
      <c r="BG342" s="2">
        <v>150.19999999999999</v>
      </c>
      <c r="BH342" s="2"/>
      <c r="BI342" s="2"/>
      <c r="BJ342" s="2"/>
      <c r="BK342" s="2">
        <f t="shared" si="29"/>
        <v>150.19999999999999</v>
      </c>
      <c r="BL342" s="2"/>
      <c r="BM342" s="5">
        <f t="shared" si="37"/>
        <v>1.332445233778473E-3</v>
      </c>
    </row>
    <row r="343" spans="1:65" ht="15.75" customHeight="1" x14ac:dyDescent="0.35">
      <c r="A343" s="675"/>
      <c r="B343" s="13">
        <v>45824</v>
      </c>
      <c r="C343" s="2">
        <v>10.4</v>
      </c>
      <c r="D343" s="2"/>
      <c r="E343" s="2"/>
      <c r="F343" s="2"/>
      <c r="G343" s="11">
        <f t="shared" si="30"/>
        <v>10.4</v>
      </c>
      <c r="H343" s="2"/>
      <c r="I343" s="5">
        <f t="shared" si="38"/>
        <v>3.9220713153281329E-2</v>
      </c>
      <c r="J343" s="13">
        <v>45824</v>
      </c>
      <c r="K343" s="2">
        <v>27.6</v>
      </c>
      <c r="L343" s="2"/>
      <c r="M343" s="2"/>
      <c r="N343" s="2"/>
      <c r="O343" s="11">
        <f t="shared" si="23"/>
        <v>27.6</v>
      </c>
      <c r="P343" s="2"/>
      <c r="Q343" s="5">
        <f t="shared" si="31"/>
        <v>2.1978906718775382E-2</v>
      </c>
      <c r="R343" s="13">
        <v>45824</v>
      </c>
      <c r="S343" s="2">
        <v>286.39999999999998</v>
      </c>
      <c r="T343" s="2"/>
      <c r="U343" s="2"/>
      <c r="V343" s="2"/>
      <c r="W343" s="11">
        <f t="shared" si="24"/>
        <v>286.39999999999998</v>
      </c>
      <c r="X343" s="2"/>
      <c r="Y343" s="5">
        <f t="shared" si="32"/>
        <v>7.3594164295363584E-3</v>
      </c>
      <c r="Z343" s="13">
        <v>45824</v>
      </c>
      <c r="AA343" s="2">
        <v>811.8</v>
      </c>
      <c r="AB343" s="2"/>
      <c r="AC343" s="2"/>
      <c r="AD343" s="2"/>
      <c r="AE343" s="2">
        <f t="shared" si="25"/>
        <v>811.8</v>
      </c>
      <c r="AF343" s="2"/>
      <c r="AG343" s="5">
        <f t="shared" si="33"/>
        <v>-5.4054185669080469E-3</v>
      </c>
      <c r="AH343" s="13">
        <v>45824</v>
      </c>
      <c r="AI343" s="2">
        <v>480.7</v>
      </c>
      <c r="AJ343" s="2"/>
      <c r="AK343" s="2"/>
      <c r="AL343" s="2"/>
      <c r="AM343" s="2">
        <f t="shared" si="26"/>
        <v>480.7</v>
      </c>
      <c r="AN343" s="2"/>
      <c r="AO343" s="5">
        <f t="shared" si="34"/>
        <v>7.3076846761539029E-3</v>
      </c>
      <c r="AP343" s="13">
        <v>45824</v>
      </c>
      <c r="AQ343" s="11">
        <v>405.2</v>
      </c>
      <c r="AR343" s="2"/>
      <c r="AS343" s="2"/>
      <c r="AT343" s="2"/>
      <c r="AU343" s="11">
        <f t="shared" si="27"/>
        <v>405.2</v>
      </c>
      <c r="AV343" s="2"/>
      <c r="AW343" s="5">
        <f t="shared" si="35"/>
        <v>2.2461638110077731E-2</v>
      </c>
      <c r="AX343" s="13">
        <v>45824</v>
      </c>
      <c r="AY343" s="2">
        <v>19.5</v>
      </c>
      <c r="AZ343" s="2"/>
      <c r="BA343" s="2"/>
      <c r="BB343" s="2"/>
      <c r="BC343" s="2">
        <f t="shared" si="28"/>
        <v>19.5</v>
      </c>
      <c r="BD343" s="2"/>
      <c r="BE343" s="5">
        <f t="shared" si="36"/>
        <v>2.0726130517116952E-2</v>
      </c>
      <c r="BF343" s="13">
        <v>45824</v>
      </c>
      <c r="BG343" s="2">
        <v>151.9</v>
      </c>
      <c r="BH343" s="2"/>
      <c r="BI343" s="2"/>
      <c r="BJ343" s="2"/>
      <c r="BK343" s="2">
        <f t="shared" si="29"/>
        <v>151.9</v>
      </c>
      <c r="BL343" s="2"/>
      <c r="BM343" s="5">
        <f t="shared" si="37"/>
        <v>1.125467027169292E-2</v>
      </c>
    </row>
    <row r="344" spans="1:65" ht="15.75" customHeight="1" x14ac:dyDescent="0.35">
      <c r="A344" s="675"/>
      <c r="B344" s="13">
        <v>45825</v>
      </c>
      <c r="C344" s="2">
        <v>10.1</v>
      </c>
      <c r="D344" s="2"/>
      <c r="E344" s="2"/>
      <c r="F344" s="2"/>
      <c r="G344" s="11">
        <f t="shared" si="30"/>
        <v>10.1</v>
      </c>
      <c r="H344" s="2"/>
      <c r="I344" s="5">
        <f t="shared" si="38"/>
        <v>-2.9270382300113338E-2</v>
      </c>
      <c r="J344" s="13">
        <v>45825</v>
      </c>
      <c r="K344" s="2">
        <v>27.3</v>
      </c>
      <c r="L344" s="2"/>
      <c r="M344" s="2"/>
      <c r="N344" s="2"/>
      <c r="O344" s="11">
        <f t="shared" si="23"/>
        <v>27.3</v>
      </c>
      <c r="P344" s="2"/>
      <c r="Q344" s="5">
        <f t="shared" si="31"/>
        <v>-1.0929070532190317E-2</v>
      </c>
      <c r="R344" s="13">
        <v>45825</v>
      </c>
      <c r="S344" s="2">
        <v>284.60000000000002</v>
      </c>
      <c r="T344" s="2"/>
      <c r="U344" s="2"/>
      <c r="V344" s="2"/>
      <c r="W344" s="11">
        <f t="shared" si="24"/>
        <v>284.60000000000002</v>
      </c>
      <c r="X344" s="2"/>
      <c r="Y344" s="5">
        <f t="shared" si="32"/>
        <v>-6.3047494307383878E-3</v>
      </c>
      <c r="Z344" s="13">
        <v>45825</v>
      </c>
      <c r="AA344" s="2">
        <v>800.1</v>
      </c>
      <c r="AB344" s="2"/>
      <c r="AC344" s="2"/>
      <c r="AD344" s="2"/>
      <c r="AE344" s="2">
        <f t="shared" si="25"/>
        <v>800.1</v>
      </c>
      <c r="AF344" s="2"/>
      <c r="AG344" s="5">
        <f t="shared" si="33"/>
        <v>-1.4517284548718959E-2</v>
      </c>
      <c r="AH344" s="13">
        <v>45825</v>
      </c>
      <c r="AI344" s="2">
        <v>480.2</v>
      </c>
      <c r="AJ344" s="2"/>
      <c r="AK344" s="2"/>
      <c r="AL344" s="2"/>
      <c r="AM344" s="2">
        <f t="shared" si="26"/>
        <v>480.2</v>
      </c>
      <c r="AN344" s="2"/>
      <c r="AO344" s="5">
        <f t="shared" si="34"/>
        <v>-1.0406911127621415E-3</v>
      </c>
      <c r="AP344" s="13">
        <v>45825</v>
      </c>
      <c r="AQ344" s="11">
        <v>403.7</v>
      </c>
      <c r="AR344" s="2"/>
      <c r="AS344" s="2"/>
      <c r="AT344" s="2"/>
      <c r="AU344" s="11">
        <f t="shared" si="27"/>
        <v>403.7</v>
      </c>
      <c r="AV344" s="2"/>
      <c r="AW344" s="5">
        <f t="shared" si="35"/>
        <v>-3.7087445156332366E-3</v>
      </c>
      <c r="AX344" s="13">
        <v>45825</v>
      </c>
      <c r="AY344" s="2">
        <v>18.8</v>
      </c>
      <c r="AZ344" s="2"/>
      <c r="BA344" s="2"/>
      <c r="BB344" s="2"/>
      <c r="BC344" s="2">
        <f t="shared" si="28"/>
        <v>18.8</v>
      </c>
      <c r="BD344" s="2"/>
      <c r="BE344" s="5">
        <f t="shared" si="36"/>
        <v>-3.6557595733797577E-2</v>
      </c>
      <c r="BF344" s="13">
        <v>45825</v>
      </c>
      <c r="BG344" s="2">
        <v>149.19999999999999</v>
      </c>
      <c r="BH344" s="2"/>
      <c r="BI344" s="2"/>
      <c r="BJ344" s="2"/>
      <c r="BK344" s="2">
        <f t="shared" si="29"/>
        <v>149.19999999999999</v>
      </c>
      <c r="BL344" s="2"/>
      <c r="BM344" s="5">
        <f t="shared" si="37"/>
        <v>-1.7934721832066843E-2</v>
      </c>
    </row>
    <row r="345" spans="1:65" ht="15.75" customHeight="1" x14ac:dyDescent="0.35">
      <c r="A345" s="675"/>
      <c r="B345" s="13">
        <v>45826</v>
      </c>
      <c r="C345" s="2">
        <v>10.199999999999999</v>
      </c>
      <c r="D345" s="2"/>
      <c r="E345" s="2"/>
      <c r="F345" s="2"/>
      <c r="G345" s="11">
        <f t="shared" si="30"/>
        <v>10.199999999999999</v>
      </c>
      <c r="H345" s="2"/>
      <c r="I345" s="5">
        <f t="shared" si="38"/>
        <v>9.8522964430116395E-3</v>
      </c>
      <c r="J345" s="13">
        <v>45826</v>
      </c>
      <c r="K345" s="2">
        <v>27.5</v>
      </c>
      <c r="L345" s="2"/>
      <c r="M345" s="2"/>
      <c r="N345" s="2"/>
      <c r="O345" s="11">
        <f t="shared" si="23"/>
        <v>27.5</v>
      </c>
      <c r="P345" s="2"/>
      <c r="Q345" s="5">
        <f t="shared" si="31"/>
        <v>7.2993024816115351E-3</v>
      </c>
      <c r="R345" s="13">
        <v>45826</v>
      </c>
      <c r="S345" s="2">
        <v>291.39999999999998</v>
      </c>
      <c r="T345" s="2"/>
      <c r="U345" s="2"/>
      <c r="V345" s="2"/>
      <c r="W345" s="11">
        <f t="shared" si="24"/>
        <v>291.39999999999998</v>
      </c>
      <c r="X345" s="2"/>
      <c r="Y345" s="5">
        <f t="shared" si="32"/>
        <v>2.3612208105352261E-2</v>
      </c>
      <c r="Z345" s="13">
        <v>45826</v>
      </c>
      <c r="AA345" s="2">
        <v>818.7</v>
      </c>
      <c r="AB345" s="2"/>
      <c r="AC345" s="2"/>
      <c r="AD345" s="2"/>
      <c r="AE345" s="2">
        <f t="shared" si="25"/>
        <v>818.7</v>
      </c>
      <c r="AF345" s="2"/>
      <c r="AG345" s="5">
        <f t="shared" si="33"/>
        <v>2.2980996526324245E-2</v>
      </c>
      <c r="AH345" s="13">
        <v>45826</v>
      </c>
      <c r="AI345" s="2">
        <v>486.5</v>
      </c>
      <c r="AJ345" s="2"/>
      <c r="AK345" s="2"/>
      <c r="AL345" s="2"/>
      <c r="AM345" s="2">
        <f t="shared" si="26"/>
        <v>486.5</v>
      </c>
      <c r="AN345" s="2"/>
      <c r="AO345" s="5">
        <f t="shared" si="34"/>
        <v>1.3034217838906906E-2</v>
      </c>
      <c r="AP345" s="13">
        <v>45826</v>
      </c>
      <c r="AQ345" s="11">
        <v>407.9</v>
      </c>
      <c r="AR345" s="2"/>
      <c r="AS345" s="2"/>
      <c r="AT345" s="2"/>
      <c r="AU345" s="11">
        <f t="shared" si="27"/>
        <v>407.9</v>
      </c>
      <c r="AV345" s="2"/>
      <c r="AW345" s="5">
        <f t="shared" si="35"/>
        <v>1.035001846461767E-2</v>
      </c>
      <c r="AX345" s="13">
        <v>45826</v>
      </c>
      <c r="AY345" s="2">
        <v>19.100000000000001</v>
      </c>
      <c r="AZ345" s="2"/>
      <c r="BA345" s="2"/>
      <c r="BB345" s="2"/>
      <c r="BC345" s="2">
        <f t="shared" si="28"/>
        <v>19.100000000000001</v>
      </c>
      <c r="BD345" s="2"/>
      <c r="BE345" s="5">
        <f t="shared" si="36"/>
        <v>1.5831465216680662E-2</v>
      </c>
      <c r="BF345" s="13">
        <v>45826</v>
      </c>
      <c r="BG345" s="2">
        <v>151.19999999999999</v>
      </c>
      <c r="BH345" s="2"/>
      <c r="BI345" s="2"/>
      <c r="BJ345" s="2"/>
      <c r="BK345" s="2">
        <f t="shared" si="29"/>
        <v>151.19999999999999</v>
      </c>
      <c r="BL345" s="2"/>
      <c r="BM345" s="5">
        <f t="shared" si="37"/>
        <v>1.3315775975772156E-2</v>
      </c>
    </row>
    <row r="346" spans="1:65" ht="15.75" customHeight="1" x14ac:dyDescent="0.35">
      <c r="A346" s="675"/>
      <c r="B346" s="13">
        <v>45827</v>
      </c>
      <c r="C346" s="2">
        <v>10.1</v>
      </c>
      <c r="D346" s="2"/>
      <c r="E346" s="2"/>
      <c r="F346" s="2"/>
      <c r="G346" s="11">
        <f t="shared" si="30"/>
        <v>10.1</v>
      </c>
      <c r="H346" s="2"/>
      <c r="I346" s="5">
        <f t="shared" si="38"/>
        <v>-9.8522964430115944E-3</v>
      </c>
      <c r="J346" s="13">
        <v>45827</v>
      </c>
      <c r="K346" s="2">
        <v>27.6</v>
      </c>
      <c r="L346" s="2"/>
      <c r="M346" s="2"/>
      <c r="N346" s="2"/>
      <c r="O346" s="11">
        <f t="shared" si="23"/>
        <v>27.6</v>
      </c>
      <c r="P346" s="2"/>
      <c r="Q346" s="5">
        <f t="shared" si="31"/>
        <v>3.6297680505787311E-3</v>
      </c>
      <c r="R346" s="13">
        <v>45827</v>
      </c>
      <c r="S346" s="2">
        <v>294.2</v>
      </c>
      <c r="T346" s="2"/>
      <c r="U346" s="2"/>
      <c r="V346" s="2"/>
      <c r="W346" s="11">
        <f t="shared" si="24"/>
        <v>294.2</v>
      </c>
      <c r="X346" s="2"/>
      <c r="Y346" s="5">
        <f t="shared" si="32"/>
        <v>9.5629144062328118E-3</v>
      </c>
      <c r="Z346" s="13">
        <v>45827</v>
      </c>
      <c r="AA346" s="2">
        <v>814.3</v>
      </c>
      <c r="AB346" s="2"/>
      <c r="AC346" s="2"/>
      <c r="AD346" s="2"/>
      <c r="AE346" s="2">
        <f t="shared" si="25"/>
        <v>814.3</v>
      </c>
      <c r="AF346" s="2"/>
      <c r="AG346" s="5">
        <f t="shared" si="33"/>
        <v>-5.3888679093169901E-3</v>
      </c>
      <c r="AH346" s="13">
        <v>45827</v>
      </c>
      <c r="AI346" s="2">
        <v>488.8</v>
      </c>
      <c r="AJ346" s="2"/>
      <c r="AK346" s="2"/>
      <c r="AL346" s="2"/>
      <c r="AM346" s="2">
        <f t="shared" si="26"/>
        <v>488.8</v>
      </c>
      <c r="AN346" s="2"/>
      <c r="AO346" s="5">
        <f t="shared" si="34"/>
        <v>4.7165062313258106E-3</v>
      </c>
      <c r="AP346" s="13">
        <v>45827</v>
      </c>
      <c r="AQ346" s="11">
        <v>405.4</v>
      </c>
      <c r="AR346" s="2"/>
      <c r="AS346" s="2"/>
      <c r="AT346" s="2"/>
      <c r="AU346" s="11">
        <f t="shared" si="27"/>
        <v>405.4</v>
      </c>
      <c r="AV346" s="2"/>
      <c r="AW346" s="5">
        <f t="shared" si="35"/>
        <v>-6.1478123056131432E-3</v>
      </c>
      <c r="AX346" s="13">
        <v>45827</v>
      </c>
      <c r="AY346" s="2">
        <v>19</v>
      </c>
      <c r="AZ346" s="2"/>
      <c r="BA346" s="2"/>
      <c r="BB346" s="2"/>
      <c r="BC346" s="2">
        <f t="shared" si="28"/>
        <v>19</v>
      </c>
      <c r="BD346" s="2"/>
      <c r="BE346" s="5">
        <f t="shared" si="36"/>
        <v>-5.2493558861437901E-3</v>
      </c>
      <c r="BF346" s="13">
        <v>45827</v>
      </c>
      <c r="BG346" s="2">
        <v>150</v>
      </c>
      <c r="BH346" s="2"/>
      <c r="BI346" s="2"/>
      <c r="BJ346" s="2"/>
      <c r="BK346" s="2">
        <f t="shared" si="29"/>
        <v>150</v>
      </c>
      <c r="BL346" s="2"/>
      <c r="BM346" s="5">
        <f t="shared" si="37"/>
        <v>-7.9681696491768449E-3</v>
      </c>
    </row>
    <row r="347" spans="1:65" ht="15.75" customHeight="1" x14ac:dyDescent="0.35">
      <c r="A347" s="675"/>
      <c r="B347" s="13">
        <v>45830</v>
      </c>
      <c r="C347" s="2">
        <v>10</v>
      </c>
      <c r="D347" s="2"/>
      <c r="E347" s="2"/>
      <c r="F347" s="2"/>
      <c r="G347" s="11">
        <f t="shared" si="30"/>
        <v>10</v>
      </c>
      <c r="H347" s="2"/>
      <c r="I347" s="5">
        <f t="shared" si="38"/>
        <v>-9.950330853168092E-3</v>
      </c>
      <c r="J347" s="13">
        <v>45830</v>
      </c>
      <c r="K347" s="2">
        <v>27.3</v>
      </c>
      <c r="L347" s="2"/>
      <c r="M347" s="2"/>
      <c r="N347" s="2"/>
      <c r="O347" s="11">
        <f t="shared" si="23"/>
        <v>27.3</v>
      </c>
      <c r="P347" s="2"/>
      <c r="Q347" s="5">
        <f t="shared" si="31"/>
        <v>-1.0929070532190317E-2</v>
      </c>
      <c r="R347" s="13">
        <v>45830</v>
      </c>
      <c r="S347" s="2">
        <v>290</v>
      </c>
      <c r="T347" s="2"/>
      <c r="U347" s="2"/>
      <c r="V347" s="2"/>
      <c r="W347" s="11">
        <f t="shared" si="24"/>
        <v>290</v>
      </c>
      <c r="X347" s="2"/>
      <c r="Y347" s="5">
        <f t="shared" si="32"/>
        <v>-1.4378885186817385E-2</v>
      </c>
      <c r="Z347" s="13">
        <v>45830</v>
      </c>
      <c r="AA347" s="2">
        <v>807.5</v>
      </c>
      <c r="AB347" s="2"/>
      <c r="AC347" s="2"/>
      <c r="AD347" s="2"/>
      <c r="AE347" s="2">
        <f t="shared" si="25"/>
        <v>807.5</v>
      </c>
      <c r="AF347" s="2"/>
      <c r="AG347" s="5">
        <f t="shared" si="33"/>
        <v>-8.3857933762739589E-3</v>
      </c>
      <c r="AH347" s="13">
        <v>45830</v>
      </c>
      <c r="AI347" s="2">
        <v>481</v>
      </c>
      <c r="AJ347" s="2"/>
      <c r="AK347" s="2"/>
      <c r="AL347" s="2"/>
      <c r="AM347" s="2">
        <f t="shared" si="26"/>
        <v>481</v>
      </c>
      <c r="AN347" s="2"/>
      <c r="AO347" s="5">
        <f t="shared" si="34"/>
        <v>-1.6086137751624381E-2</v>
      </c>
      <c r="AP347" s="13">
        <v>45830</v>
      </c>
      <c r="AQ347" s="11">
        <v>396.9</v>
      </c>
      <c r="AR347" s="2"/>
      <c r="AS347" s="2"/>
      <c r="AT347" s="2"/>
      <c r="AU347" s="11">
        <f t="shared" si="27"/>
        <v>396.9</v>
      </c>
      <c r="AV347" s="2"/>
      <c r="AW347" s="5">
        <f t="shared" si="35"/>
        <v>-2.1189874228879923E-2</v>
      </c>
      <c r="AX347" s="13">
        <v>45830</v>
      </c>
      <c r="AY347" s="2">
        <v>18.600000000000001</v>
      </c>
      <c r="AZ347" s="2"/>
      <c r="BA347" s="2"/>
      <c r="BB347" s="2"/>
      <c r="BC347" s="2">
        <f t="shared" si="28"/>
        <v>18.600000000000001</v>
      </c>
      <c r="BD347" s="2"/>
      <c r="BE347" s="5">
        <f t="shared" si="36"/>
        <v>-2.1277398447284851E-2</v>
      </c>
      <c r="BF347" s="13">
        <v>45830</v>
      </c>
      <c r="BG347" s="2">
        <v>146.5</v>
      </c>
      <c r="BH347" s="2"/>
      <c r="BI347" s="2"/>
      <c r="BJ347" s="2"/>
      <c r="BK347" s="2">
        <f t="shared" si="29"/>
        <v>146.5</v>
      </c>
      <c r="BL347" s="2"/>
      <c r="BM347" s="5">
        <f t="shared" si="37"/>
        <v>-2.3609865639133736E-2</v>
      </c>
    </row>
    <row r="348" spans="1:65" ht="15.75" customHeight="1" x14ac:dyDescent="0.35">
      <c r="A348" s="675"/>
      <c r="B348" s="13">
        <v>45831</v>
      </c>
      <c r="C348" s="2">
        <v>10</v>
      </c>
      <c r="D348" s="2"/>
      <c r="E348" s="2"/>
      <c r="F348" s="2"/>
      <c r="G348" s="11">
        <f t="shared" si="30"/>
        <v>10</v>
      </c>
      <c r="H348" s="2"/>
      <c r="I348" s="5">
        <f t="shared" si="38"/>
        <v>0</v>
      </c>
      <c r="J348" s="13">
        <v>45831</v>
      </c>
      <c r="K348" s="2">
        <v>27.1</v>
      </c>
      <c r="L348" s="2"/>
      <c r="M348" s="2"/>
      <c r="N348" s="2"/>
      <c r="O348" s="11">
        <f t="shared" si="23"/>
        <v>27.1</v>
      </c>
      <c r="P348" s="2"/>
      <c r="Q348" s="5">
        <f t="shared" si="31"/>
        <v>-7.352974305258806E-3</v>
      </c>
      <c r="R348" s="13">
        <v>45831</v>
      </c>
      <c r="S348" s="2">
        <v>295.5</v>
      </c>
      <c r="T348" s="2"/>
      <c r="U348" s="2"/>
      <c r="V348" s="2"/>
      <c r="W348" s="11">
        <f t="shared" si="24"/>
        <v>295.5</v>
      </c>
      <c r="X348" s="2"/>
      <c r="Y348" s="5">
        <f t="shared" si="32"/>
        <v>1.878791386563327E-2</v>
      </c>
      <c r="Z348" s="13">
        <v>45831</v>
      </c>
      <c r="AA348" s="2">
        <v>802.7</v>
      </c>
      <c r="AB348" s="2"/>
      <c r="AC348" s="2"/>
      <c r="AD348" s="2"/>
      <c r="AE348" s="2">
        <f t="shared" si="25"/>
        <v>802.7</v>
      </c>
      <c r="AF348" s="2"/>
      <c r="AG348" s="5">
        <f t="shared" si="33"/>
        <v>-5.9620099592804111E-3</v>
      </c>
      <c r="AH348" s="13">
        <v>45831</v>
      </c>
      <c r="AI348" s="2">
        <v>480.3</v>
      </c>
      <c r="AJ348" s="2"/>
      <c r="AK348" s="2"/>
      <c r="AL348" s="2"/>
      <c r="AM348" s="2">
        <f t="shared" si="26"/>
        <v>480.3</v>
      </c>
      <c r="AN348" s="2"/>
      <c r="AO348" s="5">
        <f t="shared" si="34"/>
        <v>-1.4563614349825148E-3</v>
      </c>
      <c r="AP348" s="13">
        <v>45831</v>
      </c>
      <c r="AQ348" s="11">
        <v>402.4</v>
      </c>
      <c r="AR348" s="2"/>
      <c r="AS348" s="2"/>
      <c r="AT348" s="2"/>
      <c r="AU348" s="11">
        <f t="shared" si="27"/>
        <v>402.4</v>
      </c>
      <c r="AV348" s="2"/>
      <c r="AW348" s="5">
        <f t="shared" si="35"/>
        <v>1.3762258996509767E-2</v>
      </c>
      <c r="AX348" s="13">
        <v>45831</v>
      </c>
      <c r="AY348" s="2">
        <v>18.5</v>
      </c>
      <c r="AZ348" s="2"/>
      <c r="BA348" s="2"/>
      <c r="BB348" s="2"/>
      <c r="BC348" s="2">
        <f t="shared" si="28"/>
        <v>18.5</v>
      </c>
      <c r="BD348" s="2"/>
      <c r="BE348" s="5">
        <f t="shared" si="36"/>
        <v>-5.3908486348765343E-3</v>
      </c>
      <c r="BF348" s="13">
        <v>45831</v>
      </c>
      <c r="BG348" s="2">
        <v>148.19999999999999</v>
      </c>
      <c r="BH348" s="2"/>
      <c r="BI348" s="2"/>
      <c r="BJ348" s="2"/>
      <c r="BK348" s="2">
        <f t="shared" si="29"/>
        <v>148.19999999999999</v>
      </c>
      <c r="BL348" s="2"/>
      <c r="BM348" s="5">
        <f t="shared" si="37"/>
        <v>1.153728440486438E-2</v>
      </c>
    </row>
    <row r="349" spans="1:65" ht="15.75" customHeight="1" x14ac:dyDescent="0.35">
      <c r="A349" s="675"/>
      <c r="B349" s="13">
        <v>45832</v>
      </c>
      <c r="C349" s="2">
        <v>10</v>
      </c>
      <c r="D349" s="2"/>
      <c r="E349" s="2"/>
      <c r="F349" s="2"/>
      <c r="G349" s="11">
        <f t="shared" si="30"/>
        <v>10</v>
      </c>
      <c r="H349" s="2"/>
      <c r="I349" s="5">
        <f t="shared" si="38"/>
        <v>0</v>
      </c>
      <c r="J349" s="13">
        <v>45832</v>
      </c>
      <c r="K349" s="2">
        <v>27.2</v>
      </c>
      <c r="L349" s="2"/>
      <c r="M349" s="2"/>
      <c r="N349" s="2"/>
      <c r="O349" s="11">
        <f t="shared" si="23"/>
        <v>27.2</v>
      </c>
      <c r="P349" s="2"/>
      <c r="Q349" s="5">
        <f t="shared" si="31"/>
        <v>3.683245416296368E-3</v>
      </c>
      <c r="R349" s="13">
        <v>45832</v>
      </c>
      <c r="S349" s="2">
        <v>295.7</v>
      </c>
      <c r="T349" s="2"/>
      <c r="U349" s="2"/>
      <c r="V349" s="2"/>
      <c r="W349" s="11">
        <f t="shared" si="24"/>
        <v>295.7</v>
      </c>
      <c r="X349" s="2"/>
      <c r="Y349" s="5">
        <f t="shared" si="32"/>
        <v>6.7659001227854312E-4</v>
      </c>
      <c r="Z349" s="13">
        <v>45832</v>
      </c>
      <c r="AA349" s="2">
        <v>799.6</v>
      </c>
      <c r="AB349" s="2"/>
      <c r="AC349" s="2"/>
      <c r="AD349" s="2"/>
      <c r="AE349" s="2">
        <f t="shared" si="25"/>
        <v>799.6</v>
      </c>
      <c r="AF349" s="2"/>
      <c r="AG349" s="5">
        <f t="shared" si="33"/>
        <v>-3.8694425112861686E-3</v>
      </c>
      <c r="AH349" s="13">
        <v>45832</v>
      </c>
      <c r="AI349" s="2">
        <v>487</v>
      </c>
      <c r="AJ349" s="2"/>
      <c r="AK349" s="2"/>
      <c r="AL349" s="2"/>
      <c r="AM349" s="2">
        <f t="shared" si="26"/>
        <v>487</v>
      </c>
      <c r="AN349" s="2"/>
      <c r="AO349" s="5">
        <f t="shared" si="34"/>
        <v>1.3853214411811119E-2</v>
      </c>
      <c r="AP349" s="13">
        <v>45832</v>
      </c>
      <c r="AQ349" s="11">
        <v>402.8</v>
      </c>
      <c r="AR349" s="2"/>
      <c r="AS349" s="2"/>
      <c r="AT349" s="2"/>
      <c r="AU349" s="11">
        <f t="shared" si="27"/>
        <v>402.8</v>
      </c>
      <c r="AV349" s="2"/>
      <c r="AW349" s="5">
        <f t="shared" si="35"/>
        <v>9.9354205887795745E-4</v>
      </c>
      <c r="AX349" s="13">
        <v>45832</v>
      </c>
      <c r="AY349" s="2">
        <v>18.899999999999999</v>
      </c>
      <c r="AZ349" s="2"/>
      <c r="BA349" s="2"/>
      <c r="BB349" s="2"/>
      <c r="BC349" s="2">
        <f t="shared" si="28"/>
        <v>18.899999999999999</v>
      </c>
      <c r="BD349" s="2"/>
      <c r="BE349" s="5">
        <f t="shared" si="36"/>
        <v>2.139118998131756E-2</v>
      </c>
      <c r="BF349" s="13">
        <v>45832</v>
      </c>
      <c r="BG349" s="2">
        <v>147.6</v>
      </c>
      <c r="BH349" s="2"/>
      <c r="BI349" s="2"/>
      <c r="BJ349" s="2"/>
      <c r="BK349" s="2">
        <f t="shared" si="29"/>
        <v>147.6</v>
      </c>
      <c r="BL349" s="2"/>
      <c r="BM349" s="5">
        <f t="shared" si="37"/>
        <v>-4.056800695614318E-3</v>
      </c>
    </row>
    <row r="350" spans="1:65" ht="15.75" customHeight="1" x14ac:dyDescent="0.35">
      <c r="A350" s="675"/>
      <c r="B350" s="13">
        <v>45833</v>
      </c>
      <c r="C350" s="2">
        <v>9.9</v>
      </c>
      <c r="D350" s="2"/>
      <c r="E350" s="2"/>
      <c r="F350" s="2"/>
      <c r="G350" s="11">
        <f t="shared" si="30"/>
        <v>9.9</v>
      </c>
      <c r="H350" s="2"/>
      <c r="I350" s="5">
        <f t="shared" si="38"/>
        <v>-1.0050335853501451E-2</v>
      </c>
      <c r="J350" s="13">
        <v>45833</v>
      </c>
      <c r="K350" s="2">
        <v>27.8</v>
      </c>
      <c r="L350" s="2"/>
      <c r="M350" s="2"/>
      <c r="N350" s="2"/>
      <c r="O350" s="11">
        <f t="shared" si="23"/>
        <v>27.8</v>
      </c>
      <c r="P350" s="2"/>
      <c r="Q350" s="5">
        <f t="shared" si="31"/>
        <v>2.1819047394639888E-2</v>
      </c>
      <c r="R350" s="13">
        <v>45833</v>
      </c>
      <c r="S350" s="2">
        <v>295.8</v>
      </c>
      <c r="T350" s="2"/>
      <c r="U350" s="2"/>
      <c r="V350" s="2"/>
      <c r="W350" s="11">
        <f t="shared" si="24"/>
        <v>295.8</v>
      </c>
      <c r="X350" s="2"/>
      <c r="Y350" s="5">
        <f t="shared" si="32"/>
        <v>3.3812341826804494E-4</v>
      </c>
      <c r="Z350" s="13">
        <v>45833</v>
      </c>
      <c r="AA350" s="2">
        <v>796.6</v>
      </c>
      <c r="AB350" s="2"/>
      <c r="AC350" s="2"/>
      <c r="AD350" s="2"/>
      <c r="AE350" s="2">
        <f t="shared" si="25"/>
        <v>796.6</v>
      </c>
      <c r="AF350" s="2"/>
      <c r="AG350" s="5">
        <f t="shared" si="33"/>
        <v>-3.7589318787011584E-3</v>
      </c>
      <c r="AH350" s="13">
        <v>45833</v>
      </c>
      <c r="AI350" s="2">
        <v>485</v>
      </c>
      <c r="AJ350" s="2"/>
      <c r="AK350" s="2"/>
      <c r="AL350" s="2"/>
      <c r="AM350" s="2">
        <f t="shared" si="26"/>
        <v>485</v>
      </c>
      <c r="AN350" s="2"/>
      <c r="AO350" s="5">
        <f t="shared" si="34"/>
        <v>-4.1152321451065439E-3</v>
      </c>
      <c r="AP350" s="13">
        <v>45833</v>
      </c>
      <c r="AQ350" s="11">
        <v>409.4</v>
      </c>
      <c r="AR350" s="2"/>
      <c r="AS350" s="2"/>
      <c r="AT350" s="2"/>
      <c r="AU350" s="11">
        <f t="shared" si="27"/>
        <v>409.4</v>
      </c>
      <c r="AV350" s="2"/>
      <c r="AW350" s="5">
        <f t="shared" si="35"/>
        <v>1.6252512382781893E-2</v>
      </c>
      <c r="AX350" s="13">
        <v>45833</v>
      </c>
      <c r="AY350" s="2">
        <v>19.100000000000001</v>
      </c>
      <c r="AZ350" s="2"/>
      <c r="BA350" s="2"/>
      <c r="BB350" s="2"/>
      <c r="BC350" s="2">
        <f t="shared" si="28"/>
        <v>19.100000000000001</v>
      </c>
      <c r="BD350" s="2"/>
      <c r="BE350" s="5">
        <f t="shared" si="36"/>
        <v>1.0526412986987603E-2</v>
      </c>
      <c r="BF350" s="13">
        <v>45833</v>
      </c>
      <c r="BG350" s="2">
        <v>150.6</v>
      </c>
      <c r="BH350" s="2"/>
      <c r="BI350" s="2"/>
      <c r="BJ350" s="2"/>
      <c r="BK350" s="2">
        <f t="shared" si="29"/>
        <v>150.6</v>
      </c>
      <c r="BL350" s="2"/>
      <c r="BM350" s="5">
        <f t="shared" si="37"/>
        <v>2.0121403199421028E-2</v>
      </c>
    </row>
    <row r="351" spans="1:65" ht="15.75" customHeight="1" x14ac:dyDescent="0.35">
      <c r="A351" s="675"/>
      <c r="B351" s="13">
        <v>45834</v>
      </c>
      <c r="C351" s="2">
        <v>10</v>
      </c>
      <c r="D351" s="2"/>
      <c r="E351" s="2"/>
      <c r="F351" s="2"/>
      <c r="G351" s="11">
        <f t="shared" si="30"/>
        <v>10</v>
      </c>
      <c r="H351" s="2"/>
      <c r="I351" s="5">
        <f t="shared" si="38"/>
        <v>1.0050335853501506E-2</v>
      </c>
      <c r="J351" s="13">
        <v>45834</v>
      </c>
      <c r="K351" s="2">
        <v>28.1</v>
      </c>
      <c r="L351" s="2"/>
      <c r="M351" s="2"/>
      <c r="N351" s="2"/>
      <c r="O351" s="11">
        <f t="shared" si="23"/>
        <v>28.1</v>
      </c>
      <c r="P351" s="2"/>
      <c r="Q351" s="5">
        <f t="shared" si="31"/>
        <v>1.0733555643108633E-2</v>
      </c>
      <c r="R351" s="13">
        <v>45834</v>
      </c>
      <c r="S351" s="2">
        <v>302.7</v>
      </c>
      <c r="T351" s="2"/>
      <c r="U351" s="2"/>
      <c r="V351" s="2"/>
      <c r="W351" s="11">
        <f t="shared" si="24"/>
        <v>302.7</v>
      </c>
      <c r="X351" s="2"/>
      <c r="Y351" s="5">
        <f t="shared" si="32"/>
        <v>2.3058665750973453E-2</v>
      </c>
      <c r="Z351" s="13">
        <v>45834</v>
      </c>
      <c r="AA351" s="2">
        <v>801</v>
      </c>
      <c r="AB351" s="2"/>
      <c r="AC351" s="2"/>
      <c r="AD351" s="2"/>
      <c r="AE351" s="2">
        <f t="shared" si="25"/>
        <v>801</v>
      </c>
      <c r="AF351" s="2"/>
      <c r="AG351" s="5">
        <f t="shared" si="33"/>
        <v>5.5082763208154249E-3</v>
      </c>
      <c r="AH351" s="13">
        <v>45834</v>
      </c>
      <c r="AI351" s="2">
        <v>489.6</v>
      </c>
      <c r="AJ351" s="2"/>
      <c r="AK351" s="2"/>
      <c r="AL351" s="2"/>
      <c r="AM351" s="2">
        <f t="shared" si="26"/>
        <v>489.6</v>
      </c>
      <c r="AN351" s="2"/>
      <c r="AO351" s="5">
        <f t="shared" si="34"/>
        <v>9.4398402606331398E-3</v>
      </c>
      <c r="AP351" s="13">
        <v>45834</v>
      </c>
      <c r="AQ351" s="11">
        <v>411.2</v>
      </c>
      <c r="AR351" s="2"/>
      <c r="AS351" s="2"/>
      <c r="AT351" s="2"/>
      <c r="AU351" s="11">
        <f t="shared" si="27"/>
        <v>411.2</v>
      </c>
      <c r="AV351" s="2"/>
      <c r="AW351" s="5">
        <f t="shared" si="35"/>
        <v>4.3870409137661695E-3</v>
      </c>
      <c r="AX351" s="13">
        <v>45834</v>
      </c>
      <c r="AY351" s="2">
        <v>19.3</v>
      </c>
      <c r="AZ351" s="2"/>
      <c r="BA351" s="2"/>
      <c r="BB351" s="2"/>
      <c r="BC351" s="2">
        <f t="shared" si="28"/>
        <v>19.3</v>
      </c>
      <c r="BD351" s="2"/>
      <c r="BE351" s="5">
        <f t="shared" si="36"/>
        <v>1.041676085825558E-2</v>
      </c>
      <c r="BF351" s="13">
        <v>45834</v>
      </c>
      <c r="BG351" s="2">
        <v>149.69999999999999</v>
      </c>
      <c r="BH351" s="2"/>
      <c r="BI351" s="2"/>
      <c r="BJ351" s="2"/>
      <c r="BK351" s="2">
        <f t="shared" si="29"/>
        <v>149.69999999999999</v>
      </c>
      <c r="BL351" s="2"/>
      <c r="BM351" s="5">
        <f t="shared" si="37"/>
        <v>-5.9940239402105251E-3</v>
      </c>
    </row>
    <row r="352" spans="1:65" ht="15.75" customHeight="1" x14ac:dyDescent="0.35">
      <c r="A352" s="675"/>
      <c r="B352" s="13">
        <v>45837</v>
      </c>
      <c r="C352" s="2">
        <v>10</v>
      </c>
      <c r="D352" s="2"/>
      <c r="E352" s="2"/>
      <c r="F352" s="2"/>
      <c r="G352" s="11">
        <f t="shared" si="30"/>
        <v>10</v>
      </c>
      <c r="H352" s="2"/>
      <c r="I352" s="5">
        <f t="shared" si="38"/>
        <v>0</v>
      </c>
      <c r="J352" s="13">
        <v>45837</v>
      </c>
      <c r="K352" s="2">
        <v>28.6</v>
      </c>
      <c r="L352" s="2"/>
      <c r="M352" s="2"/>
      <c r="N352" s="2"/>
      <c r="O352" s="11">
        <f t="shared" si="23"/>
        <v>28.6</v>
      </c>
      <c r="P352" s="2"/>
      <c r="Q352" s="5">
        <f t="shared" si="31"/>
        <v>1.7637141486106876E-2</v>
      </c>
      <c r="R352" s="13">
        <v>45837</v>
      </c>
      <c r="S352" s="2">
        <v>303.5</v>
      </c>
      <c r="T352" s="2"/>
      <c r="U352" s="2"/>
      <c r="V352" s="2"/>
      <c r="W352" s="11">
        <f t="shared" si="24"/>
        <v>303.5</v>
      </c>
      <c r="X352" s="2"/>
      <c r="Y352" s="5">
        <f t="shared" si="32"/>
        <v>2.6393944718801181E-3</v>
      </c>
      <c r="Z352" s="13">
        <v>45837</v>
      </c>
      <c r="AA352" s="2">
        <v>803.7</v>
      </c>
      <c r="AB352" s="2"/>
      <c r="AC352" s="2"/>
      <c r="AD352" s="2"/>
      <c r="AE352" s="2">
        <f t="shared" si="25"/>
        <v>803.7</v>
      </c>
      <c r="AF352" s="2"/>
      <c r="AG352" s="5">
        <f t="shared" si="33"/>
        <v>3.3651181503135548E-3</v>
      </c>
      <c r="AH352" s="13">
        <v>45837</v>
      </c>
      <c r="AI352" s="2">
        <v>490.4</v>
      </c>
      <c r="AJ352" s="2"/>
      <c r="AK352" s="2"/>
      <c r="AL352" s="2"/>
      <c r="AM352" s="2">
        <f t="shared" si="26"/>
        <v>490.4</v>
      </c>
      <c r="AN352" s="2"/>
      <c r="AO352" s="5">
        <f t="shared" si="34"/>
        <v>1.6326534238853118E-3</v>
      </c>
      <c r="AP352" s="13">
        <v>45837</v>
      </c>
      <c r="AQ352" s="11">
        <v>411.6</v>
      </c>
      <c r="AR352" s="2"/>
      <c r="AS352" s="2"/>
      <c r="AT352" s="2"/>
      <c r="AU352" s="11">
        <f t="shared" si="27"/>
        <v>411.6</v>
      </c>
      <c r="AV352" s="2"/>
      <c r="AW352" s="5">
        <f t="shared" si="35"/>
        <v>9.7228981893918609E-4</v>
      </c>
      <c r="AX352" s="13">
        <v>45837</v>
      </c>
      <c r="AY352" s="2">
        <v>19.600000000000001</v>
      </c>
      <c r="AZ352" s="2"/>
      <c r="BA352" s="2"/>
      <c r="BB352" s="2"/>
      <c r="BC352" s="2">
        <f t="shared" si="28"/>
        <v>19.600000000000001</v>
      </c>
      <c r="BD352" s="2"/>
      <c r="BE352" s="5">
        <f t="shared" si="36"/>
        <v>1.5424470325631731E-2</v>
      </c>
      <c r="BF352" s="13">
        <v>45837</v>
      </c>
      <c r="BG352" s="2">
        <v>152.19999999999999</v>
      </c>
      <c r="BH352" s="2"/>
      <c r="BI352" s="2"/>
      <c r="BJ352" s="2"/>
      <c r="BK352" s="2">
        <f t="shared" si="29"/>
        <v>152.19999999999999</v>
      </c>
      <c r="BL352" s="2"/>
      <c r="BM352" s="5">
        <f t="shared" si="37"/>
        <v>1.6562154002002841E-2</v>
      </c>
    </row>
    <row r="353" spans="1:65" ht="15.75" customHeight="1" x14ac:dyDescent="0.35">
      <c r="A353" s="675"/>
      <c r="B353" s="13">
        <v>45838</v>
      </c>
      <c r="C353" s="2">
        <v>9.9</v>
      </c>
      <c r="D353" s="2"/>
      <c r="E353" s="2"/>
      <c r="F353" s="2"/>
      <c r="G353" s="11">
        <f t="shared" si="30"/>
        <v>9.9</v>
      </c>
      <c r="H353" s="2"/>
      <c r="I353" s="5">
        <f t="shared" si="38"/>
        <v>-1.0050335853501451E-2</v>
      </c>
      <c r="J353" s="13">
        <v>45838</v>
      </c>
      <c r="K353" s="2">
        <v>29</v>
      </c>
      <c r="L353" s="2"/>
      <c r="M353" s="2"/>
      <c r="N353" s="2"/>
      <c r="O353" s="11">
        <f t="shared" si="23"/>
        <v>29</v>
      </c>
      <c r="P353" s="2"/>
      <c r="Q353" s="5">
        <f t="shared" si="31"/>
        <v>1.3889112160667093E-2</v>
      </c>
      <c r="R353" s="13">
        <v>45838</v>
      </c>
      <c r="S353" s="2">
        <v>303.10000000000002</v>
      </c>
      <c r="T353" s="2"/>
      <c r="U353" s="2"/>
      <c r="V353" s="2"/>
      <c r="W353" s="11">
        <f t="shared" si="24"/>
        <v>303.10000000000002</v>
      </c>
      <c r="X353" s="2"/>
      <c r="Y353" s="5">
        <f t="shared" si="32"/>
        <v>-1.31882643579544E-3</v>
      </c>
      <c r="Z353" s="13">
        <v>45838</v>
      </c>
      <c r="AA353" s="2">
        <v>802.7</v>
      </c>
      <c r="AB353" s="2"/>
      <c r="AC353" s="2"/>
      <c r="AD353" s="2"/>
      <c r="AE353" s="2">
        <f t="shared" si="25"/>
        <v>802.7</v>
      </c>
      <c r="AF353" s="2"/>
      <c r="AG353" s="5">
        <f t="shared" si="33"/>
        <v>-1.2450200811415307E-3</v>
      </c>
      <c r="AH353" s="13">
        <v>45838</v>
      </c>
      <c r="AI353" s="2">
        <v>488.4</v>
      </c>
      <c r="AJ353" s="2"/>
      <c r="AK353" s="2"/>
      <c r="AL353" s="2"/>
      <c r="AM353" s="2">
        <f t="shared" si="26"/>
        <v>488.4</v>
      </c>
      <c r="AN353" s="2"/>
      <c r="AO353" s="5">
        <f t="shared" si="34"/>
        <v>-4.0866423854520164E-3</v>
      </c>
      <c r="AP353" s="13">
        <v>45838</v>
      </c>
      <c r="AQ353" s="11">
        <v>406.3</v>
      </c>
      <c r="AR353" s="2"/>
      <c r="AS353" s="2"/>
      <c r="AT353" s="2"/>
      <c r="AU353" s="11">
        <f t="shared" si="27"/>
        <v>406.3</v>
      </c>
      <c r="AV353" s="2"/>
      <c r="AW353" s="5">
        <f t="shared" si="35"/>
        <v>-1.2960200966213468E-2</v>
      </c>
      <c r="AX353" s="13">
        <v>45838</v>
      </c>
      <c r="AY353" s="2">
        <v>19.2</v>
      </c>
      <c r="AZ353" s="2"/>
      <c r="BA353" s="2"/>
      <c r="BB353" s="2"/>
      <c r="BC353" s="2">
        <f t="shared" si="28"/>
        <v>19.2</v>
      </c>
      <c r="BD353" s="2"/>
      <c r="BE353" s="5">
        <f t="shared" si="36"/>
        <v>-2.0619287202735818E-2</v>
      </c>
      <c r="BF353" s="13">
        <v>45838</v>
      </c>
      <c r="BG353" s="2">
        <v>153.5</v>
      </c>
      <c r="BH353" s="2"/>
      <c r="BI353" s="2"/>
      <c r="BJ353" s="2"/>
      <c r="BK353" s="2">
        <f t="shared" si="29"/>
        <v>153.5</v>
      </c>
      <c r="BL353" s="2"/>
      <c r="BM353" s="5">
        <f t="shared" si="37"/>
        <v>8.5051215996664251E-3</v>
      </c>
    </row>
    <row r="354" spans="1:65" ht="15.75" customHeight="1" x14ac:dyDescent="0.35">
      <c r="A354" s="675" t="s">
        <v>71</v>
      </c>
      <c r="B354" s="13">
        <v>45840</v>
      </c>
      <c r="C354" s="2">
        <v>10.1</v>
      </c>
      <c r="D354" s="2"/>
      <c r="E354" s="2"/>
      <c r="F354" s="2"/>
      <c r="G354" s="11">
        <f t="shared" si="30"/>
        <v>10.1</v>
      </c>
      <c r="H354" s="2"/>
      <c r="I354" s="5">
        <f t="shared" si="38"/>
        <v>2.0000666706669435E-2</v>
      </c>
      <c r="J354" s="13">
        <v>45840</v>
      </c>
      <c r="K354" s="2">
        <v>28.8</v>
      </c>
      <c r="L354" s="2"/>
      <c r="M354" s="2"/>
      <c r="N354" s="2"/>
      <c r="O354" s="11">
        <f t="shared" si="23"/>
        <v>28.8</v>
      </c>
      <c r="P354" s="2"/>
      <c r="Q354" s="5">
        <f t="shared" si="31"/>
        <v>-6.9204428445737952E-3</v>
      </c>
      <c r="R354" s="13">
        <v>45840</v>
      </c>
      <c r="S354" s="2">
        <v>299.89999999999998</v>
      </c>
      <c r="T354" s="2"/>
      <c r="U354" s="2"/>
      <c r="V354" s="2"/>
      <c r="W354" s="11">
        <f t="shared" si="24"/>
        <v>299.89999999999998</v>
      </c>
      <c r="X354" s="2"/>
      <c r="Y354" s="5">
        <f t="shared" si="32"/>
        <v>-1.0613698308794217E-2</v>
      </c>
      <c r="Z354" s="13">
        <v>45840</v>
      </c>
      <c r="AA354" s="2">
        <v>805.4</v>
      </c>
      <c r="AB354" s="2"/>
      <c r="AC354" s="2"/>
      <c r="AD354" s="2"/>
      <c r="AE354" s="2">
        <f t="shared" si="25"/>
        <v>805.4</v>
      </c>
      <c r="AF354" s="2"/>
      <c r="AG354" s="5">
        <f t="shared" si="33"/>
        <v>3.3580032798224517E-3</v>
      </c>
      <c r="AH354" s="13">
        <v>45840</v>
      </c>
      <c r="AI354" s="2">
        <v>487.2</v>
      </c>
      <c r="AJ354" s="2"/>
      <c r="AK354" s="2"/>
      <c r="AL354" s="2"/>
      <c r="AM354" s="2">
        <f t="shared" si="26"/>
        <v>487.2</v>
      </c>
      <c r="AN354" s="2"/>
      <c r="AO354" s="5">
        <f t="shared" si="34"/>
        <v>-2.4600258408623114E-3</v>
      </c>
      <c r="AP354" s="13">
        <v>45840</v>
      </c>
      <c r="AQ354" s="11">
        <v>410.2</v>
      </c>
      <c r="AR354" s="2"/>
      <c r="AS354" s="2"/>
      <c r="AT354" s="2"/>
      <c r="AU354" s="11">
        <f t="shared" si="27"/>
        <v>410.2</v>
      </c>
      <c r="AV354" s="2"/>
      <c r="AW354" s="5">
        <f t="shared" si="35"/>
        <v>9.5530426445991617E-3</v>
      </c>
      <c r="AX354" s="13">
        <v>45840</v>
      </c>
      <c r="AY354" s="2">
        <v>19.3</v>
      </c>
      <c r="AZ354" s="2"/>
      <c r="BA354" s="2"/>
      <c r="BB354" s="2"/>
      <c r="BC354" s="2">
        <f t="shared" si="28"/>
        <v>19.3</v>
      </c>
      <c r="BD354" s="2"/>
      <c r="BE354" s="5">
        <f t="shared" si="36"/>
        <v>5.1948168771041511E-3</v>
      </c>
      <c r="BF354" s="13">
        <v>45840</v>
      </c>
      <c r="BG354" s="2">
        <v>153.69999999999999</v>
      </c>
      <c r="BH354" s="2"/>
      <c r="BI354" s="2"/>
      <c r="BJ354" s="2"/>
      <c r="BK354" s="2">
        <f t="shared" si="29"/>
        <v>153.69999999999999</v>
      </c>
      <c r="BL354" s="2"/>
      <c r="BM354" s="5">
        <f t="shared" si="37"/>
        <v>1.3020835172982007E-3</v>
      </c>
    </row>
    <row r="355" spans="1:65" ht="15.75" customHeight="1" x14ac:dyDescent="0.35">
      <c r="A355" s="675"/>
      <c r="B355" s="13">
        <v>45841</v>
      </c>
      <c r="C355" s="2">
        <v>10.1</v>
      </c>
      <c r="D355" s="2"/>
      <c r="E355" s="2"/>
      <c r="F355" s="2"/>
      <c r="G355" s="11">
        <f t="shared" si="30"/>
        <v>10.1</v>
      </c>
      <c r="H355" s="2"/>
      <c r="I355" s="5">
        <f t="shared" si="38"/>
        <v>0</v>
      </c>
      <c r="J355" s="13">
        <v>45841</v>
      </c>
      <c r="K355" s="2">
        <v>30</v>
      </c>
      <c r="L355" s="2"/>
      <c r="M355" s="2"/>
      <c r="N355" s="2"/>
      <c r="O355" s="11">
        <f t="shared" si="23"/>
        <v>30</v>
      </c>
      <c r="P355" s="2"/>
      <c r="Q355" s="5">
        <f t="shared" si="31"/>
        <v>4.08219945202552E-2</v>
      </c>
      <c r="R355" s="13">
        <v>45841</v>
      </c>
      <c r="S355" s="2">
        <v>299</v>
      </c>
      <c r="T355" s="2"/>
      <c r="U355" s="2"/>
      <c r="V355" s="2"/>
      <c r="W355" s="11">
        <f t="shared" si="24"/>
        <v>299</v>
      </c>
      <c r="X355" s="2"/>
      <c r="Y355" s="5">
        <f t="shared" si="32"/>
        <v>-3.0055123642769104E-3</v>
      </c>
      <c r="Z355" s="13">
        <v>45841</v>
      </c>
      <c r="AA355" s="2">
        <v>806.2</v>
      </c>
      <c r="AB355" s="2"/>
      <c r="AC355" s="2"/>
      <c r="AD355" s="2"/>
      <c r="AE355" s="2">
        <f t="shared" si="25"/>
        <v>806.2</v>
      </c>
      <c r="AF355" s="2"/>
      <c r="AG355" s="5">
        <f t="shared" si="33"/>
        <v>9.9280226571177277E-4</v>
      </c>
      <c r="AH355" s="13">
        <v>45841</v>
      </c>
      <c r="AI355" s="2">
        <v>486.5</v>
      </c>
      <c r="AJ355" s="2"/>
      <c r="AK355" s="2"/>
      <c r="AL355" s="2"/>
      <c r="AM355" s="2">
        <f t="shared" si="26"/>
        <v>486.5</v>
      </c>
      <c r="AN355" s="2"/>
      <c r="AO355" s="5">
        <f t="shared" si="34"/>
        <v>-1.4378147696274715E-3</v>
      </c>
      <c r="AP355" s="13">
        <v>45841</v>
      </c>
      <c r="AQ355" s="11">
        <v>411.4</v>
      </c>
      <c r="AR355" s="2"/>
      <c r="AS355" s="2"/>
      <c r="AT355" s="2"/>
      <c r="AU355" s="11">
        <f t="shared" si="27"/>
        <v>411.4</v>
      </c>
      <c r="AV355" s="2"/>
      <c r="AW355" s="5">
        <f t="shared" si="35"/>
        <v>2.9211315805766323E-3</v>
      </c>
      <c r="AX355" s="13">
        <v>45841</v>
      </c>
      <c r="AY355" s="2">
        <v>19.100000000000001</v>
      </c>
      <c r="AZ355" s="2"/>
      <c r="BA355" s="2"/>
      <c r="BB355" s="2"/>
      <c r="BC355" s="2">
        <f t="shared" si="28"/>
        <v>19.100000000000001</v>
      </c>
      <c r="BD355" s="2"/>
      <c r="BE355" s="5">
        <f t="shared" si="36"/>
        <v>-1.0416760858255604E-2</v>
      </c>
      <c r="BF355" s="13">
        <v>45841</v>
      </c>
      <c r="BG355" s="2">
        <v>151.19999999999999</v>
      </c>
      <c r="BH355" s="2"/>
      <c r="BI355" s="2"/>
      <c r="BJ355" s="2"/>
      <c r="BK355" s="2">
        <f t="shared" si="29"/>
        <v>151.19999999999999</v>
      </c>
      <c r="BL355" s="2"/>
      <c r="BM355" s="5">
        <f t="shared" si="37"/>
        <v>-1.6399186799117501E-2</v>
      </c>
    </row>
    <row r="356" spans="1:65" ht="15.75" customHeight="1" x14ac:dyDescent="0.35">
      <c r="A356" s="675"/>
      <c r="B356" s="13">
        <v>45845</v>
      </c>
      <c r="C356" s="2">
        <v>10.3</v>
      </c>
      <c r="D356" s="2"/>
      <c r="E356" s="2"/>
      <c r="F356" s="2"/>
      <c r="G356" s="11">
        <f t="shared" si="30"/>
        <v>10.3</v>
      </c>
      <c r="H356" s="2"/>
      <c r="I356" s="5">
        <f t="shared" si="38"/>
        <v>1.9608471388376337E-2</v>
      </c>
      <c r="J356" s="13">
        <v>45845</v>
      </c>
      <c r="K356" s="2">
        <v>30.9</v>
      </c>
      <c r="L356" s="2"/>
      <c r="M356" s="2"/>
      <c r="N356" s="2"/>
      <c r="O356" s="11">
        <f t="shared" si="23"/>
        <v>30.9</v>
      </c>
      <c r="P356" s="2"/>
      <c r="Q356" s="5">
        <f t="shared" si="31"/>
        <v>2.9558802241544429E-2</v>
      </c>
      <c r="R356" s="13">
        <v>45845</v>
      </c>
      <c r="S356" s="2">
        <v>299.7</v>
      </c>
      <c r="T356" s="2"/>
      <c r="U356" s="2"/>
      <c r="V356" s="2"/>
      <c r="W356" s="11">
        <f t="shared" si="24"/>
        <v>299.7</v>
      </c>
      <c r="X356" s="2"/>
      <c r="Y356" s="5">
        <f t="shared" si="32"/>
        <v>2.3384009319311195E-3</v>
      </c>
      <c r="Z356" s="13">
        <v>45845</v>
      </c>
      <c r="AA356" s="2">
        <v>806.7</v>
      </c>
      <c r="AB356" s="2"/>
      <c r="AC356" s="2"/>
      <c r="AD356" s="2"/>
      <c r="AE356" s="2">
        <f t="shared" si="25"/>
        <v>806.7</v>
      </c>
      <c r="AF356" s="2"/>
      <c r="AG356" s="5">
        <f t="shared" si="33"/>
        <v>6.2000125986316366E-4</v>
      </c>
      <c r="AH356" s="13">
        <v>45845</v>
      </c>
      <c r="AI356" s="2">
        <v>487.5</v>
      </c>
      <c r="AJ356" s="2"/>
      <c r="AK356" s="2"/>
      <c r="AL356" s="2"/>
      <c r="AM356" s="2">
        <f t="shared" si="26"/>
        <v>487.5</v>
      </c>
      <c r="AN356" s="2"/>
      <c r="AO356" s="5">
        <f t="shared" si="34"/>
        <v>2.0533888118420066E-3</v>
      </c>
      <c r="AP356" s="13">
        <v>45845</v>
      </c>
      <c r="AQ356" s="11">
        <v>415.8</v>
      </c>
      <c r="AR356" s="2"/>
      <c r="AS356" s="2"/>
      <c r="AT356" s="2"/>
      <c r="AU356" s="11">
        <f t="shared" si="27"/>
        <v>415.8</v>
      </c>
      <c r="AV356" s="2"/>
      <c r="AW356" s="5">
        <f t="shared" si="35"/>
        <v>1.0638398205055797E-2</v>
      </c>
      <c r="AX356" s="13">
        <v>45845</v>
      </c>
      <c r="AY356" s="2">
        <v>19.5</v>
      </c>
      <c r="AZ356" s="2"/>
      <c r="BA356" s="2"/>
      <c r="BB356" s="2"/>
      <c r="BC356" s="2">
        <f t="shared" si="28"/>
        <v>19.5</v>
      </c>
      <c r="BD356" s="2"/>
      <c r="BE356" s="5">
        <f t="shared" si="36"/>
        <v>2.0726130517116952E-2</v>
      </c>
      <c r="BF356" s="13">
        <v>45845</v>
      </c>
      <c r="BG356" s="2">
        <v>153</v>
      </c>
      <c r="BH356" s="2"/>
      <c r="BI356" s="2"/>
      <c r="BJ356" s="2"/>
      <c r="BK356" s="2">
        <f t="shared" si="29"/>
        <v>153</v>
      </c>
      <c r="BL356" s="2"/>
      <c r="BM356" s="5">
        <f t="shared" si="37"/>
        <v>1.1834457647003017E-2</v>
      </c>
    </row>
    <row r="357" spans="1:65" ht="15.75" customHeight="1" x14ac:dyDescent="0.35">
      <c r="A357" s="675"/>
      <c r="B357" s="13">
        <v>45846</v>
      </c>
      <c r="C357" s="2">
        <v>10.6</v>
      </c>
      <c r="D357" s="2"/>
      <c r="E357" s="2"/>
      <c r="F357" s="2"/>
      <c r="G357" s="11">
        <f t="shared" si="30"/>
        <v>10.6</v>
      </c>
      <c r="H357" s="2"/>
      <c r="I357" s="5">
        <f t="shared" si="38"/>
        <v>2.871010588243136E-2</v>
      </c>
      <c r="J357" s="13">
        <v>45846</v>
      </c>
      <c r="K357" s="2">
        <v>31.3</v>
      </c>
      <c r="L357" s="2"/>
      <c r="M357" s="2"/>
      <c r="N357" s="2"/>
      <c r="O357" s="11">
        <f t="shared" si="23"/>
        <v>31.3</v>
      </c>
      <c r="P357" s="2"/>
      <c r="Q357" s="5">
        <f t="shared" si="31"/>
        <v>1.2861913642407822E-2</v>
      </c>
      <c r="R357" s="13">
        <v>45846</v>
      </c>
      <c r="S357" s="2">
        <v>298.7</v>
      </c>
      <c r="T357" s="2"/>
      <c r="U357" s="2"/>
      <c r="V357" s="2"/>
      <c r="W357" s="11">
        <f t="shared" si="24"/>
        <v>298.7</v>
      </c>
      <c r="X357" s="2"/>
      <c r="Y357" s="5">
        <f t="shared" si="32"/>
        <v>-3.3422491005534478E-3</v>
      </c>
      <c r="Z357" s="13">
        <v>45846</v>
      </c>
      <c r="AA357" s="2">
        <v>808.8</v>
      </c>
      <c r="AB357" s="2"/>
      <c r="AC357" s="2"/>
      <c r="AD357" s="2"/>
      <c r="AE357" s="2">
        <f t="shared" si="25"/>
        <v>808.8</v>
      </c>
      <c r="AF357" s="2"/>
      <c r="AG357" s="5">
        <f t="shared" si="33"/>
        <v>2.5998157633328862E-3</v>
      </c>
      <c r="AH357" s="13">
        <v>45846</v>
      </c>
      <c r="AI357" s="2">
        <v>489.5</v>
      </c>
      <c r="AJ357" s="2"/>
      <c r="AK357" s="2"/>
      <c r="AL357" s="2"/>
      <c r="AM357" s="2">
        <f t="shared" si="26"/>
        <v>489.5</v>
      </c>
      <c r="AN357" s="2"/>
      <c r="AO357" s="5">
        <f t="shared" si="34"/>
        <v>4.0941715326631468E-3</v>
      </c>
      <c r="AP357" s="13">
        <v>45846</v>
      </c>
      <c r="AQ357" s="11">
        <v>415.1</v>
      </c>
      <c r="AR357" s="2"/>
      <c r="AS357" s="2"/>
      <c r="AT357" s="2"/>
      <c r="AU357" s="11">
        <f t="shared" si="27"/>
        <v>415.1</v>
      </c>
      <c r="AV357" s="2"/>
      <c r="AW357" s="5">
        <f t="shared" si="35"/>
        <v>-1.6849203649194119E-3</v>
      </c>
      <c r="AX357" s="13">
        <v>45846</v>
      </c>
      <c r="AY357" s="2">
        <v>19.600000000000001</v>
      </c>
      <c r="AZ357" s="2"/>
      <c r="BA357" s="2"/>
      <c r="BB357" s="2"/>
      <c r="BC357" s="2">
        <f t="shared" si="28"/>
        <v>19.600000000000001</v>
      </c>
      <c r="BD357" s="2"/>
      <c r="BE357" s="5">
        <f t="shared" si="36"/>
        <v>5.1151006667704089E-3</v>
      </c>
      <c r="BF357" s="13">
        <v>45846</v>
      </c>
      <c r="BG357" s="2">
        <v>152.30000000000001</v>
      </c>
      <c r="BH357" s="2"/>
      <c r="BI357" s="2"/>
      <c r="BJ357" s="2"/>
      <c r="BK357" s="2">
        <f t="shared" si="29"/>
        <v>152.30000000000001</v>
      </c>
      <c r="BL357" s="2"/>
      <c r="BM357" s="5">
        <f t="shared" si="37"/>
        <v>-4.5856614913192088E-3</v>
      </c>
    </row>
    <row r="358" spans="1:65" ht="15.75" customHeight="1" x14ac:dyDescent="0.35">
      <c r="A358" s="675"/>
      <c r="B358" s="13">
        <v>45847</v>
      </c>
      <c r="C358" s="2">
        <v>10.7</v>
      </c>
      <c r="D358" s="2"/>
      <c r="E358" s="2"/>
      <c r="F358" s="2"/>
      <c r="G358" s="11">
        <f t="shared" si="30"/>
        <v>10.7</v>
      </c>
      <c r="H358" s="2"/>
      <c r="I358" s="5">
        <f t="shared" si="38"/>
        <v>9.3897403498389171E-3</v>
      </c>
      <c r="J358" s="13">
        <v>45847</v>
      </c>
      <c r="K358" s="2">
        <v>31</v>
      </c>
      <c r="L358" s="2"/>
      <c r="M358" s="2"/>
      <c r="N358" s="2"/>
      <c r="O358" s="11">
        <f t="shared" si="23"/>
        <v>31</v>
      </c>
      <c r="P358" s="2"/>
      <c r="Q358" s="5">
        <f t="shared" si="31"/>
        <v>-9.6308930609613E-3</v>
      </c>
      <c r="R358" s="13">
        <v>45847</v>
      </c>
      <c r="S358" s="2">
        <v>299.60000000000002</v>
      </c>
      <c r="T358" s="2"/>
      <c r="U358" s="2"/>
      <c r="V358" s="2"/>
      <c r="W358" s="11">
        <f t="shared" si="24"/>
        <v>299.60000000000002</v>
      </c>
      <c r="X358" s="2"/>
      <c r="Y358" s="5">
        <f t="shared" si="32"/>
        <v>3.0085264210003592E-3</v>
      </c>
      <c r="Z358" s="13">
        <v>45847</v>
      </c>
      <c r="AA358" s="2">
        <v>817.1</v>
      </c>
      <c r="AB358" s="2"/>
      <c r="AC358" s="2"/>
      <c r="AD358" s="2"/>
      <c r="AE358" s="2">
        <f t="shared" si="25"/>
        <v>817.1</v>
      </c>
      <c r="AF358" s="2"/>
      <c r="AG358" s="5">
        <f t="shared" si="33"/>
        <v>1.0209818684400202E-2</v>
      </c>
      <c r="AH358" s="13">
        <v>45847</v>
      </c>
      <c r="AI358" s="2">
        <v>490.9</v>
      </c>
      <c r="AJ358" s="2"/>
      <c r="AK358" s="2"/>
      <c r="AL358" s="2"/>
      <c r="AM358" s="2">
        <f t="shared" si="26"/>
        <v>490.9</v>
      </c>
      <c r="AN358" s="2"/>
      <c r="AO358" s="5">
        <f t="shared" si="34"/>
        <v>2.8559790934416939E-3</v>
      </c>
      <c r="AP358" s="13">
        <v>45847</v>
      </c>
      <c r="AQ358" s="11">
        <v>426.3</v>
      </c>
      <c r="AR358" s="2"/>
      <c r="AS358" s="2"/>
      <c r="AT358" s="2"/>
      <c r="AU358" s="11">
        <f t="shared" si="27"/>
        <v>426.3</v>
      </c>
      <c r="AV358" s="2"/>
      <c r="AW358" s="5">
        <f t="shared" si="35"/>
        <v>2.6623868712171542E-2</v>
      </c>
      <c r="AX358" s="13">
        <v>45847</v>
      </c>
      <c r="AY358" s="2">
        <v>20.2</v>
      </c>
      <c r="AZ358" s="2"/>
      <c r="BA358" s="2"/>
      <c r="BB358" s="2"/>
      <c r="BC358" s="2">
        <f t="shared" si="28"/>
        <v>20.2</v>
      </c>
      <c r="BD358" s="2"/>
      <c r="BE358" s="5">
        <f t="shared" si="36"/>
        <v>3.0153038170687457E-2</v>
      </c>
      <c r="BF358" s="13">
        <v>45847</v>
      </c>
      <c r="BG358" s="2">
        <v>153.6</v>
      </c>
      <c r="BH358" s="2"/>
      <c r="BI358" s="2"/>
      <c r="BJ358" s="2"/>
      <c r="BK358" s="2">
        <f t="shared" si="29"/>
        <v>153.6</v>
      </c>
      <c r="BL358" s="2"/>
      <c r="BM358" s="5">
        <f t="shared" si="37"/>
        <v>8.4995608124555835E-3</v>
      </c>
    </row>
    <row r="359" spans="1:65" ht="15.75" customHeight="1" x14ac:dyDescent="0.35">
      <c r="A359" s="675"/>
      <c r="B359" s="13">
        <v>45848</v>
      </c>
      <c r="C359" s="2">
        <v>10.8</v>
      </c>
      <c r="D359" s="2"/>
      <c r="E359" s="2"/>
      <c r="F359" s="2"/>
      <c r="G359" s="11">
        <f t="shared" si="30"/>
        <v>10.8</v>
      </c>
      <c r="H359" s="2"/>
      <c r="I359" s="5">
        <f t="shared" si="38"/>
        <v>9.3023926623136306E-3</v>
      </c>
      <c r="J359" s="13">
        <v>45848</v>
      </c>
      <c r="K359" s="2">
        <v>31</v>
      </c>
      <c r="L359" s="2"/>
      <c r="M359" s="2"/>
      <c r="N359" s="2"/>
      <c r="O359" s="11">
        <f t="shared" si="23"/>
        <v>31</v>
      </c>
      <c r="P359" s="2"/>
      <c r="Q359" s="5">
        <f t="shared" si="31"/>
        <v>0</v>
      </c>
      <c r="R359" s="13">
        <v>45848</v>
      </c>
      <c r="S359" s="2">
        <v>299.3</v>
      </c>
      <c r="T359" s="2"/>
      <c r="U359" s="2"/>
      <c r="V359" s="2"/>
      <c r="W359" s="11">
        <f t="shared" si="24"/>
        <v>299.3</v>
      </c>
      <c r="X359" s="2"/>
      <c r="Y359" s="5">
        <f t="shared" si="32"/>
        <v>-1.0018367844111763E-3</v>
      </c>
      <c r="Z359" s="13">
        <v>45848</v>
      </c>
      <c r="AA359" s="2">
        <v>830.4</v>
      </c>
      <c r="AB359" s="2"/>
      <c r="AC359" s="2"/>
      <c r="AD359" s="2"/>
      <c r="AE359" s="2">
        <f t="shared" si="25"/>
        <v>830.4</v>
      </c>
      <c r="AF359" s="2"/>
      <c r="AG359" s="5">
        <f t="shared" si="33"/>
        <v>1.6146026020962309E-2</v>
      </c>
      <c r="AH359" s="13">
        <v>45848</v>
      </c>
      <c r="AI359" s="2">
        <v>488.7</v>
      </c>
      <c r="AJ359" s="2"/>
      <c r="AK359" s="2"/>
      <c r="AL359" s="2"/>
      <c r="AM359" s="2">
        <f t="shared" si="26"/>
        <v>488.7</v>
      </c>
      <c r="AN359" s="2"/>
      <c r="AO359" s="5">
        <f t="shared" si="34"/>
        <v>-4.4916367878976857E-3</v>
      </c>
      <c r="AP359" s="13">
        <v>45848</v>
      </c>
      <c r="AQ359" s="11">
        <v>426.4</v>
      </c>
      <c r="AR359" s="2"/>
      <c r="AS359" s="2"/>
      <c r="AT359" s="2"/>
      <c r="AU359" s="11">
        <f t="shared" si="27"/>
        <v>426.4</v>
      </c>
      <c r="AV359" s="2"/>
      <c r="AW359" s="5">
        <f t="shared" si="35"/>
        <v>2.3454908047015495E-4</v>
      </c>
      <c r="AX359" s="13">
        <v>45848</v>
      </c>
      <c r="AY359" s="2">
        <v>20</v>
      </c>
      <c r="AZ359" s="2"/>
      <c r="BA359" s="2"/>
      <c r="BB359" s="2"/>
      <c r="BC359" s="2">
        <f t="shared" si="28"/>
        <v>20</v>
      </c>
      <c r="BD359" s="2"/>
      <c r="BE359" s="5">
        <f t="shared" si="36"/>
        <v>-9.950330853168092E-3</v>
      </c>
      <c r="BF359" s="13">
        <v>45848</v>
      </c>
      <c r="BG359" s="2">
        <v>157.9</v>
      </c>
      <c r="BH359" s="2"/>
      <c r="BI359" s="2"/>
      <c r="BJ359" s="2"/>
      <c r="BK359" s="2">
        <f t="shared" si="29"/>
        <v>157.9</v>
      </c>
      <c r="BL359" s="2"/>
      <c r="BM359" s="5">
        <f t="shared" si="37"/>
        <v>2.7610100548024687E-2</v>
      </c>
    </row>
    <row r="360" spans="1:65" ht="15.75" customHeight="1" x14ac:dyDescent="0.35">
      <c r="A360" s="675"/>
      <c r="B360" s="13">
        <v>45851</v>
      </c>
      <c r="C360" s="2">
        <v>10.4</v>
      </c>
      <c r="D360" s="2"/>
      <c r="E360" s="2"/>
      <c r="F360" s="2"/>
      <c r="G360" s="11">
        <f t="shared" si="30"/>
        <v>10.4</v>
      </c>
      <c r="H360" s="2"/>
      <c r="I360" s="5">
        <f t="shared" si="38"/>
        <v>-3.7740327982847086E-2</v>
      </c>
      <c r="J360" s="13">
        <v>45851</v>
      </c>
      <c r="K360" s="2">
        <v>31</v>
      </c>
      <c r="L360" s="2"/>
      <c r="M360" s="2"/>
      <c r="N360" s="2"/>
      <c r="O360" s="11">
        <f t="shared" si="23"/>
        <v>31</v>
      </c>
      <c r="P360" s="2"/>
      <c r="Q360" s="5">
        <f t="shared" si="31"/>
        <v>0</v>
      </c>
      <c r="R360" s="13">
        <v>45851</v>
      </c>
      <c r="S360" s="2">
        <v>299.7</v>
      </c>
      <c r="T360" s="2"/>
      <c r="U360" s="2"/>
      <c r="V360" s="2"/>
      <c r="W360" s="11">
        <f t="shared" si="24"/>
        <v>299.7</v>
      </c>
      <c r="X360" s="2"/>
      <c r="Y360" s="5">
        <f t="shared" si="32"/>
        <v>1.3355594639642174E-3</v>
      </c>
      <c r="Z360" s="13">
        <v>45851</v>
      </c>
      <c r="AA360" s="2">
        <v>842.8</v>
      </c>
      <c r="AB360" s="2"/>
      <c r="AC360" s="2"/>
      <c r="AD360" s="2"/>
      <c r="AE360" s="2">
        <f t="shared" si="25"/>
        <v>842.8</v>
      </c>
      <c r="AF360" s="2"/>
      <c r="AG360" s="5">
        <f t="shared" si="33"/>
        <v>1.4822169518409856E-2</v>
      </c>
      <c r="AH360" s="13">
        <v>45851</v>
      </c>
      <c r="AI360" s="2">
        <v>488.7</v>
      </c>
      <c r="AJ360" s="2"/>
      <c r="AK360" s="2"/>
      <c r="AL360" s="2"/>
      <c r="AM360" s="2">
        <f t="shared" si="26"/>
        <v>488.7</v>
      </c>
      <c r="AN360" s="2"/>
      <c r="AO360" s="5">
        <f t="shared" si="34"/>
        <v>0</v>
      </c>
      <c r="AP360" s="13">
        <v>45851</v>
      </c>
      <c r="AQ360" s="11">
        <v>421</v>
      </c>
      <c r="AR360" s="2"/>
      <c r="AS360" s="2"/>
      <c r="AT360" s="2"/>
      <c r="AU360" s="11">
        <f t="shared" si="27"/>
        <v>421</v>
      </c>
      <c r="AV360" s="2"/>
      <c r="AW360" s="5">
        <f t="shared" si="35"/>
        <v>-1.2745039169253335E-2</v>
      </c>
      <c r="AX360" s="13">
        <v>45851</v>
      </c>
      <c r="AY360" s="2">
        <v>20.5</v>
      </c>
      <c r="AZ360" s="2"/>
      <c r="BA360" s="2"/>
      <c r="BB360" s="2"/>
      <c r="BC360" s="2">
        <f t="shared" si="28"/>
        <v>20.5</v>
      </c>
      <c r="BD360" s="2"/>
      <c r="BE360" s="5">
        <f t="shared" si="36"/>
        <v>2.4692612590371414E-2</v>
      </c>
      <c r="BF360" s="13">
        <v>45851</v>
      </c>
      <c r="BG360" s="2">
        <v>159.1</v>
      </c>
      <c r="BH360" s="2"/>
      <c r="BI360" s="2"/>
      <c r="BJ360" s="2"/>
      <c r="BK360" s="2">
        <f t="shared" si="29"/>
        <v>159.1</v>
      </c>
      <c r="BL360" s="2"/>
      <c r="BM360" s="5">
        <f t="shared" si="37"/>
        <v>7.5710140821447112E-3</v>
      </c>
    </row>
    <row r="361" spans="1:65" ht="15.75" customHeight="1" x14ac:dyDescent="0.35">
      <c r="A361" s="675"/>
      <c r="B361" s="13">
        <v>45852</v>
      </c>
      <c r="C361" s="2">
        <v>10.6</v>
      </c>
      <c r="D361" s="2"/>
      <c r="E361" s="2"/>
      <c r="F361" s="2"/>
      <c r="G361" s="11">
        <f t="shared" si="30"/>
        <v>10.6</v>
      </c>
      <c r="H361" s="2"/>
      <c r="I361" s="5">
        <f t="shared" si="38"/>
        <v>1.9048194970694411E-2</v>
      </c>
      <c r="J361" s="13">
        <v>45852</v>
      </c>
      <c r="K361" s="2">
        <v>31.2</v>
      </c>
      <c r="L361" s="2"/>
      <c r="M361" s="2"/>
      <c r="N361" s="2"/>
      <c r="O361" s="11">
        <f t="shared" si="23"/>
        <v>31.2</v>
      </c>
      <c r="P361" s="2"/>
      <c r="Q361" s="5">
        <f t="shared" si="31"/>
        <v>6.4308903302903314E-3</v>
      </c>
      <c r="R361" s="13">
        <v>45852</v>
      </c>
      <c r="S361" s="2">
        <v>298</v>
      </c>
      <c r="T361" s="2"/>
      <c r="U361" s="2"/>
      <c r="V361" s="2"/>
      <c r="W361" s="11">
        <f t="shared" si="24"/>
        <v>298</v>
      </c>
      <c r="X361" s="2"/>
      <c r="Y361" s="5">
        <f t="shared" si="32"/>
        <v>-5.6884878172130584E-3</v>
      </c>
      <c r="Z361" s="13">
        <v>45852</v>
      </c>
      <c r="AA361" s="2">
        <v>848.5</v>
      </c>
      <c r="AB361" s="2"/>
      <c r="AC361" s="2"/>
      <c r="AD361" s="2"/>
      <c r="AE361" s="2">
        <f t="shared" si="25"/>
        <v>848.5</v>
      </c>
      <c r="AF361" s="2"/>
      <c r="AG361" s="5">
        <f t="shared" si="33"/>
        <v>6.7404027442470541E-3</v>
      </c>
      <c r="AH361" s="13">
        <v>45852</v>
      </c>
      <c r="AI361" s="2">
        <v>489.9</v>
      </c>
      <c r="AJ361" s="2"/>
      <c r="AK361" s="2"/>
      <c r="AL361" s="2"/>
      <c r="AM361" s="2">
        <f t="shared" si="26"/>
        <v>489.9</v>
      </c>
      <c r="AN361" s="2"/>
      <c r="AO361" s="5">
        <f t="shared" si="34"/>
        <v>2.4524843684199764E-3</v>
      </c>
      <c r="AP361" s="13">
        <v>45852</v>
      </c>
      <c r="AQ361" s="11">
        <v>422.9</v>
      </c>
      <c r="AR361" s="2"/>
      <c r="AS361" s="2"/>
      <c r="AT361" s="2"/>
      <c r="AU361" s="11">
        <f t="shared" si="27"/>
        <v>422.9</v>
      </c>
      <c r="AV361" s="2"/>
      <c r="AW361" s="5">
        <f t="shared" si="35"/>
        <v>4.5029107960615159E-3</v>
      </c>
      <c r="AX361" s="13">
        <v>45852</v>
      </c>
      <c r="AY361" s="2">
        <v>21.2</v>
      </c>
      <c r="AZ361" s="2"/>
      <c r="BA361" s="2"/>
      <c r="BB361" s="2"/>
      <c r="BC361" s="2">
        <f t="shared" si="28"/>
        <v>21.2</v>
      </c>
      <c r="BD361" s="2"/>
      <c r="BE361" s="5">
        <f t="shared" si="36"/>
        <v>3.3576295533604306E-2</v>
      </c>
      <c r="BF361" s="13">
        <v>45852</v>
      </c>
      <c r="BG361" s="2">
        <v>157.19999999999999</v>
      </c>
      <c r="BH361" s="2"/>
      <c r="BI361" s="2"/>
      <c r="BJ361" s="2"/>
      <c r="BK361" s="2">
        <f t="shared" si="29"/>
        <v>157.19999999999999</v>
      </c>
      <c r="BL361" s="2"/>
      <c r="BM361" s="5">
        <f t="shared" si="37"/>
        <v>-1.2014055348635007E-2</v>
      </c>
    </row>
    <row r="362" spans="1:65" ht="15.75" customHeight="1" x14ac:dyDescent="0.35">
      <c r="A362" s="675"/>
      <c r="B362" s="13">
        <v>45853</v>
      </c>
      <c r="C362" s="2">
        <v>10.6</v>
      </c>
      <c r="D362" s="2"/>
      <c r="E362" s="2"/>
      <c r="F362" s="2"/>
      <c r="G362" s="11">
        <f t="shared" si="30"/>
        <v>10.6</v>
      </c>
      <c r="H362" s="2"/>
      <c r="I362" s="5">
        <f t="shared" si="38"/>
        <v>0</v>
      </c>
      <c r="J362" s="13">
        <v>45853</v>
      </c>
      <c r="K362" s="2">
        <v>33.1</v>
      </c>
      <c r="L362" s="2"/>
      <c r="M362" s="2"/>
      <c r="N362" s="2"/>
      <c r="O362" s="11">
        <f t="shared" si="23"/>
        <v>33.1</v>
      </c>
      <c r="P362" s="2"/>
      <c r="Q362" s="5">
        <f t="shared" si="31"/>
        <v>5.9115187567580552E-2</v>
      </c>
      <c r="R362" s="13">
        <v>45853</v>
      </c>
      <c r="S362" s="2">
        <v>297.60000000000002</v>
      </c>
      <c r="T362" s="2"/>
      <c r="U362" s="2"/>
      <c r="V362" s="2"/>
      <c r="W362" s="11">
        <f t="shared" si="24"/>
        <v>297.60000000000002</v>
      </c>
      <c r="X362" s="2"/>
      <c r="Y362" s="5">
        <f t="shared" si="32"/>
        <v>-1.3431835464676259E-3</v>
      </c>
      <c r="Z362" s="13">
        <v>45853</v>
      </c>
      <c r="AA362" s="2">
        <v>834.2</v>
      </c>
      <c r="AB362" s="2"/>
      <c r="AC362" s="2"/>
      <c r="AD362" s="2"/>
      <c r="AE362" s="2">
        <f t="shared" si="25"/>
        <v>834.2</v>
      </c>
      <c r="AF362" s="2"/>
      <c r="AG362" s="5">
        <f t="shared" si="33"/>
        <v>-1.6996902911436115E-2</v>
      </c>
      <c r="AH362" s="13">
        <v>45853</v>
      </c>
      <c r="AI362" s="2">
        <v>488.3</v>
      </c>
      <c r="AJ362" s="2"/>
      <c r="AK362" s="2"/>
      <c r="AL362" s="2"/>
      <c r="AM362" s="2">
        <f t="shared" si="26"/>
        <v>488.3</v>
      </c>
      <c r="AN362" s="2"/>
      <c r="AO362" s="5">
        <f t="shared" si="34"/>
        <v>-3.2713175769144326E-3</v>
      </c>
      <c r="AP362" s="13">
        <v>45853</v>
      </c>
      <c r="AQ362" s="11">
        <v>422.5</v>
      </c>
      <c r="AR362" s="2"/>
      <c r="AS362" s="2"/>
      <c r="AT362" s="2"/>
      <c r="AU362" s="11">
        <f t="shared" si="27"/>
        <v>422.5</v>
      </c>
      <c r="AV362" s="2"/>
      <c r="AW362" s="5">
        <f t="shared" si="35"/>
        <v>-9.4629768121430005E-4</v>
      </c>
      <c r="AX362" s="13">
        <v>45853</v>
      </c>
      <c r="AY362" s="2">
        <v>20.5</v>
      </c>
      <c r="AZ362" s="2"/>
      <c r="BA362" s="2"/>
      <c r="BB362" s="2"/>
      <c r="BC362" s="2">
        <f t="shared" si="28"/>
        <v>20.5</v>
      </c>
      <c r="BD362" s="2"/>
      <c r="BE362" s="5">
        <f t="shared" si="36"/>
        <v>-3.3576295533604208E-2</v>
      </c>
      <c r="BF362" s="13">
        <v>45853</v>
      </c>
      <c r="BG362" s="2">
        <v>156.30000000000001</v>
      </c>
      <c r="BH362" s="2"/>
      <c r="BI362" s="2"/>
      <c r="BJ362" s="2"/>
      <c r="BK362" s="2">
        <f t="shared" si="29"/>
        <v>156.30000000000001</v>
      </c>
      <c r="BL362" s="2"/>
      <c r="BM362" s="5">
        <f t="shared" si="37"/>
        <v>-5.7416425676750588E-3</v>
      </c>
    </row>
    <row r="363" spans="1:65" ht="15.75" customHeight="1" x14ac:dyDescent="0.35">
      <c r="A363" s="675"/>
      <c r="B363" s="13">
        <v>45854</v>
      </c>
      <c r="C363" s="2">
        <v>10.6</v>
      </c>
      <c r="D363" s="2"/>
      <c r="E363" s="2"/>
      <c r="F363" s="2"/>
      <c r="G363" s="11">
        <f t="shared" si="30"/>
        <v>10.6</v>
      </c>
      <c r="H363" s="2"/>
      <c r="I363" s="5">
        <f t="shared" si="38"/>
        <v>0</v>
      </c>
      <c r="J363" s="13">
        <v>45854</v>
      </c>
      <c r="K363" s="2">
        <v>35.200000000000003</v>
      </c>
      <c r="L363" s="2"/>
      <c r="M363" s="2"/>
      <c r="N363" s="2"/>
      <c r="O363" s="11">
        <f t="shared" si="23"/>
        <v>35.200000000000003</v>
      </c>
      <c r="P363" s="2"/>
      <c r="Q363" s="5">
        <f t="shared" si="31"/>
        <v>6.1512800221034218E-2</v>
      </c>
      <c r="R363" s="13">
        <v>45854</v>
      </c>
      <c r="S363" s="2">
        <v>296.8</v>
      </c>
      <c r="T363" s="2"/>
      <c r="U363" s="2"/>
      <c r="V363" s="2"/>
      <c r="W363" s="11">
        <f t="shared" si="24"/>
        <v>296.8</v>
      </c>
      <c r="X363" s="2"/>
      <c r="Y363" s="5">
        <f t="shared" si="32"/>
        <v>-2.6917916657114146E-3</v>
      </c>
      <c r="Z363" s="13">
        <v>45854</v>
      </c>
      <c r="AA363" s="2">
        <v>818</v>
      </c>
      <c r="AB363" s="2"/>
      <c r="AC363" s="2"/>
      <c r="AD363" s="2"/>
      <c r="AE363" s="2">
        <f t="shared" si="25"/>
        <v>818</v>
      </c>
      <c r="AF363" s="2"/>
      <c r="AG363" s="5">
        <f t="shared" si="33"/>
        <v>-1.9610845160097822E-2</v>
      </c>
      <c r="AH363" s="13">
        <v>45854</v>
      </c>
      <c r="AI363" s="2">
        <v>490.2</v>
      </c>
      <c r="AJ363" s="2"/>
      <c r="AK363" s="2"/>
      <c r="AL363" s="2"/>
      <c r="AM363" s="2">
        <f t="shared" si="26"/>
        <v>490.2</v>
      </c>
      <c r="AN363" s="2"/>
      <c r="AO363" s="5">
        <f t="shared" si="34"/>
        <v>3.8835000263976122E-3</v>
      </c>
      <c r="AP363" s="13">
        <v>45854</v>
      </c>
      <c r="AQ363" s="11">
        <v>424.7</v>
      </c>
      <c r="AR363" s="2"/>
      <c r="AS363" s="2"/>
      <c r="AT363" s="2"/>
      <c r="AU363" s="11">
        <f t="shared" si="27"/>
        <v>424.7</v>
      </c>
      <c r="AV363" s="2"/>
      <c r="AW363" s="5">
        <f t="shared" si="35"/>
        <v>5.193590521996993E-3</v>
      </c>
      <c r="AX363" s="13">
        <v>45854</v>
      </c>
      <c r="AY363" s="2">
        <v>20.8</v>
      </c>
      <c r="AZ363" s="2"/>
      <c r="BA363" s="2"/>
      <c r="BB363" s="2"/>
      <c r="BC363" s="2">
        <f t="shared" si="28"/>
        <v>20.8</v>
      </c>
      <c r="BD363" s="2"/>
      <c r="BE363" s="5">
        <f t="shared" si="36"/>
        <v>1.4528100562909808E-2</v>
      </c>
      <c r="BF363" s="13">
        <v>45854</v>
      </c>
      <c r="BG363" s="2">
        <v>156.69999999999999</v>
      </c>
      <c r="BH363" s="2"/>
      <c r="BI363" s="2"/>
      <c r="BJ363" s="2"/>
      <c r="BK363" s="2">
        <f t="shared" si="29"/>
        <v>156.69999999999999</v>
      </c>
      <c r="BL363" s="2"/>
      <c r="BM363" s="5">
        <f t="shared" si="37"/>
        <v>2.5559119345440677E-3</v>
      </c>
    </row>
    <row r="364" spans="1:65" ht="15.75" customHeight="1" x14ac:dyDescent="0.35">
      <c r="A364" s="675"/>
      <c r="B364" s="13">
        <v>45855</v>
      </c>
      <c r="C364" s="2">
        <v>10.3</v>
      </c>
      <c r="D364" s="2"/>
      <c r="E364" s="2"/>
      <c r="F364" s="2"/>
      <c r="G364" s="11">
        <f t="shared" si="30"/>
        <v>10.3</v>
      </c>
      <c r="H364" s="2"/>
      <c r="I364" s="5">
        <f t="shared" si="38"/>
        <v>-2.8710105882431253E-2</v>
      </c>
      <c r="J364" s="13">
        <v>45855</v>
      </c>
      <c r="K364" s="2">
        <v>34.6</v>
      </c>
      <c r="L364" s="2"/>
      <c r="M364" s="2"/>
      <c r="N364" s="2"/>
      <c r="O364" s="11">
        <f t="shared" si="23"/>
        <v>34.6</v>
      </c>
      <c r="P364" s="2"/>
      <c r="Q364" s="5">
        <f t="shared" si="31"/>
        <v>-1.7192400540372875E-2</v>
      </c>
      <c r="R364" s="13">
        <v>45855</v>
      </c>
      <c r="S364" s="2">
        <v>300.2</v>
      </c>
      <c r="T364" s="2"/>
      <c r="U364" s="2"/>
      <c r="V364" s="2"/>
      <c r="W364" s="11">
        <f t="shared" si="24"/>
        <v>300.2</v>
      </c>
      <c r="X364" s="2"/>
      <c r="Y364" s="5">
        <f t="shared" si="32"/>
        <v>1.1390407906136201E-2</v>
      </c>
      <c r="Z364" s="13">
        <v>45855</v>
      </c>
      <c r="AA364" s="2">
        <v>838.8</v>
      </c>
      <c r="AB364" s="2"/>
      <c r="AC364" s="2"/>
      <c r="AD364" s="2"/>
      <c r="AE364" s="2">
        <f t="shared" si="25"/>
        <v>838.8</v>
      </c>
      <c r="AF364" s="2"/>
      <c r="AG364" s="5">
        <f t="shared" si="33"/>
        <v>2.5109962425017767E-2</v>
      </c>
      <c r="AH364" s="13">
        <v>45855</v>
      </c>
      <c r="AI364" s="2">
        <v>494</v>
      </c>
      <c r="AJ364" s="2"/>
      <c r="AK364" s="2"/>
      <c r="AL364" s="2"/>
      <c r="AM364" s="2">
        <f t="shared" si="26"/>
        <v>494</v>
      </c>
      <c r="AN364" s="2"/>
      <c r="AO364" s="5">
        <f t="shared" si="34"/>
        <v>7.7220460939103185E-3</v>
      </c>
      <c r="AP364" s="13">
        <v>45855</v>
      </c>
      <c r="AQ364" s="11">
        <v>427.7</v>
      </c>
      <c r="AR364" s="2"/>
      <c r="AS364" s="2"/>
      <c r="AT364" s="2"/>
      <c r="AU364" s="11">
        <f t="shared" si="27"/>
        <v>427.7</v>
      </c>
      <c r="AV364" s="2"/>
      <c r="AW364" s="5">
        <f t="shared" si="35"/>
        <v>7.0389779136375502E-3</v>
      </c>
      <c r="AX364" s="13">
        <v>45855</v>
      </c>
      <c r="AY364" s="2">
        <v>20.9</v>
      </c>
      <c r="AZ364" s="2"/>
      <c r="BA364" s="2"/>
      <c r="BB364" s="2"/>
      <c r="BC364" s="2">
        <f t="shared" si="28"/>
        <v>20.9</v>
      </c>
      <c r="BD364" s="2"/>
      <c r="BE364" s="5">
        <f t="shared" si="36"/>
        <v>4.7961722634930135E-3</v>
      </c>
      <c r="BF364" s="13">
        <v>45855</v>
      </c>
      <c r="BG364" s="2">
        <v>156</v>
      </c>
      <c r="BH364" s="2"/>
      <c r="BI364" s="2"/>
      <c r="BJ364" s="2"/>
      <c r="BK364" s="2">
        <f t="shared" si="29"/>
        <v>156</v>
      </c>
      <c r="BL364" s="2"/>
      <c r="BM364" s="5">
        <f t="shared" si="37"/>
        <v>-4.4771421124380484E-3</v>
      </c>
    </row>
    <row r="365" spans="1:65" ht="15.75" customHeight="1" x14ac:dyDescent="0.35">
      <c r="A365" s="675"/>
      <c r="B365" s="13">
        <v>45858</v>
      </c>
      <c r="C365" s="2">
        <v>10.4</v>
      </c>
      <c r="D365" s="2"/>
      <c r="E365" s="2"/>
      <c r="F365" s="2"/>
      <c r="G365" s="11">
        <f t="shared" si="30"/>
        <v>10.4</v>
      </c>
      <c r="H365" s="2"/>
      <c r="I365" s="5">
        <f t="shared" si="38"/>
        <v>9.6619109117368901E-3</v>
      </c>
      <c r="J365" s="13">
        <v>45858</v>
      </c>
      <c r="K365" s="2">
        <v>37.799999999999997</v>
      </c>
      <c r="L365" s="2"/>
      <c r="M365" s="2"/>
      <c r="N365" s="2"/>
      <c r="O365" s="11">
        <f t="shared" si="23"/>
        <v>37.799999999999997</v>
      </c>
      <c r="P365" s="2"/>
      <c r="Q365" s="5">
        <f t="shared" si="31"/>
        <v>8.8455420561863396E-2</v>
      </c>
      <c r="R365" s="13">
        <v>45858</v>
      </c>
      <c r="S365" s="2">
        <v>303</v>
      </c>
      <c r="T365" s="2"/>
      <c r="U365" s="2"/>
      <c r="V365" s="2"/>
      <c r="W365" s="11">
        <f t="shared" si="24"/>
        <v>303</v>
      </c>
      <c r="X365" s="2"/>
      <c r="Y365" s="5">
        <f t="shared" si="32"/>
        <v>9.2838863100076583E-3</v>
      </c>
      <c r="Z365" s="13">
        <v>45858</v>
      </c>
      <c r="AA365" s="2">
        <v>843.6</v>
      </c>
      <c r="AB365" s="2"/>
      <c r="AC365" s="2"/>
      <c r="AD365" s="2"/>
      <c r="AE365" s="2">
        <f t="shared" si="25"/>
        <v>843.6</v>
      </c>
      <c r="AF365" s="2"/>
      <c r="AG365" s="5">
        <f t="shared" si="33"/>
        <v>5.7061495768546888E-3</v>
      </c>
      <c r="AH365" s="13">
        <v>45858</v>
      </c>
      <c r="AI365" s="2">
        <v>516.9</v>
      </c>
      <c r="AJ365" s="2"/>
      <c r="AK365" s="2"/>
      <c r="AL365" s="2"/>
      <c r="AM365" s="2">
        <f t="shared" si="26"/>
        <v>516.9</v>
      </c>
      <c r="AN365" s="2"/>
      <c r="AO365" s="5">
        <f t="shared" si="34"/>
        <v>4.5313915014071122E-2</v>
      </c>
      <c r="AP365" s="13">
        <v>45858</v>
      </c>
      <c r="AQ365" s="11">
        <v>440</v>
      </c>
      <c r="AR365" s="2"/>
      <c r="AS365" s="2"/>
      <c r="AT365" s="2"/>
      <c r="AU365" s="11">
        <f t="shared" si="27"/>
        <v>440</v>
      </c>
      <c r="AV365" s="2"/>
      <c r="AW365" s="5">
        <f t="shared" si="35"/>
        <v>2.8352711679443993E-2</v>
      </c>
      <c r="AX365" s="13">
        <v>45858</v>
      </c>
      <c r="AY365" s="2">
        <v>21</v>
      </c>
      <c r="AZ365" s="2"/>
      <c r="BA365" s="2"/>
      <c r="BB365" s="2"/>
      <c r="BC365" s="2">
        <f t="shared" si="28"/>
        <v>21</v>
      </c>
      <c r="BD365" s="2"/>
      <c r="BE365" s="5">
        <f t="shared" si="36"/>
        <v>4.7732787526578117E-3</v>
      </c>
      <c r="BF365" s="13">
        <v>45858</v>
      </c>
      <c r="BG365" s="2">
        <v>159</v>
      </c>
      <c r="BH365" s="2"/>
      <c r="BI365" s="2"/>
      <c r="BJ365" s="2"/>
      <c r="BK365" s="2">
        <f t="shared" si="29"/>
        <v>159</v>
      </c>
      <c r="BL365" s="2"/>
      <c r="BM365" s="5">
        <f t="shared" si="37"/>
        <v>1.9048194970694411E-2</v>
      </c>
    </row>
    <row r="366" spans="1:65" ht="15.75" customHeight="1" x14ac:dyDescent="0.35">
      <c r="A366" s="675"/>
      <c r="B366" s="13">
        <v>45859</v>
      </c>
      <c r="C366" s="2">
        <v>10.5</v>
      </c>
      <c r="D366" s="2"/>
      <c r="E366" s="2"/>
      <c r="F366" s="2"/>
      <c r="G366" s="11">
        <f t="shared" si="30"/>
        <v>10.5</v>
      </c>
      <c r="H366" s="2"/>
      <c r="I366" s="5">
        <f t="shared" si="38"/>
        <v>9.5694510161506725E-3</v>
      </c>
      <c r="J366" s="13">
        <v>45859</v>
      </c>
      <c r="K366" s="2">
        <v>38</v>
      </c>
      <c r="L366" s="2"/>
      <c r="M366" s="2"/>
      <c r="N366" s="2"/>
      <c r="O366" s="11">
        <f t="shared" si="23"/>
        <v>38</v>
      </c>
      <c r="P366" s="2"/>
      <c r="Q366" s="5">
        <f t="shared" si="31"/>
        <v>5.2770571008438193E-3</v>
      </c>
      <c r="R366" s="13">
        <v>45859</v>
      </c>
      <c r="S366" s="2">
        <v>310.10000000000002</v>
      </c>
      <c r="T366" s="2"/>
      <c r="U366" s="2"/>
      <c r="V366" s="2"/>
      <c r="W366" s="11">
        <f t="shared" si="24"/>
        <v>310.10000000000002</v>
      </c>
      <c r="X366" s="2"/>
      <c r="Y366" s="5">
        <f t="shared" si="32"/>
        <v>2.3162020597034209E-2</v>
      </c>
      <c r="Z366" s="13">
        <v>45859</v>
      </c>
      <c r="AA366" s="2">
        <v>862.3</v>
      </c>
      <c r="AB366" s="2"/>
      <c r="AC366" s="2"/>
      <c r="AD366" s="2"/>
      <c r="AE366" s="2">
        <f t="shared" si="25"/>
        <v>862.3</v>
      </c>
      <c r="AF366" s="2"/>
      <c r="AG366" s="5">
        <f t="shared" si="33"/>
        <v>2.1924789353659074E-2</v>
      </c>
      <c r="AH366" s="13">
        <v>45859</v>
      </c>
      <c r="AI366" s="2">
        <v>516.4</v>
      </c>
      <c r="AJ366" s="2"/>
      <c r="AK366" s="2"/>
      <c r="AL366" s="2"/>
      <c r="AM366" s="2">
        <f t="shared" si="26"/>
        <v>516.4</v>
      </c>
      <c r="AN366" s="2"/>
      <c r="AO366" s="5">
        <f t="shared" si="34"/>
        <v>-9.6777322950621504E-4</v>
      </c>
      <c r="AP366" s="13">
        <v>45859</v>
      </c>
      <c r="AQ366" s="11">
        <v>455.6</v>
      </c>
      <c r="AR366" s="2"/>
      <c r="AS366" s="2"/>
      <c r="AT366" s="2"/>
      <c r="AU366" s="11">
        <f t="shared" si="27"/>
        <v>455.6</v>
      </c>
      <c r="AV366" s="2"/>
      <c r="AW366" s="5">
        <f t="shared" si="35"/>
        <v>3.4840504660720181E-2</v>
      </c>
      <c r="AX366" s="13">
        <v>45859</v>
      </c>
      <c r="AY366" s="2">
        <v>20.9</v>
      </c>
      <c r="AZ366" s="2"/>
      <c r="BA366" s="2"/>
      <c r="BB366" s="2"/>
      <c r="BC366" s="2">
        <f t="shared" si="28"/>
        <v>20.9</v>
      </c>
      <c r="BD366" s="2"/>
      <c r="BE366" s="5">
        <f t="shared" si="36"/>
        <v>-4.7732787526577709E-3</v>
      </c>
      <c r="BF366" s="13">
        <v>45859</v>
      </c>
      <c r="BG366" s="2">
        <v>158.4</v>
      </c>
      <c r="BH366" s="2"/>
      <c r="BI366" s="2"/>
      <c r="BJ366" s="2"/>
      <c r="BK366" s="2">
        <f t="shared" si="29"/>
        <v>158.4</v>
      </c>
      <c r="BL366" s="2"/>
      <c r="BM366" s="5">
        <f t="shared" si="37"/>
        <v>-3.7807228399060443E-3</v>
      </c>
    </row>
    <row r="367" spans="1:65" ht="15.75" customHeight="1" x14ac:dyDescent="0.35">
      <c r="A367" s="675"/>
      <c r="B367" s="13">
        <v>45860</v>
      </c>
      <c r="C367" s="2">
        <v>10.5</v>
      </c>
      <c r="D367" s="2"/>
      <c r="E367" s="2"/>
      <c r="F367" s="2"/>
      <c r="G367" s="11">
        <f t="shared" si="30"/>
        <v>10.5</v>
      </c>
      <c r="H367" s="2"/>
      <c r="I367" s="5">
        <f t="shared" si="38"/>
        <v>0</v>
      </c>
      <c r="J367" s="13">
        <v>45860</v>
      </c>
      <c r="K367" s="2">
        <v>38.299999999999997</v>
      </c>
      <c r="L367" s="2"/>
      <c r="M367" s="2"/>
      <c r="N367" s="2"/>
      <c r="O367" s="11">
        <f t="shared" si="23"/>
        <v>38.299999999999997</v>
      </c>
      <c r="P367" s="2"/>
      <c r="Q367" s="5">
        <f t="shared" si="31"/>
        <v>7.8637364602144513E-3</v>
      </c>
      <c r="R367" s="13">
        <v>45860</v>
      </c>
      <c r="S367" s="2">
        <v>313.39999999999998</v>
      </c>
      <c r="T367" s="2"/>
      <c r="U367" s="2"/>
      <c r="V367" s="2"/>
      <c r="W367" s="11">
        <f t="shared" si="24"/>
        <v>313.39999999999998</v>
      </c>
      <c r="X367" s="2"/>
      <c r="Y367" s="5">
        <f t="shared" si="32"/>
        <v>1.0585503815516975E-2</v>
      </c>
      <c r="Z367" s="13">
        <v>45860</v>
      </c>
      <c r="AA367" s="2">
        <v>879.6</v>
      </c>
      <c r="AB367" s="2"/>
      <c r="AC367" s="2"/>
      <c r="AD367" s="2"/>
      <c r="AE367" s="2">
        <f t="shared" si="25"/>
        <v>879.6</v>
      </c>
      <c r="AF367" s="2"/>
      <c r="AG367" s="5">
        <f t="shared" si="33"/>
        <v>1.9864020722327333E-2</v>
      </c>
      <c r="AH367" s="13">
        <v>45860</v>
      </c>
      <c r="AI367" s="2">
        <v>525.6</v>
      </c>
      <c r="AJ367" s="2"/>
      <c r="AK367" s="2"/>
      <c r="AL367" s="2"/>
      <c r="AM367" s="2">
        <f t="shared" si="26"/>
        <v>525.6</v>
      </c>
      <c r="AN367" s="2"/>
      <c r="AO367" s="5">
        <f t="shared" si="34"/>
        <v>1.7658808197913461E-2</v>
      </c>
      <c r="AP367" s="13">
        <v>45860</v>
      </c>
      <c r="AQ367" s="11">
        <v>468.1</v>
      </c>
      <c r="AR367" s="2"/>
      <c r="AS367" s="2"/>
      <c r="AT367" s="2"/>
      <c r="AU367" s="11">
        <f t="shared" si="27"/>
        <v>468.1</v>
      </c>
      <c r="AV367" s="2"/>
      <c r="AW367" s="5">
        <f t="shared" si="35"/>
        <v>2.7066716732997743E-2</v>
      </c>
      <c r="AX367" s="13">
        <v>45860</v>
      </c>
      <c r="AY367" s="2">
        <v>22.9</v>
      </c>
      <c r="AZ367" s="2"/>
      <c r="BA367" s="2"/>
      <c r="BB367" s="2"/>
      <c r="BC367" s="2">
        <f t="shared" si="28"/>
        <v>22.9</v>
      </c>
      <c r="BD367" s="2"/>
      <c r="BE367" s="5">
        <f t="shared" si="36"/>
        <v>9.138775158942869E-2</v>
      </c>
      <c r="BF367" s="13">
        <v>45860</v>
      </c>
      <c r="BG367" s="2">
        <v>157.9</v>
      </c>
      <c r="BH367" s="2"/>
      <c r="BI367" s="2"/>
      <c r="BJ367" s="2"/>
      <c r="BK367" s="2">
        <f t="shared" si="29"/>
        <v>157.9</v>
      </c>
      <c r="BL367" s="2"/>
      <c r="BM367" s="5">
        <f t="shared" si="37"/>
        <v>-3.1615581187290527E-3</v>
      </c>
    </row>
    <row r="368" spans="1:65" ht="15.75" customHeight="1" x14ac:dyDescent="0.35">
      <c r="A368" s="675"/>
      <c r="B368" s="13">
        <v>45861</v>
      </c>
      <c r="C368" s="2">
        <v>10.7</v>
      </c>
      <c r="D368" s="2"/>
      <c r="E368" s="2"/>
      <c r="F368" s="2"/>
      <c r="G368" s="11">
        <f t="shared" si="30"/>
        <v>10.7</v>
      </c>
      <c r="H368" s="2"/>
      <c r="I368" s="5">
        <f t="shared" si="38"/>
        <v>1.8868484304382736E-2</v>
      </c>
      <c r="J368" s="13">
        <v>45861</v>
      </c>
      <c r="K368" s="2">
        <v>38.1</v>
      </c>
      <c r="L368" s="2"/>
      <c r="M368" s="2"/>
      <c r="N368" s="2"/>
      <c r="O368" s="11">
        <f t="shared" si="23"/>
        <v>38.1</v>
      </c>
      <c r="P368" s="2"/>
      <c r="Q368" s="5">
        <f t="shared" si="31"/>
        <v>-5.2356140539449401E-3</v>
      </c>
      <c r="R368" s="13">
        <v>45861</v>
      </c>
      <c r="S368" s="2">
        <v>323.3</v>
      </c>
      <c r="T368" s="2"/>
      <c r="U368" s="2"/>
      <c r="V368" s="2"/>
      <c r="W368" s="11">
        <f t="shared" si="24"/>
        <v>323.3</v>
      </c>
      <c r="X368" s="2"/>
      <c r="Y368" s="5">
        <f t="shared" si="32"/>
        <v>3.1100354809467053E-2</v>
      </c>
      <c r="Z368" s="13">
        <v>45861</v>
      </c>
      <c r="AA368" s="2">
        <v>914</v>
      </c>
      <c r="AB368" s="2"/>
      <c r="AC368" s="2"/>
      <c r="AD368" s="2"/>
      <c r="AE368" s="2">
        <f t="shared" si="25"/>
        <v>914</v>
      </c>
      <c r="AF368" s="2"/>
      <c r="AG368" s="5">
        <f t="shared" si="33"/>
        <v>3.836331277354376E-2</v>
      </c>
      <c r="AH368" s="13">
        <v>45861</v>
      </c>
      <c r="AI368" s="2">
        <v>527.29999999999995</v>
      </c>
      <c r="AJ368" s="2"/>
      <c r="AK368" s="2"/>
      <c r="AL368" s="2"/>
      <c r="AM368" s="2">
        <f t="shared" si="26"/>
        <v>527.29999999999995</v>
      </c>
      <c r="AN368" s="2"/>
      <c r="AO368" s="5">
        <f t="shared" si="34"/>
        <v>3.2291793660231276E-3</v>
      </c>
      <c r="AP368" s="13">
        <v>45861</v>
      </c>
      <c r="AQ368" s="11">
        <v>459.6</v>
      </c>
      <c r="AR368" s="2"/>
      <c r="AS368" s="2"/>
      <c r="AT368" s="2"/>
      <c r="AU368" s="11">
        <f t="shared" si="27"/>
        <v>459.6</v>
      </c>
      <c r="AV368" s="2"/>
      <c r="AW368" s="5">
        <f t="shared" si="35"/>
        <v>-1.8325402331424313E-2</v>
      </c>
      <c r="AX368" s="13">
        <v>45861</v>
      </c>
      <c r="AY368" s="2">
        <v>23.9</v>
      </c>
      <c r="AZ368" s="2"/>
      <c r="BA368" s="2"/>
      <c r="BB368" s="2"/>
      <c r="BC368" s="2">
        <f t="shared" si="28"/>
        <v>23.9</v>
      </c>
      <c r="BD368" s="2"/>
      <c r="BE368" s="5">
        <f t="shared" si="36"/>
        <v>4.2741548377271114E-2</v>
      </c>
      <c r="BF368" s="13">
        <v>45861</v>
      </c>
      <c r="BG368" s="2">
        <v>166.8</v>
      </c>
      <c r="BH368" s="2"/>
      <c r="BI368" s="2"/>
      <c r="BJ368" s="2"/>
      <c r="BK368" s="2">
        <f t="shared" si="29"/>
        <v>166.8</v>
      </c>
      <c r="BL368" s="2"/>
      <c r="BM368" s="5">
        <f t="shared" si="37"/>
        <v>5.4833568663050093E-2</v>
      </c>
    </row>
    <row r="369" spans="1:65" ht="15.75" customHeight="1" x14ac:dyDescent="0.35">
      <c r="A369" s="675"/>
      <c r="B369" s="13">
        <v>45862</v>
      </c>
      <c r="C369" s="2">
        <v>10.7</v>
      </c>
      <c r="D369" s="2"/>
      <c r="E369" s="2"/>
      <c r="F369" s="2"/>
      <c r="G369" s="11">
        <f t="shared" si="30"/>
        <v>10.7</v>
      </c>
      <c r="H369" s="2"/>
      <c r="I369" s="5">
        <f t="shared" si="38"/>
        <v>0</v>
      </c>
      <c r="J369" s="13">
        <v>45862</v>
      </c>
      <c r="K369" s="2">
        <v>40.9</v>
      </c>
      <c r="L369" s="2"/>
      <c r="M369" s="2"/>
      <c r="N369" s="2"/>
      <c r="O369" s="11">
        <f t="shared" si="23"/>
        <v>40.9</v>
      </c>
      <c r="P369" s="2"/>
      <c r="Q369" s="5">
        <f t="shared" si="31"/>
        <v>7.0915780916100735E-2</v>
      </c>
      <c r="R369" s="13">
        <v>45862</v>
      </c>
      <c r="S369" s="2">
        <v>321.10000000000002</v>
      </c>
      <c r="T369" s="2"/>
      <c r="U369" s="2"/>
      <c r="V369" s="2"/>
      <c r="W369" s="11">
        <f t="shared" si="24"/>
        <v>321.10000000000002</v>
      </c>
      <c r="X369" s="2"/>
      <c r="Y369" s="5">
        <f t="shared" si="32"/>
        <v>-6.8280836359190886E-3</v>
      </c>
      <c r="Z369" s="13">
        <v>45862</v>
      </c>
      <c r="AA369" s="2">
        <v>907.3</v>
      </c>
      <c r="AB369" s="2"/>
      <c r="AC369" s="2"/>
      <c r="AD369" s="2"/>
      <c r="AE369" s="2">
        <f t="shared" si="25"/>
        <v>907.3</v>
      </c>
      <c r="AF369" s="2"/>
      <c r="AG369" s="5">
        <f t="shared" si="33"/>
        <v>-7.3574152785667963E-3</v>
      </c>
      <c r="AH369" s="13">
        <v>45862</v>
      </c>
      <c r="AI369" s="2">
        <v>530.29999999999995</v>
      </c>
      <c r="AJ369" s="2"/>
      <c r="AK369" s="2"/>
      <c r="AL369" s="2"/>
      <c r="AM369" s="2">
        <f t="shared" si="26"/>
        <v>530.29999999999995</v>
      </c>
      <c r="AN369" s="2"/>
      <c r="AO369" s="5">
        <f t="shared" si="34"/>
        <v>5.6732376066601573E-3</v>
      </c>
      <c r="AP369" s="13">
        <v>45862</v>
      </c>
      <c r="AQ369" s="11">
        <v>459.7</v>
      </c>
      <c r="AR369" s="2"/>
      <c r="AS369" s="2"/>
      <c r="AT369" s="2"/>
      <c r="AU369" s="11">
        <f t="shared" si="27"/>
        <v>459.7</v>
      </c>
      <c r="AV369" s="2"/>
      <c r="AW369" s="5">
        <f t="shared" si="35"/>
        <v>2.1755683758151753E-4</v>
      </c>
      <c r="AX369" s="13">
        <v>45862</v>
      </c>
      <c r="AY369" s="2">
        <v>23</v>
      </c>
      <c r="AZ369" s="2"/>
      <c r="BA369" s="2"/>
      <c r="BB369" s="2"/>
      <c r="BC369" s="2">
        <f t="shared" si="28"/>
        <v>23</v>
      </c>
      <c r="BD369" s="2"/>
      <c r="BE369" s="5">
        <f t="shared" si="36"/>
        <v>-3.8384243008315222E-2</v>
      </c>
      <c r="BF369" s="13">
        <v>45862</v>
      </c>
      <c r="BG369" s="2">
        <v>163.6</v>
      </c>
      <c r="BH369" s="2"/>
      <c r="BI369" s="2"/>
      <c r="BJ369" s="2"/>
      <c r="BK369" s="2">
        <f t="shared" si="29"/>
        <v>163.6</v>
      </c>
      <c r="BL369" s="2"/>
      <c r="BM369" s="5">
        <f t="shared" si="37"/>
        <v>-1.9371065755999808E-2</v>
      </c>
    </row>
    <row r="370" spans="1:65" ht="15.75" customHeight="1" x14ac:dyDescent="0.35">
      <c r="A370" s="675"/>
      <c r="B370" s="13">
        <v>45865</v>
      </c>
      <c r="C370" s="2">
        <v>11.2</v>
      </c>
      <c r="D370" s="2"/>
      <c r="E370" s="2"/>
      <c r="F370" s="2"/>
      <c r="G370" s="11">
        <f t="shared" si="30"/>
        <v>11.2</v>
      </c>
      <c r="H370" s="2"/>
      <c r="I370" s="5">
        <f t="shared" si="38"/>
        <v>4.5670036833188266E-2</v>
      </c>
      <c r="J370" s="13">
        <v>45865</v>
      </c>
      <c r="K370" s="2">
        <v>40.700000000000003</v>
      </c>
      <c r="L370" s="2"/>
      <c r="M370" s="2"/>
      <c r="N370" s="2"/>
      <c r="O370" s="11">
        <f t="shared" si="23"/>
        <v>40.700000000000003</v>
      </c>
      <c r="P370" s="2"/>
      <c r="Q370" s="5">
        <f t="shared" si="31"/>
        <v>-4.9019706002066685E-3</v>
      </c>
      <c r="R370" s="13">
        <v>45865</v>
      </c>
      <c r="S370" s="2">
        <v>320.8</v>
      </c>
      <c r="T370" s="2"/>
      <c r="U370" s="2"/>
      <c r="V370" s="2"/>
      <c r="W370" s="11">
        <f t="shared" si="24"/>
        <v>320.8</v>
      </c>
      <c r="X370" s="2"/>
      <c r="Y370" s="5">
        <f t="shared" si="32"/>
        <v>-9.3472510310886961E-4</v>
      </c>
      <c r="Z370" s="13">
        <v>45865</v>
      </c>
      <c r="AA370" s="2">
        <v>905.3</v>
      </c>
      <c r="AB370" s="2"/>
      <c r="AC370" s="2"/>
      <c r="AD370" s="2"/>
      <c r="AE370" s="2">
        <f t="shared" si="25"/>
        <v>905.3</v>
      </c>
      <c r="AF370" s="2"/>
      <c r="AG370" s="5">
        <f t="shared" si="33"/>
        <v>-2.206775694188581E-3</v>
      </c>
      <c r="AH370" s="13">
        <v>45865</v>
      </c>
      <c r="AI370" s="2">
        <v>526.6</v>
      </c>
      <c r="AJ370" s="2"/>
      <c r="AK370" s="2"/>
      <c r="AL370" s="2"/>
      <c r="AM370" s="2">
        <f t="shared" si="26"/>
        <v>526.6</v>
      </c>
      <c r="AN370" s="2"/>
      <c r="AO370" s="5">
        <f t="shared" si="34"/>
        <v>-7.0016370808751319E-3</v>
      </c>
      <c r="AP370" s="13">
        <v>45865</v>
      </c>
      <c r="AQ370" s="11">
        <v>454.6</v>
      </c>
      <c r="AR370" s="2"/>
      <c r="AS370" s="2"/>
      <c r="AT370" s="2"/>
      <c r="AU370" s="11">
        <f t="shared" si="27"/>
        <v>454.6</v>
      </c>
      <c r="AV370" s="2"/>
      <c r="AW370" s="5">
        <f t="shared" si="35"/>
        <v>-1.1156191393739372E-2</v>
      </c>
      <c r="AX370" s="13">
        <v>45865</v>
      </c>
      <c r="AY370" s="2">
        <v>22.4</v>
      </c>
      <c r="AZ370" s="2"/>
      <c r="BA370" s="2"/>
      <c r="BB370" s="2"/>
      <c r="BC370" s="2">
        <f t="shared" si="28"/>
        <v>22.4</v>
      </c>
      <c r="BD370" s="2"/>
      <c r="BE370" s="5">
        <f t="shared" si="36"/>
        <v>-2.6433257068155597E-2</v>
      </c>
      <c r="BF370" s="13">
        <v>45865</v>
      </c>
      <c r="BG370" s="2">
        <v>161.80000000000001</v>
      </c>
      <c r="BH370" s="2"/>
      <c r="BI370" s="2"/>
      <c r="BJ370" s="2"/>
      <c r="BK370" s="2">
        <f t="shared" si="29"/>
        <v>161.80000000000001</v>
      </c>
      <c r="BL370" s="2"/>
      <c r="BM370" s="5">
        <f t="shared" si="37"/>
        <v>-1.106341954425522E-2</v>
      </c>
    </row>
    <row r="371" spans="1:65" ht="15.75" customHeight="1" x14ac:dyDescent="0.35">
      <c r="A371" s="675"/>
      <c r="B371" s="13">
        <v>45866</v>
      </c>
      <c r="C371" s="2">
        <v>10.7</v>
      </c>
      <c r="D371" s="2"/>
      <c r="E371" s="2"/>
      <c r="F371" s="2"/>
      <c r="G371" s="11">
        <f t="shared" si="30"/>
        <v>10.7</v>
      </c>
      <c r="H371" s="2"/>
      <c r="I371" s="5">
        <f t="shared" si="38"/>
        <v>-4.5670036833188321E-2</v>
      </c>
      <c r="J371" s="13">
        <v>45866</v>
      </c>
      <c r="K371" s="2">
        <v>40.9</v>
      </c>
      <c r="L371" s="2"/>
      <c r="M371" s="2"/>
      <c r="N371" s="2"/>
      <c r="O371" s="11">
        <f t="shared" si="23"/>
        <v>40.9</v>
      </c>
      <c r="P371" s="2"/>
      <c r="Q371" s="5">
        <f t="shared" si="31"/>
        <v>4.9019706002066876E-3</v>
      </c>
      <c r="R371" s="13">
        <v>45866</v>
      </c>
      <c r="S371" s="2">
        <v>319.3</v>
      </c>
      <c r="T371" s="2"/>
      <c r="U371" s="2"/>
      <c r="V371" s="2"/>
      <c r="W371" s="11">
        <f t="shared" si="24"/>
        <v>319.3</v>
      </c>
      <c r="X371" s="2"/>
      <c r="Y371" s="5">
        <f t="shared" si="32"/>
        <v>-4.6867762716231252E-3</v>
      </c>
      <c r="Z371" s="13">
        <v>45866</v>
      </c>
      <c r="AA371" s="2">
        <v>900.2</v>
      </c>
      <c r="AB371" s="2"/>
      <c r="AC371" s="2"/>
      <c r="AD371" s="2"/>
      <c r="AE371" s="2">
        <f t="shared" si="25"/>
        <v>900.2</v>
      </c>
      <c r="AF371" s="2"/>
      <c r="AG371" s="5">
        <f t="shared" si="33"/>
        <v>-5.6494196225622007E-3</v>
      </c>
      <c r="AH371" s="13">
        <v>45866</v>
      </c>
      <c r="AI371" s="2">
        <v>516.70000000000005</v>
      </c>
      <c r="AJ371" s="2"/>
      <c r="AK371" s="2"/>
      <c r="AL371" s="2"/>
      <c r="AM371" s="2">
        <f t="shared" si="26"/>
        <v>516.70000000000005</v>
      </c>
      <c r="AN371" s="2"/>
      <c r="AO371" s="5">
        <f t="shared" si="34"/>
        <v>-1.8978811769070007E-2</v>
      </c>
      <c r="AP371" s="13">
        <v>45866</v>
      </c>
      <c r="AQ371" s="11">
        <v>453.9</v>
      </c>
      <c r="AR371" s="2"/>
      <c r="AS371" s="2"/>
      <c r="AT371" s="2"/>
      <c r="AU371" s="11">
        <f t="shared" si="27"/>
        <v>453.9</v>
      </c>
      <c r="AV371" s="2"/>
      <c r="AW371" s="5">
        <f t="shared" si="35"/>
        <v>-1.5410019560229565E-3</v>
      </c>
      <c r="AX371" s="13">
        <v>45866</v>
      </c>
      <c r="AY371" s="2">
        <v>21.6</v>
      </c>
      <c r="AZ371" s="2"/>
      <c r="BA371" s="2"/>
      <c r="BB371" s="2"/>
      <c r="BC371" s="2">
        <f t="shared" si="28"/>
        <v>21.6</v>
      </c>
      <c r="BD371" s="2"/>
      <c r="BE371" s="5">
        <f t="shared" si="36"/>
        <v>-3.6367644170874715E-2</v>
      </c>
      <c r="BF371" s="13">
        <v>45866</v>
      </c>
      <c r="BG371" s="2">
        <v>160</v>
      </c>
      <c r="BH371" s="2"/>
      <c r="BI371" s="2"/>
      <c r="BJ371" s="2"/>
      <c r="BK371" s="2">
        <f t="shared" si="29"/>
        <v>160</v>
      </c>
      <c r="BL371" s="2"/>
      <c r="BM371" s="5">
        <f t="shared" si="37"/>
        <v>-1.1187189390564494E-2</v>
      </c>
    </row>
    <row r="372" spans="1:65" ht="15.75" customHeight="1" x14ac:dyDescent="0.35">
      <c r="A372" s="675"/>
      <c r="B372" s="13">
        <v>45867</v>
      </c>
      <c r="C372" s="2">
        <v>10.4</v>
      </c>
      <c r="D372" s="2"/>
      <c r="E372" s="2"/>
      <c r="F372" s="2"/>
      <c r="G372" s="11">
        <f t="shared" si="30"/>
        <v>10.4</v>
      </c>
      <c r="H372" s="2"/>
      <c r="I372" s="5">
        <f t="shared" si="38"/>
        <v>-2.8437935320533399E-2</v>
      </c>
      <c r="J372" s="13">
        <v>45867</v>
      </c>
      <c r="K372" s="2">
        <v>40.6</v>
      </c>
      <c r="L372" s="2"/>
      <c r="M372" s="2"/>
      <c r="N372" s="2"/>
      <c r="O372" s="11">
        <f t="shared" si="23"/>
        <v>40.6</v>
      </c>
      <c r="P372" s="2"/>
      <c r="Q372" s="5">
        <f t="shared" si="31"/>
        <v>-7.3619964410690823E-3</v>
      </c>
      <c r="R372" s="13">
        <v>45867</v>
      </c>
      <c r="S372" s="2">
        <v>312.2</v>
      </c>
      <c r="T372" s="2"/>
      <c r="U372" s="2"/>
      <c r="V372" s="2"/>
      <c r="W372" s="11">
        <f t="shared" si="24"/>
        <v>312.2</v>
      </c>
      <c r="X372" s="2"/>
      <c r="Y372" s="5">
        <f t="shared" si="32"/>
        <v>-2.248709163940469E-2</v>
      </c>
      <c r="Z372" s="13">
        <v>45867</v>
      </c>
      <c r="AA372" s="2">
        <v>915.6</v>
      </c>
      <c r="AB372" s="2"/>
      <c r="AC372" s="2"/>
      <c r="AD372" s="2"/>
      <c r="AE372" s="2">
        <f t="shared" si="25"/>
        <v>915.6</v>
      </c>
      <c r="AF372" s="2"/>
      <c r="AG372" s="5">
        <f t="shared" si="33"/>
        <v>1.6962627219579231E-2</v>
      </c>
      <c r="AH372" s="13">
        <v>45867</v>
      </c>
      <c r="AI372" s="2">
        <v>511.3</v>
      </c>
      <c r="AJ372" s="2"/>
      <c r="AK372" s="2"/>
      <c r="AL372" s="2"/>
      <c r="AM372" s="2">
        <f t="shared" si="26"/>
        <v>511.3</v>
      </c>
      <c r="AN372" s="2"/>
      <c r="AO372" s="5">
        <f t="shared" si="34"/>
        <v>-1.050593320718546E-2</v>
      </c>
      <c r="AP372" s="13">
        <v>45867</v>
      </c>
      <c r="AQ372" s="11">
        <v>446.2</v>
      </c>
      <c r="AR372" s="2"/>
      <c r="AS372" s="2"/>
      <c r="AT372" s="2"/>
      <c r="AU372" s="11">
        <f t="shared" si="27"/>
        <v>446.2</v>
      </c>
      <c r="AV372" s="2"/>
      <c r="AW372" s="5">
        <f t="shared" si="35"/>
        <v>-1.7109627463987729E-2</v>
      </c>
      <c r="AX372" s="13">
        <v>45867</v>
      </c>
      <c r="AY372" s="2">
        <v>22</v>
      </c>
      <c r="AZ372" s="2"/>
      <c r="BA372" s="2"/>
      <c r="BB372" s="2"/>
      <c r="BC372" s="2">
        <f t="shared" si="28"/>
        <v>22</v>
      </c>
      <c r="BD372" s="2"/>
      <c r="BE372" s="5">
        <f t="shared" si="36"/>
        <v>1.8349138668196398E-2</v>
      </c>
      <c r="BF372" s="13">
        <v>45867</v>
      </c>
      <c r="BG372" s="2">
        <v>161.80000000000001</v>
      </c>
      <c r="BH372" s="2"/>
      <c r="BI372" s="2"/>
      <c r="BJ372" s="2"/>
      <c r="BK372" s="2">
        <f t="shared" si="29"/>
        <v>161.80000000000001</v>
      </c>
      <c r="BL372" s="2"/>
      <c r="BM372" s="5">
        <f t="shared" si="37"/>
        <v>1.1187189390564376E-2</v>
      </c>
    </row>
    <row r="373" spans="1:65" ht="15.75" customHeight="1" x14ac:dyDescent="0.35">
      <c r="A373" s="675"/>
      <c r="B373" s="13">
        <v>45868</v>
      </c>
      <c r="C373" s="2">
        <v>10.3</v>
      </c>
      <c r="D373" s="2"/>
      <c r="E373" s="2"/>
      <c r="F373" s="2"/>
      <c r="G373" s="11">
        <f t="shared" si="30"/>
        <v>10.3</v>
      </c>
      <c r="H373" s="2"/>
      <c r="I373" s="5">
        <f t="shared" si="38"/>
        <v>-9.6619109117368589E-3</v>
      </c>
      <c r="J373" s="13">
        <v>45868</v>
      </c>
      <c r="K373" s="2">
        <v>41.7</v>
      </c>
      <c r="L373" s="2"/>
      <c r="M373" s="2"/>
      <c r="N373" s="2"/>
      <c r="O373" s="11">
        <f t="shared" si="23"/>
        <v>41.7</v>
      </c>
      <c r="P373" s="2"/>
      <c r="Q373" s="5">
        <f t="shared" si="31"/>
        <v>2.6733062197068936E-2</v>
      </c>
      <c r="R373" s="13">
        <v>45868</v>
      </c>
      <c r="S373" s="2">
        <v>312.7</v>
      </c>
      <c r="T373" s="2"/>
      <c r="U373" s="2"/>
      <c r="V373" s="2"/>
      <c r="W373" s="11">
        <f t="shared" si="24"/>
        <v>312.7</v>
      </c>
      <c r="X373" s="2"/>
      <c r="Y373" s="5">
        <f t="shared" si="32"/>
        <v>1.6002563824639954E-3</v>
      </c>
      <c r="Z373" s="13">
        <v>45868</v>
      </c>
      <c r="AA373" s="2">
        <v>921.3</v>
      </c>
      <c r="AB373" s="2"/>
      <c r="AC373" s="2"/>
      <c r="AD373" s="2"/>
      <c r="AE373" s="2">
        <f t="shared" si="25"/>
        <v>921.3</v>
      </c>
      <c r="AF373" s="2"/>
      <c r="AG373" s="5">
        <f t="shared" si="33"/>
        <v>6.206128036474746E-3</v>
      </c>
      <c r="AH373" s="13">
        <v>45868</v>
      </c>
      <c r="AI373" s="2">
        <v>512.1</v>
      </c>
      <c r="AJ373" s="2"/>
      <c r="AK373" s="2"/>
      <c r="AL373" s="2"/>
      <c r="AM373" s="2">
        <f t="shared" si="26"/>
        <v>512.1</v>
      </c>
      <c r="AN373" s="2"/>
      <c r="AO373" s="5">
        <f t="shared" si="34"/>
        <v>1.563416382551178E-3</v>
      </c>
      <c r="AP373" s="13">
        <v>45868</v>
      </c>
      <c r="AQ373" s="11">
        <v>443.8</v>
      </c>
      <c r="AR373" s="2"/>
      <c r="AS373" s="2"/>
      <c r="AT373" s="2"/>
      <c r="AU373" s="11">
        <f t="shared" si="27"/>
        <v>443.8</v>
      </c>
      <c r="AV373" s="2"/>
      <c r="AW373" s="5">
        <f t="shared" si="35"/>
        <v>-5.3932714999385643E-3</v>
      </c>
      <c r="AX373" s="13">
        <v>45868</v>
      </c>
      <c r="AY373" s="2">
        <v>22</v>
      </c>
      <c r="AZ373" s="2"/>
      <c r="BA373" s="2"/>
      <c r="BB373" s="2"/>
      <c r="BC373" s="2">
        <f t="shared" si="28"/>
        <v>22</v>
      </c>
      <c r="BD373" s="2"/>
      <c r="BE373" s="5">
        <f t="shared" si="36"/>
        <v>0</v>
      </c>
      <c r="BF373" s="13">
        <v>45868</v>
      </c>
      <c r="BG373" s="2">
        <v>161.69999999999999</v>
      </c>
      <c r="BH373" s="2"/>
      <c r="BI373" s="2"/>
      <c r="BJ373" s="2"/>
      <c r="BK373" s="2">
        <f t="shared" si="29"/>
        <v>161.69999999999999</v>
      </c>
      <c r="BL373" s="2"/>
      <c r="BM373" s="5">
        <f t="shared" si="37"/>
        <v>-6.1823804133028827E-4</v>
      </c>
    </row>
    <row r="374" spans="1:65" ht="15.75" customHeight="1" x14ac:dyDescent="0.35">
      <c r="A374" s="675"/>
      <c r="B374" s="13">
        <v>45869</v>
      </c>
      <c r="C374" s="2">
        <v>10.8</v>
      </c>
      <c r="D374" s="2"/>
      <c r="E374" s="2"/>
      <c r="F374" s="2"/>
      <c r="G374" s="11">
        <f t="shared" si="30"/>
        <v>10.8</v>
      </c>
      <c r="H374" s="2"/>
      <c r="I374" s="5">
        <f t="shared" si="38"/>
        <v>4.7402238894583899E-2</v>
      </c>
      <c r="J374" s="13">
        <v>45869</v>
      </c>
      <c r="K374" s="2">
        <v>42.4</v>
      </c>
      <c r="L374" s="2"/>
      <c r="M374" s="2"/>
      <c r="N374" s="2"/>
      <c r="O374" s="11">
        <f t="shared" si="23"/>
        <v>42.4</v>
      </c>
      <c r="P374" s="2"/>
      <c r="Q374" s="5">
        <f t="shared" si="31"/>
        <v>1.664723343315621E-2</v>
      </c>
      <c r="R374" s="13">
        <v>45869</v>
      </c>
      <c r="S374" s="2">
        <v>313</v>
      </c>
      <c r="T374" s="2"/>
      <c r="U374" s="2"/>
      <c r="V374" s="2"/>
      <c r="W374" s="11">
        <f t="shared" si="24"/>
        <v>313</v>
      </c>
      <c r="X374" s="2"/>
      <c r="Y374" s="5">
        <f t="shared" si="32"/>
        <v>9.589260763577473E-4</v>
      </c>
      <c r="Z374" s="13">
        <v>45869</v>
      </c>
      <c r="AA374" s="2">
        <v>874.5</v>
      </c>
      <c r="AB374" s="2"/>
      <c r="AC374" s="2"/>
      <c r="AD374" s="2"/>
      <c r="AE374" s="2">
        <f t="shared" si="25"/>
        <v>874.5</v>
      </c>
      <c r="AF374" s="2"/>
      <c r="AG374" s="5">
        <f t="shared" si="33"/>
        <v>-5.2133421656229514E-2</v>
      </c>
      <c r="AH374" s="13">
        <v>45869</v>
      </c>
      <c r="AI374" s="2">
        <v>510.9</v>
      </c>
      <c r="AJ374" s="2"/>
      <c r="AK374" s="2"/>
      <c r="AL374" s="2"/>
      <c r="AM374" s="2">
        <f t="shared" si="26"/>
        <v>510.9</v>
      </c>
      <c r="AN374" s="2"/>
      <c r="AO374" s="5">
        <f t="shared" si="34"/>
        <v>-2.3460421317524267E-3</v>
      </c>
      <c r="AP374" s="13">
        <v>45869</v>
      </c>
      <c r="AQ374" s="11">
        <v>454.3</v>
      </c>
      <c r="AR374" s="2"/>
      <c r="AS374" s="2"/>
      <c r="AT374" s="2"/>
      <c r="AU374" s="11">
        <f t="shared" si="27"/>
        <v>454.3</v>
      </c>
      <c r="AV374" s="2"/>
      <c r="AW374" s="5">
        <f t="shared" si="35"/>
        <v>2.3383762266864144E-2</v>
      </c>
      <c r="AX374" s="13">
        <v>45869</v>
      </c>
      <c r="AY374" s="2">
        <v>21.9</v>
      </c>
      <c r="AZ374" s="2"/>
      <c r="BA374" s="2"/>
      <c r="BB374" s="2"/>
      <c r="BC374" s="2">
        <f t="shared" si="28"/>
        <v>21.9</v>
      </c>
      <c r="BD374" s="2"/>
      <c r="BE374" s="5">
        <f t="shared" si="36"/>
        <v>-4.5558165358608018E-3</v>
      </c>
      <c r="BF374" s="13">
        <v>45869</v>
      </c>
      <c r="BG374" s="2">
        <v>166.9</v>
      </c>
      <c r="BH374" s="2"/>
      <c r="BI374" s="2"/>
      <c r="BJ374" s="2"/>
      <c r="BK374" s="2">
        <f t="shared" si="29"/>
        <v>166.9</v>
      </c>
      <c r="BL374" s="2"/>
      <c r="BM374" s="5">
        <f t="shared" si="37"/>
        <v>3.1652064084728343E-2</v>
      </c>
    </row>
    <row r="375" spans="1:65" ht="15.75" customHeight="1" x14ac:dyDescent="0.35">
      <c r="A375" s="675"/>
      <c r="B375" s="13">
        <v>45872</v>
      </c>
      <c r="C375" s="2">
        <v>11.6</v>
      </c>
      <c r="D375" s="2"/>
      <c r="E375" s="2"/>
      <c r="F375" s="2"/>
      <c r="G375" s="11">
        <f t="shared" si="30"/>
        <v>11.6</v>
      </c>
      <c r="H375" s="2"/>
      <c r="I375" s="5">
        <f t="shared" si="38"/>
        <v>7.1458963982144852E-2</v>
      </c>
      <c r="J375" s="13">
        <v>45872</v>
      </c>
      <c r="K375" s="2">
        <v>42.4</v>
      </c>
      <c r="L375" s="2"/>
      <c r="M375" s="2"/>
      <c r="N375" s="2"/>
      <c r="O375" s="11">
        <f t="shared" si="23"/>
        <v>42.4</v>
      </c>
      <c r="P375" s="2"/>
      <c r="Q375" s="5">
        <f t="shared" si="31"/>
        <v>0</v>
      </c>
      <c r="R375" s="13">
        <v>45872</v>
      </c>
      <c r="S375" s="2">
        <v>318.5</v>
      </c>
      <c r="T375" s="2"/>
      <c r="U375" s="2"/>
      <c r="V375" s="2"/>
      <c r="W375" s="11">
        <f t="shared" si="24"/>
        <v>318.5</v>
      </c>
      <c r="X375" s="2"/>
      <c r="Y375" s="5">
        <f t="shared" si="32"/>
        <v>1.741928447206488E-2</v>
      </c>
      <c r="Z375" s="13">
        <v>45872</v>
      </c>
      <c r="AA375" s="2">
        <v>875.9</v>
      </c>
      <c r="AB375" s="2"/>
      <c r="AC375" s="2"/>
      <c r="AD375" s="2"/>
      <c r="AE375" s="2">
        <f t="shared" si="25"/>
        <v>875.9</v>
      </c>
      <c r="AF375" s="2"/>
      <c r="AG375" s="5">
        <f t="shared" si="33"/>
        <v>1.5996347103864733E-3</v>
      </c>
      <c r="AH375" s="13">
        <v>45872</v>
      </c>
      <c r="AI375" s="2">
        <v>511.9</v>
      </c>
      <c r="AJ375" s="2"/>
      <c r="AK375" s="2"/>
      <c r="AL375" s="2"/>
      <c r="AM375" s="2">
        <f t="shared" si="26"/>
        <v>511.9</v>
      </c>
      <c r="AN375" s="2"/>
      <c r="AO375" s="5">
        <f t="shared" si="34"/>
        <v>1.9554171267852022E-3</v>
      </c>
      <c r="AP375" s="13">
        <v>45872</v>
      </c>
      <c r="AQ375" s="11">
        <v>461.5</v>
      </c>
      <c r="AR375" s="2"/>
      <c r="AS375" s="2"/>
      <c r="AT375" s="2"/>
      <c r="AU375" s="11">
        <f t="shared" si="27"/>
        <v>461.5</v>
      </c>
      <c r="AV375" s="2"/>
      <c r="AW375" s="5">
        <f t="shared" si="35"/>
        <v>1.5724281177549256E-2</v>
      </c>
      <c r="AX375" s="13">
        <v>45872</v>
      </c>
      <c r="AY375" s="2">
        <v>23.3</v>
      </c>
      <c r="AZ375" s="2"/>
      <c r="BA375" s="2"/>
      <c r="BB375" s="2"/>
      <c r="BC375" s="2">
        <f t="shared" si="28"/>
        <v>23.3</v>
      </c>
      <c r="BD375" s="2"/>
      <c r="BE375" s="5">
        <f t="shared" si="36"/>
        <v>6.1966723749199842E-2</v>
      </c>
      <c r="BF375" s="13">
        <v>45872</v>
      </c>
      <c r="BG375" s="2">
        <v>172.9</v>
      </c>
      <c r="BH375" s="2"/>
      <c r="BI375" s="2"/>
      <c r="BJ375" s="2"/>
      <c r="BK375" s="2">
        <f t="shared" si="29"/>
        <v>172.9</v>
      </c>
      <c r="BL375" s="2"/>
      <c r="BM375" s="5">
        <f t="shared" si="37"/>
        <v>3.5318562021455321E-2</v>
      </c>
    </row>
    <row r="376" spans="1:65" ht="15.75" customHeight="1" x14ac:dyDescent="0.35">
      <c r="A376" s="675"/>
      <c r="B376" s="13">
        <v>45873</v>
      </c>
      <c r="C376" s="2">
        <v>11</v>
      </c>
      <c r="D376" s="2"/>
      <c r="E376" s="2"/>
      <c r="F376" s="2"/>
      <c r="G376" s="11">
        <f t="shared" si="30"/>
        <v>11</v>
      </c>
      <c r="H376" s="2"/>
      <c r="I376" s="5">
        <f t="shared" si="38"/>
        <v>-5.3109825313948408E-2</v>
      </c>
      <c r="J376" s="13">
        <v>45873</v>
      </c>
      <c r="K376" s="2">
        <v>41</v>
      </c>
      <c r="L376" s="2"/>
      <c r="M376" s="2"/>
      <c r="N376" s="2"/>
      <c r="O376" s="11">
        <f t="shared" si="23"/>
        <v>41</v>
      </c>
      <c r="P376" s="2"/>
      <c r="Q376" s="5">
        <f t="shared" si="31"/>
        <v>-3.3576295533604208E-2</v>
      </c>
      <c r="R376" s="13">
        <v>45873</v>
      </c>
      <c r="S376" s="2">
        <v>317.2</v>
      </c>
      <c r="T376" s="2"/>
      <c r="U376" s="2"/>
      <c r="V376" s="2"/>
      <c r="W376" s="11">
        <f t="shared" si="24"/>
        <v>317.2</v>
      </c>
      <c r="X376" s="2"/>
      <c r="Y376" s="5">
        <f t="shared" si="32"/>
        <v>-4.0899852515251661E-3</v>
      </c>
      <c r="Z376" s="13">
        <v>45873</v>
      </c>
      <c r="AA376" s="2">
        <v>864.4</v>
      </c>
      <c r="AB376" s="2"/>
      <c r="AC376" s="2"/>
      <c r="AD376" s="2"/>
      <c r="AE376" s="2">
        <f t="shared" si="25"/>
        <v>864.4</v>
      </c>
      <c r="AF376" s="2"/>
      <c r="AG376" s="5">
        <f t="shared" si="33"/>
        <v>-1.3216304536312439E-2</v>
      </c>
      <c r="AH376" s="13">
        <v>45873</v>
      </c>
      <c r="AI376" s="2">
        <v>510.7</v>
      </c>
      <c r="AJ376" s="2"/>
      <c r="AK376" s="2"/>
      <c r="AL376" s="2"/>
      <c r="AM376" s="2">
        <f t="shared" si="26"/>
        <v>510.7</v>
      </c>
      <c r="AN376" s="2"/>
      <c r="AO376" s="5">
        <f t="shared" si="34"/>
        <v>-2.3469598099393348E-3</v>
      </c>
      <c r="AP376" s="13">
        <v>45873</v>
      </c>
      <c r="AQ376" s="11">
        <v>452.7</v>
      </c>
      <c r="AR376" s="2"/>
      <c r="AS376" s="2"/>
      <c r="AT376" s="2"/>
      <c r="AU376" s="11">
        <f t="shared" si="27"/>
        <v>452.7</v>
      </c>
      <c r="AV376" s="2"/>
      <c r="AW376" s="5">
        <f t="shared" si="35"/>
        <v>-1.9252399500993934E-2</v>
      </c>
      <c r="AX376" s="13">
        <v>45873</v>
      </c>
      <c r="AY376" s="2">
        <v>23.3</v>
      </c>
      <c r="AZ376" s="2"/>
      <c r="BA376" s="2"/>
      <c r="BB376" s="2"/>
      <c r="BC376" s="2">
        <f t="shared" si="28"/>
        <v>23.3</v>
      </c>
      <c r="BD376" s="2"/>
      <c r="BE376" s="5">
        <f t="shared" si="36"/>
        <v>0</v>
      </c>
      <c r="BF376" s="13">
        <v>45873</v>
      </c>
      <c r="BG376" s="2">
        <v>171.5</v>
      </c>
      <c r="BH376" s="2"/>
      <c r="BI376" s="2"/>
      <c r="BJ376" s="2"/>
      <c r="BK376" s="2">
        <f t="shared" si="29"/>
        <v>171.5</v>
      </c>
      <c r="BL376" s="2"/>
      <c r="BM376" s="5">
        <f t="shared" si="37"/>
        <v>-8.1301260832502883E-3</v>
      </c>
    </row>
    <row r="377" spans="1:65" ht="15.75" customHeight="1" x14ac:dyDescent="0.35">
      <c r="A377" s="675"/>
      <c r="B377" s="13">
        <v>45875</v>
      </c>
      <c r="C377" s="2">
        <v>10.8</v>
      </c>
      <c r="D377" s="2"/>
      <c r="E377" s="2"/>
      <c r="F377" s="2"/>
      <c r="G377" s="11">
        <f t="shared" si="30"/>
        <v>10.8</v>
      </c>
      <c r="H377" s="2"/>
      <c r="I377" s="5">
        <f t="shared" si="38"/>
        <v>-1.834913866819643E-2</v>
      </c>
      <c r="J377" s="13">
        <v>45875</v>
      </c>
      <c r="K377" s="2">
        <v>40.1</v>
      </c>
      <c r="L377" s="2"/>
      <c r="M377" s="2"/>
      <c r="N377" s="2"/>
      <c r="O377" s="11">
        <f t="shared" si="23"/>
        <v>40.1</v>
      </c>
      <c r="P377" s="2"/>
      <c r="Q377" s="5">
        <f t="shared" si="31"/>
        <v>-2.2195732391784323E-2</v>
      </c>
      <c r="R377" s="13">
        <v>45875</v>
      </c>
      <c r="S377" s="2">
        <v>317</v>
      </c>
      <c r="T377" s="2"/>
      <c r="U377" s="2"/>
      <c r="V377" s="2"/>
      <c r="W377" s="11">
        <f t="shared" si="24"/>
        <v>317</v>
      </c>
      <c r="X377" s="2"/>
      <c r="Y377" s="5">
        <f t="shared" si="32"/>
        <v>-6.3071588341232323E-4</v>
      </c>
      <c r="Z377" s="13">
        <v>45875</v>
      </c>
      <c r="AA377" s="2">
        <v>871.6</v>
      </c>
      <c r="AB377" s="2"/>
      <c r="AC377" s="2"/>
      <c r="AD377" s="2"/>
      <c r="AE377" s="2">
        <f t="shared" si="25"/>
        <v>871.6</v>
      </c>
      <c r="AF377" s="2"/>
      <c r="AG377" s="5">
        <f t="shared" si="33"/>
        <v>8.2949784377338524E-3</v>
      </c>
      <c r="AH377" s="13">
        <v>45875</v>
      </c>
      <c r="AI377" s="2">
        <v>505.8</v>
      </c>
      <c r="AJ377" s="2"/>
      <c r="AK377" s="2"/>
      <c r="AL377" s="2"/>
      <c r="AM377" s="2">
        <f t="shared" si="26"/>
        <v>505.8</v>
      </c>
      <c r="AN377" s="2"/>
      <c r="AO377" s="5">
        <f t="shared" si="34"/>
        <v>-9.6409994177333903E-3</v>
      </c>
      <c r="AP377" s="13">
        <v>45875</v>
      </c>
      <c r="AQ377" s="11">
        <v>454</v>
      </c>
      <c r="AR377" s="2"/>
      <c r="AS377" s="2"/>
      <c r="AT377" s="2"/>
      <c r="AU377" s="11">
        <f t="shared" si="27"/>
        <v>454</v>
      </c>
      <c r="AV377" s="2"/>
      <c r="AW377" s="5">
        <f t="shared" si="35"/>
        <v>2.8675435994351527E-3</v>
      </c>
      <c r="AX377" s="13">
        <v>45875</v>
      </c>
      <c r="AY377" s="2">
        <v>23</v>
      </c>
      <c r="AZ377" s="2"/>
      <c r="BA377" s="2"/>
      <c r="BB377" s="2"/>
      <c r="BC377" s="2">
        <f t="shared" si="28"/>
        <v>23</v>
      </c>
      <c r="BD377" s="2"/>
      <c r="BE377" s="5">
        <f t="shared" si="36"/>
        <v>-1.2959144642505228E-2</v>
      </c>
      <c r="BF377" s="13">
        <v>45875</v>
      </c>
      <c r="BG377" s="2">
        <v>170.2</v>
      </c>
      <c r="BH377" s="2"/>
      <c r="BI377" s="2"/>
      <c r="BJ377" s="2"/>
      <c r="BK377" s="2">
        <f t="shared" si="29"/>
        <v>170.2</v>
      </c>
      <c r="BL377" s="2"/>
      <c r="BM377" s="5">
        <f t="shared" si="37"/>
        <v>-7.6090504667208573E-3</v>
      </c>
    </row>
    <row r="378" spans="1:65" ht="15.75" customHeight="1" x14ac:dyDescent="0.35">
      <c r="A378" s="675"/>
      <c r="B378" s="13">
        <v>45876</v>
      </c>
      <c r="C378" s="2">
        <v>10.6</v>
      </c>
      <c r="D378" s="2"/>
      <c r="E378" s="2"/>
      <c r="F378" s="2"/>
      <c r="G378" s="11">
        <f t="shared" si="30"/>
        <v>10.6</v>
      </c>
      <c r="H378" s="2"/>
      <c r="I378" s="5">
        <f t="shared" si="38"/>
        <v>-1.8692133012152633E-2</v>
      </c>
      <c r="J378" s="13">
        <v>45876</v>
      </c>
      <c r="K378" s="2">
        <v>39.9</v>
      </c>
      <c r="L378" s="2"/>
      <c r="M378" s="2"/>
      <c r="N378" s="2"/>
      <c r="O378" s="11">
        <f t="shared" si="23"/>
        <v>39.9</v>
      </c>
      <c r="P378" s="2"/>
      <c r="Q378" s="5">
        <f t="shared" si="31"/>
        <v>-5.0000104167057515E-3</v>
      </c>
      <c r="R378" s="13">
        <v>45876</v>
      </c>
      <c r="S378" s="2">
        <v>315.7</v>
      </c>
      <c r="T378" s="2"/>
      <c r="U378" s="2"/>
      <c r="V378" s="2"/>
      <c r="W378" s="11">
        <f t="shared" si="24"/>
        <v>315.7</v>
      </c>
      <c r="X378" s="2"/>
      <c r="Y378" s="5">
        <f t="shared" si="32"/>
        <v>-4.1093783133346867E-3</v>
      </c>
      <c r="Z378" s="13">
        <v>45876</v>
      </c>
      <c r="AA378" s="2">
        <v>870.7</v>
      </c>
      <c r="AB378" s="2"/>
      <c r="AC378" s="2"/>
      <c r="AD378" s="2"/>
      <c r="AE378" s="2">
        <f t="shared" si="25"/>
        <v>870.7</v>
      </c>
      <c r="AF378" s="2"/>
      <c r="AG378" s="5">
        <f t="shared" si="33"/>
        <v>-1.0331172358948979E-3</v>
      </c>
      <c r="AH378" s="13">
        <v>45876</v>
      </c>
      <c r="AI378" s="2">
        <v>500.6</v>
      </c>
      <c r="AJ378" s="2"/>
      <c r="AK378" s="2"/>
      <c r="AL378" s="2"/>
      <c r="AM378" s="2">
        <f t="shared" si="26"/>
        <v>500.6</v>
      </c>
      <c r="AN378" s="2"/>
      <c r="AO378" s="5">
        <f t="shared" si="34"/>
        <v>-1.0333955238190863E-2</v>
      </c>
      <c r="AP378" s="13">
        <v>45876</v>
      </c>
      <c r="AQ378" s="11">
        <v>446.7</v>
      </c>
      <c r="AR378" s="2"/>
      <c r="AS378" s="2"/>
      <c r="AT378" s="2"/>
      <c r="AU378" s="11">
        <f t="shared" si="27"/>
        <v>446.7</v>
      </c>
      <c r="AV378" s="2"/>
      <c r="AW378" s="5">
        <f t="shared" si="35"/>
        <v>-1.6209969683275018E-2</v>
      </c>
      <c r="AX378" s="13">
        <v>45876</v>
      </c>
      <c r="AY378" s="2">
        <v>22.3</v>
      </c>
      <c r="AZ378" s="2"/>
      <c r="BA378" s="2"/>
      <c r="BB378" s="2"/>
      <c r="BC378" s="2">
        <f t="shared" si="28"/>
        <v>22.3</v>
      </c>
      <c r="BD378" s="2"/>
      <c r="BE378" s="5">
        <f t="shared" si="36"/>
        <v>-3.0907537463076548E-2</v>
      </c>
      <c r="BF378" s="13">
        <v>45876</v>
      </c>
      <c r="BG378" s="2">
        <v>168.5</v>
      </c>
      <c r="BH378" s="2"/>
      <c r="BI378" s="2"/>
      <c r="BJ378" s="2"/>
      <c r="BK378" s="2">
        <f t="shared" si="29"/>
        <v>168.5</v>
      </c>
      <c r="BL378" s="2"/>
      <c r="BM378" s="5">
        <f t="shared" si="37"/>
        <v>-1.0038466346857233E-2</v>
      </c>
    </row>
    <row r="379" spans="1:65" ht="15.75" customHeight="1" x14ac:dyDescent="0.35">
      <c r="A379" s="675"/>
      <c r="B379" s="13">
        <v>45879</v>
      </c>
      <c r="C379" s="2">
        <v>10.4</v>
      </c>
      <c r="D379" s="2"/>
      <c r="E379" s="2"/>
      <c r="F379" s="2"/>
      <c r="G379" s="11">
        <f t="shared" si="30"/>
        <v>10.4</v>
      </c>
      <c r="H379" s="2"/>
      <c r="I379" s="5">
        <f t="shared" si="38"/>
        <v>-1.9048194970694363E-2</v>
      </c>
      <c r="J379" s="13">
        <v>45879</v>
      </c>
      <c r="K379" s="2">
        <v>38.9</v>
      </c>
      <c r="L379" s="2"/>
      <c r="M379" s="2"/>
      <c r="N379" s="2"/>
      <c r="O379" s="11">
        <f t="shared" si="23"/>
        <v>38.9</v>
      </c>
      <c r="P379" s="2"/>
      <c r="Q379" s="5">
        <f t="shared" si="31"/>
        <v>-2.5382073271417161E-2</v>
      </c>
      <c r="R379" s="13">
        <v>45879</v>
      </c>
      <c r="S379" s="2">
        <v>316.2</v>
      </c>
      <c r="T379" s="2"/>
      <c r="U379" s="2"/>
      <c r="V379" s="2"/>
      <c r="W379" s="11">
        <f t="shared" si="24"/>
        <v>316.2</v>
      </c>
      <c r="X379" s="2"/>
      <c r="Y379" s="5">
        <f t="shared" si="32"/>
        <v>1.5825292114256609E-3</v>
      </c>
      <c r="Z379" s="13">
        <v>45879</v>
      </c>
      <c r="AA379" s="2">
        <v>866.9</v>
      </c>
      <c r="AB379" s="2"/>
      <c r="AC379" s="2"/>
      <c r="AD379" s="2"/>
      <c r="AE379" s="2">
        <f t="shared" si="25"/>
        <v>866.9</v>
      </c>
      <c r="AF379" s="2"/>
      <c r="AG379" s="5">
        <f t="shared" si="33"/>
        <v>-4.3738559599752974E-3</v>
      </c>
      <c r="AH379" s="13">
        <v>45879</v>
      </c>
      <c r="AI379" s="2">
        <v>494.8</v>
      </c>
      <c r="AJ379" s="2"/>
      <c r="AK379" s="2"/>
      <c r="AL379" s="2"/>
      <c r="AM379" s="2">
        <f t="shared" si="26"/>
        <v>494.8</v>
      </c>
      <c r="AN379" s="2"/>
      <c r="AO379" s="5">
        <f t="shared" si="34"/>
        <v>-1.1653738479341032E-2</v>
      </c>
      <c r="AP379" s="13">
        <v>45879</v>
      </c>
      <c r="AQ379" s="11">
        <v>447.5</v>
      </c>
      <c r="AR379" s="2"/>
      <c r="AS379" s="2"/>
      <c r="AT379" s="2"/>
      <c r="AU379" s="11">
        <f t="shared" si="27"/>
        <v>447.5</v>
      </c>
      <c r="AV379" s="2"/>
      <c r="AW379" s="5">
        <f t="shared" si="35"/>
        <v>1.7893093568371644E-3</v>
      </c>
      <c r="AX379" s="13">
        <v>45879</v>
      </c>
      <c r="AY379" s="2">
        <v>21.9</v>
      </c>
      <c r="AZ379" s="2"/>
      <c r="BA379" s="2"/>
      <c r="BB379" s="2"/>
      <c r="BC379" s="2">
        <f t="shared" si="28"/>
        <v>21.9</v>
      </c>
      <c r="BD379" s="2"/>
      <c r="BE379" s="5">
        <f t="shared" si="36"/>
        <v>-1.810004164361799E-2</v>
      </c>
      <c r="BF379" s="13">
        <v>45879</v>
      </c>
      <c r="BG379" s="2">
        <v>165.4</v>
      </c>
      <c r="BH379" s="2"/>
      <c r="BI379" s="2"/>
      <c r="BJ379" s="2"/>
      <c r="BK379" s="2">
        <f t="shared" si="29"/>
        <v>165.4</v>
      </c>
      <c r="BL379" s="2"/>
      <c r="BM379" s="5">
        <f t="shared" si="37"/>
        <v>-1.8568967202825467E-2</v>
      </c>
    </row>
    <row r="380" spans="1:65" ht="15.75" customHeight="1" x14ac:dyDescent="0.35">
      <c r="A380" s="675"/>
      <c r="B380" s="13">
        <v>45880</v>
      </c>
      <c r="C380" s="2">
        <v>10.3</v>
      </c>
      <c r="D380" s="2"/>
      <c r="E380" s="2"/>
      <c r="F380" s="2"/>
      <c r="G380" s="11">
        <f t="shared" si="30"/>
        <v>10.3</v>
      </c>
      <c r="H380" s="2"/>
      <c r="I380" s="5">
        <f t="shared" si="38"/>
        <v>-9.6619109117368589E-3</v>
      </c>
      <c r="J380" s="13">
        <v>45880</v>
      </c>
      <c r="K380" s="2">
        <v>39.700000000000003</v>
      </c>
      <c r="L380" s="2"/>
      <c r="M380" s="2"/>
      <c r="N380" s="2"/>
      <c r="O380" s="11">
        <f t="shared" si="23"/>
        <v>39.700000000000003</v>
      </c>
      <c r="P380" s="2"/>
      <c r="Q380" s="5">
        <f t="shared" si="31"/>
        <v>2.0356937068744318E-2</v>
      </c>
      <c r="R380" s="13">
        <v>45880</v>
      </c>
      <c r="S380" s="2">
        <v>316.5</v>
      </c>
      <c r="T380" s="2"/>
      <c r="U380" s="2"/>
      <c r="V380" s="2"/>
      <c r="W380" s="11">
        <f t="shared" si="24"/>
        <v>316.5</v>
      </c>
      <c r="X380" s="2"/>
      <c r="Y380" s="5">
        <f t="shared" si="32"/>
        <v>9.4831680885926E-4</v>
      </c>
      <c r="Z380" s="13">
        <v>45880</v>
      </c>
      <c r="AA380" s="2">
        <v>871.8</v>
      </c>
      <c r="AB380" s="2"/>
      <c r="AC380" s="2"/>
      <c r="AD380" s="2"/>
      <c r="AE380" s="2">
        <f t="shared" si="25"/>
        <v>871.8</v>
      </c>
      <c r="AF380" s="2"/>
      <c r="AG380" s="5">
        <f t="shared" si="33"/>
        <v>5.6364099296973853E-3</v>
      </c>
      <c r="AH380" s="13">
        <v>45880</v>
      </c>
      <c r="AI380" s="2">
        <v>494.4</v>
      </c>
      <c r="AJ380" s="2"/>
      <c r="AK380" s="2"/>
      <c r="AL380" s="2"/>
      <c r="AM380" s="2">
        <f t="shared" si="26"/>
        <v>494.4</v>
      </c>
      <c r="AN380" s="2"/>
      <c r="AO380" s="5">
        <f t="shared" si="34"/>
        <v>-8.0873437485184105E-4</v>
      </c>
      <c r="AP380" s="13">
        <v>45880</v>
      </c>
      <c r="AQ380" s="11">
        <v>449.6</v>
      </c>
      <c r="AR380" s="2"/>
      <c r="AS380" s="2"/>
      <c r="AT380" s="2"/>
      <c r="AU380" s="11">
        <f t="shared" si="27"/>
        <v>449.6</v>
      </c>
      <c r="AV380" s="2"/>
      <c r="AW380" s="5">
        <f t="shared" si="35"/>
        <v>4.6817608645713963E-3</v>
      </c>
      <c r="AX380" s="13">
        <v>45880</v>
      </c>
      <c r="AY380" s="2">
        <v>22</v>
      </c>
      <c r="AZ380" s="2"/>
      <c r="BA380" s="2"/>
      <c r="BB380" s="2"/>
      <c r="BC380" s="2">
        <f t="shared" si="28"/>
        <v>22</v>
      </c>
      <c r="BD380" s="2"/>
      <c r="BE380" s="5">
        <f t="shared" si="36"/>
        <v>4.5558165358608824E-3</v>
      </c>
      <c r="BF380" s="13">
        <v>45880</v>
      </c>
      <c r="BG380" s="2">
        <v>164.6</v>
      </c>
      <c r="BH380" s="2"/>
      <c r="BI380" s="2"/>
      <c r="BJ380" s="2"/>
      <c r="BK380" s="2">
        <f t="shared" si="29"/>
        <v>164.6</v>
      </c>
      <c r="BL380" s="2"/>
      <c r="BM380" s="5">
        <f t="shared" si="37"/>
        <v>-4.8484943466215206E-3</v>
      </c>
    </row>
    <row r="381" spans="1:65" ht="15.75" customHeight="1" x14ac:dyDescent="0.35">
      <c r="A381" s="675"/>
      <c r="B381" s="13">
        <v>45881</v>
      </c>
      <c r="C381" s="2">
        <v>10.3</v>
      </c>
      <c r="D381" s="2"/>
      <c r="E381" s="2"/>
      <c r="F381" s="2"/>
      <c r="G381" s="11">
        <f t="shared" si="30"/>
        <v>10.3</v>
      </c>
      <c r="H381" s="2"/>
      <c r="I381" s="5">
        <f t="shared" si="38"/>
        <v>0</v>
      </c>
      <c r="J381" s="13">
        <v>45881</v>
      </c>
      <c r="K381" s="2">
        <v>38.700000000000003</v>
      </c>
      <c r="L381" s="2"/>
      <c r="M381" s="2"/>
      <c r="N381" s="2"/>
      <c r="O381" s="11">
        <f t="shared" si="23"/>
        <v>38.700000000000003</v>
      </c>
      <c r="P381" s="2"/>
      <c r="Q381" s="5">
        <f t="shared" si="31"/>
        <v>-2.5511587657408619E-2</v>
      </c>
      <c r="R381" s="13">
        <v>45881</v>
      </c>
      <c r="S381" s="2">
        <v>315.3</v>
      </c>
      <c r="T381" s="2"/>
      <c r="U381" s="2"/>
      <c r="V381" s="2"/>
      <c r="W381" s="11">
        <f t="shared" si="24"/>
        <v>315.3</v>
      </c>
      <c r="X381" s="2"/>
      <c r="Y381" s="5">
        <f t="shared" si="32"/>
        <v>-3.7986750332156725E-3</v>
      </c>
      <c r="Z381" s="13">
        <v>45881</v>
      </c>
      <c r="AA381" s="2">
        <v>874.5</v>
      </c>
      <c r="AB381" s="2"/>
      <c r="AC381" s="2"/>
      <c r="AD381" s="2"/>
      <c r="AE381" s="2">
        <f t="shared" si="25"/>
        <v>874.5</v>
      </c>
      <c r="AF381" s="2"/>
      <c r="AG381" s="5">
        <f t="shared" si="33"/>
        <v>3.0922546543646848E-3</v>
      </c>
      <c r="AH381" s="13">
        <v>45881</v>
      </c>
      <c r="AI381" s="2">
        <v>492.5</v>
      </c>
      <c r="AJ381" s="2"/>
      <c r="AK381" s="2"/>
      <c r="AL381" s="2"/>
      <c r="AM381" s="2">
        <f t="shared" si="26"/>
        <v>492.5</v>
      </c>
      <c r="AN381" s="2"/>
      <c r="AO381" s="5">
        <f t="shared" si="34"/>
        <v>-3.850445531337377E-3</v>
      </c>
      <c r="AP381" s="13">
        <v>45881</v>
      </c>
      <c r="AQ381" s="11">
        <v>448.1</v>
      </c>
      <c r="AR381" s="2"/>
      <c r="AS381" s="2"/>
      <c r="AT381" s="2"/>
      <c r="AU381" s="11">
        <f t="shared" si="27"/>
        <v>448.1</v>
      </c>
      <c r="AV381" s="2"/>
      <c r="AW381" s="5">
        <f t="shared" si="35"/>
        <v>-3.3418767873839312E-3</v>
      </c>
      <c r="AX381" s="13">
        <v>45881</v>
      </c>
      <c r="AY381" s="2">
        <v>21.6</v>
      </c>
      <c r="AZ381" s="2"/>
      <c r="BA381" s="2"/>
      <c r="BB381" s="2"/>
      <c r="BC381" s="2">
        <f t="shared" si="28"/>
        <v>21.6</v>
      </c>
      <c r="BD381" s="2"/>
      <c r="BE381" s="5">
        <f t="shared" si="36"/>
        <v>-1.834913866819643E-2</v>
      </c>
      <c r="BF381" s="13">
        <v>45881</v>
      </c>
      <c r="BG381" s="2">
        <v>162.9</v>
      </c>
      <c r="BH381" s="2"/>
      <c r="BI381" s="2"/>
      <c r="BJ381" s="2"/>
      <c r="BK381" s="2">
        <f t="shared" si="29"/>
        <v>162.9</v>
      </c>
      <c r="BL381" s="2"/>
      <c r="BM381" s="5">
        <f t="shared" si="37"/>
        <v>-1.0381772634969895E-2</v>
      </c>
    </row>
    <row r="382" spans="1:65" ht="15.75" customHeight="1" x14ac:dyDescent="0.35">
      <c r="A382" s="675"/>
      <c r="B382" s="13">
        <v>45882</v>
      </c>
      <c r="C382" s="2">
        <v>10</v>
      </c>
      <c r="D382" s="2"/>
      <c r="E382" s="2"/>
      <c r="F382" s="2"/>
      <c r="G382" s="11">
        <f t="shared" si="30"/>
        <v>10</v>
      </c>
      <c r="H382" s="2"/>
      <c r="I382" s="5">
        <f t="shared" si="38"/>
        <v>-2.9558802241544505E-2</v>
      </c>
      <c r="J382" s="13">
        <v>45882</v>
      </c>
      <c r="K382" s="2">
        <v>38</v>
      </c>
      <c r="L382" s="2"/>
      <c r="M382" s="2"/>
      <c r="N382" s="2"/>
      <c r="O382" s="11">
        <f t="shared" si="23"/>
        <v>38</v>
      </c>
      <c r="P382" s="2"/>
      <c r="Q382" s="5">
        <f t="shared" si="31"/>
        <v>-1.8253440309350461E-2</v>
      </c>
      <c r="R382" s="13">
        <v>45882</v>
      </c>
      <c r="S382" s="2">
        <v>315.3</v>
      </c>
      <c r="T382" s="2"/>
      <c r="U382" s="2"/>
      <c r="V382" s="2"/>
      <c r="W382" s="11">
        <f t="shared" si="24"/>
        <v>315.3</v>
      </c>
      <c r="X382" s="2"/>
      <c r="Y382" s="5">
        <f t="shared" si="32"/>
        <v>0</v>
      </c>
      <c r="Z382" s="13">
        <v>45882</v>
      </c>
      <c r="AA382" s="2">
        <v>871.1</v>
      </c>
      <c r="AB382" s="2"/>
      <c r="AC382" s="2"/>
      <c r="AD382" s="2"/>
      <c r="AE382" s="2">
        <f t="shared" si="25"/>
        <v>871.1</v>
      </c>
      <c r="AF382" s="2"/>
      <c r="AG382" s="5">
        <f t="shared" si="33"/>
        <v>-3.8955136338104119E-3</v>
      </c>
      <c r="AH382" s="13">
        <v>45882</v>
      </c>
      <c r="AI382" s="2">
        <v>490.3</v>
      </c>
      <c r="AJ382" s="2"/>
      <c r="AK382" s="2"/>
      <c r="AL382" s="2"/>
      <c r="AM382" s="2">
        <f t="shared" si="26"/>
        <v>490.3</v>
      </c>
      <c r="AN382" s="2"/>
      <c r="AO382" s="5">
        <f t="shared" si="34"/>
        <v>-4.4770119549559333E-3</v>
      </c>
      <c r="AP382" s="13">
        <v>45882</v>
      </c>
      <c r="AQ382" s="11">
        <v>446.1</v>
      </c>
      <c r="AR382" s="2"/>
      <c r="AS382" s="2"/>
      <c r="AT382" s="2"/>
      <c r="AU382" s="11">
        <f t="shared" si="27"/>
        <v>446.1</v>
      </c>
      <c r="AV382" s="2"/>
      <c r="AW382" s="5">
        <f t="shared" si="35"/>
        <v>-4.4732796578783041E-3</v>
      </c>
      <c r="AX382" s="13">
        <v>45882</v>
      </c>
      <c r="AY382" s="2">
        <v>21.5</v>
      </c>
      <c r="AZ382" s="2"/>
      <c r="BA382" s="2"/>
      <c r="BB382" s="2"/>
      <c r="BC382" s="2">
        <f t="shared" si="28"/>
        <v>21.5</v>
      </c>
      <c r="BD382" s="2"/>
      <c r="BE382" s="5">
        <f t="shared" si="36"/>
        <v>-4.6403795565022254E-3</v>
      </c>
      <c r="BF382" s="13">
        <v>45882</v>
      </c>
      <c r="BG382" s="2">
        <v>166.5</v>
      </c>
      <c r="BH382" s="2"/>
      <c r="BI382" s="2"/>
      <c r="BJ382" s="2"/>
      <c r="BK382" s="2">
        <f t="shared" si="29"/>
        <v>166.5</v>
      </c>
      <c r="BL382" s="2"/>
      <c r="BM382" s="5">
        <f t="shared" si="37"/>
        <v>2.1858793812499017E-2</v>
      </c>
    </row>
    <row r="383" spans="1:65" ht="15.75" customHeight="1" x14ac:dyDescent="0.35">
      <c r="A383" s="675"/>
      <c r="B383" s="13">
        <v>45883</v>
      </c>
      <c r="C383" s="2">
        <v>10.199999999999999</v>
      </c>
      <c r="D383" s="2"/>
      <c r="E383" s="2"/>
      <c r="F383" s="2"/>
      <c r="G383" s="11">
        <f t="shared" si="30"/>
        <v>10.199999999999999</v>
      </c>
      <c r="H383" s="2"/>
      <c r="I383" s="5">
        <f t="shared" si="38"/>
        <v>1.980262729617973E-2</v>
      </c>
      <c r="J383" s="13">
        <v>45883</v>
      </c>
      <c r="K383" s="2">
        <v>38.5</v>
      </c>
      <c r="L383" s="2"/>
      <c r="M383" s="2"/>
      <c r="N383" s="2"/>
      <c r="O383" s="11">
        <f t="shared" si="23"/>
        <v>38.5</v>
      </c>
      <c r="P383" s="2"/>
      <c r="Q383" s="5">
        <f t="shared" si="31"/>
        <v>1.3072081567352701E-2</v>
      </c>
      <c r="R383" s="13">
        <v>45883</v>
      </c>
      <c r="S383" s="2">
        <v>304.8</v>
      </c>
      <c r="T383" s="2"/>
      <c r="U383" s="2"/>
      <c r="V383" s="2"/>
      <c r="W383" s="11">
        <f t="shared" si="24"/>
        <v>304.8</v>
      </c>
      <c r="X383" s="2"/>
      <c r="Y383" s="5">
        <f t="shared" si="32"/>
        <v>-3.3868742738523867E-2</v>
      </c>
      <c r="Z383" s="13">
        <v>45883</v>
      </c>
      <c r="AA383" s="2">
        <v>866.8</v>
      </c>
      <c r="AB383" s="2"/>
      <c r="AC383" s="2"/>
      <c r="AD383" s="2"/>
      <c r="AE383" s="2">
        <f t="shared" si="25"/>
        <v>866.8</v>
      </c>
      <c r="AF383" s="2"/>
      <c r="AG383" s="5">
        <f t="shared" si="33"/>
        <v>-4.9485111626424438E-3</v>
      </c>
      <c r="AH383" s="13">
        <v>45883</v>
      </c>
      <c r="AI383" s="2">
        <v>494.3</v>
      </c>
      <c r="AJ383" s="2"/>
      <c r="AK383" s="2"/>
      <c r="AL383" s="2"/>
      <c r="AM383" s="2">
        <f t="shared" si="26"/>
        <v>494.3</v>
      </c>
      <c r="AN383" s="2"/>
      <c r="AO383" s="5">
        <f t="shared" si="34"/>
        <v>8.1251716557261301E-3</v>
      </c>
      <c r="AP383" s="13">
        <v>45883</v>
      </c>
      <c r="AQ383" s="11">
        <v>449.7</v>
      </c>
      <c r="AR383" s="2"/>
      <c r="AS383" s="2"/>
      <c r="AT383" s="2"/>
      <c r="AU383" s="11">
        <f t="shared" si="27"/>
        <v>449.7</v>
      </c>
      <c r="AV383" s="2"/>
      <c r="AW383" s="5">
        <f t="shared" si="35"/>
        <v>8.0375516424424556E-3</v>
      </c>
      <c r="AX383" s="13">
        <v>45883</v>
      </c>
      <c r="AY383" s="2">
        <v>21.7</v>
      </c>
      <c r="AZ383" s="2"/>
      <c r="BA383" s="2"/>
      <c r="BB383" s="2"/>
      <c r="BC383" s="2">
        <f t="shared" si="28"/>
        <v>21.7</v>
      </c>
      <c r="BD383" s="2"/>
      <c r="BE383" s="5">
        <f t="shared" si="36"/>
        <v>9.2593254127967262E-3</v>
      </c>
      <c r="BF383" s="13">
        <v>45883</v>
      </c>
      <c r="BG383" s="2">
        <v>166.3</v>
      </c>
      <c r="BH383" s="2"/>
      <c r="BI383" s="2"/>
      <c r="BJ383" s="2"/>
      <c r="BK383" s="2">
        <f t="shared" si="29"/>
        <v>166.3</v>
      </c>
      <c r="BL383" s="2"/>
      <c r="BM383" s="5">
        <f t="shared" si="37"/>
        <v>-1.2019232216164766E-3</v>
      </c>
    </row>
    <row r="384" spans="1:65" ht="15.75" customHeight="1" x14ac:dyDescent="0.35">
      <c r="A384" s="675"/>
      <c r="B384" s="13">
        <v>45886</v>
      </c>
      <c r="C384" s="2">
        <v>10.4</v>
      </c>
      <c r="D384" s="2"/>
      <c r="E384" s="2"/>
      <c r="F384" s="2"/>
      <c r="G384" s="11">
        <f t="shared" si="30"/>
        <v>10.4</v>
      </c>
      <c r="H384" s="2"/>
      <c r="I384" s="5">
        <f t="shared" si="38"/>
        <v>1.9418085857101731E-2</v>
      </c>
      <c r="J384" s="13">
        <v>45886</v>
      </c>
      <c r="K384" s="2">
        <v>38.6</v>
      </c>
      <c r="L384" s="2"/>
      <c r="M384" s="2"/>
      <c r="N384" s="2"/>
      <c r="O384" s="11">
        <f t="shared" si="23"/>
        <v>38.6</v>
      </c>
      <c r="P384" s="2"/>
      <c r="Q384" s="5">
        <f t="shared" si="31"/>
        <v>2.594035177046749E-3</v>
      </c>
      <c r="R384" s="13">
        <v>45886</v>
      </c>
      <c r="S384" s="2">
        <v>303.8</v>
      </c>
      <c r="T384" s="2"/>
      <c r="U384" s="2"/>
      <c r="V384" s="2"/>
      <c r="W384" s="11">
        <f t="shared" si="24"/>
        <v>303.8</v>
      </c>
      <c r="X384" s="2"/>
      <c r="Y384" s="5">
        <f t="shared" si="32"/>
        <v>-3.2862336508187582E-3</v>
      </c>
      <c r="Z384" s="13">
        <v>45886</v>
      </c>
      <c r="AA384" s="2">
        <v>867.2</v>
      </c>
      <c r="AB384" s="2"/>
      <c r="AC384" s="2"/>
      <c r="AD384" s="2"/>
      <c r="AE384" s="2">
        <f t="shared" si="25"/>
        <v>867.2</v>
      </c>
      <c r="AF384" s="2"/>
      <c r="AG384" s="5">
        <f t="shared" si="33"/>
        <v>4.6136102317791003E-4</v>
      </c>
      <c r="AH384" s="13">
        <v>45886</v>
      </c>
      <c r="AI384" s="2">
        <v>496</v>
      </c>
      <c r="AJ384" s="2"/>
      <c r="AK384" s="2"/>
      <c r="AL384" s="2"/>
      <c r="AM384" s="2">
        <f t="shared" si="26"/>
        <v>496</v>
      </c>
      <c r="AN384" s="2"/>
      <c r="AO384" s="5">
        <f t="shared" si="34"/>
        <v>3.4333064120137423E-3</v>
      </c>
      <c r="AP384" s="13">
        <v>45886</v>
      </c>
      <c r="AQ384" s="11">
        <v>448.2</v>
      </c>
      <c r="AR384" s="2"/>
      <c r="AS384" s="2"/>
      <c r="AT384" s="2"/>
      <c r="AU384" s="11">
        <f t="shared" si="27"/>
        <v>448.2</v>
      </c>
      <c r="AV384" s="2"/>
      <c r="AW384" s="5">
        <f t="shared" si="35"/>
        <v>-3.3411324098350879E-3</v>
      </c>
      <c r="AX384" s="13">
        <v>45886</v>
      </c>
      <c r="AY384" s="2">
        <v>21.8</v>
      </c>
      <c r="AZ384" s="2"/>
      <c r="BA384" s="2"/>
      <c r="BB384" s="2"/>
      <c r="BC384" s="2">
        <f t="shared" si="28"/>
        <v>21.8</v>
      </c>
      <c r="BD384" s="2"/>
      <c r="BE384" s="5">
        <f t="shared" si="36"/>
        <v>4.5977092486295494E-3</v>
      </c>
      <c r="BF384" s="13">
        <v>45886</v>
      </c>
      <c r="BG384" s="2">
        <v>165.4</v>
      </c>
      <c r="BH384" s="2"/>
      <c r="BI384" s="2"/>
      <c r="BJ384" s="2"/>
      <c r="BK384" s="2">
        <f t="shared" si="29"/>
        <v>165.4</v>
      </c>
      <c r="BL384" s="2"/>
      <c r="BM384" s="5">
        <f t="shared" si="37"/>
        <v>-5.426603609291045E-3</v>
      </c>
    </row>
    <row r="385" spans="1:65" ht="15.75" customHeight="1" x14ac:dyDescent="0.35">
      <c r="A385" s="675"/>
      <c r="B385" s="13">
        <v>45887</v>
      </c>
      <c r="C385" s="2">
        <v>10.199999999999999</v>
      </c>
      <c r="D385" s="2"/>
      <c r="E385" s="2"/>
      <c r="F385" s="2"/>
      <c r="G385" s="11">
        <f t="shared" si="30"/>
        <v>10.199999999999999</v>
      </c>
      <c r="H385" s="2"/>
      <c r="I385" s="5">
        <f t="shared" si="38"/>
        <v>-1.9418085857101738E-2</v>
      </c>
      <c r="J385" s="13">
        <v>45887</v>
      </c>
      <c r="K385" s="2">
        <v>39.1</v>
      </c>
      <c r="L385" s="2"/>
      <c r="M385" s="2"/>
      <c r="N385" s="2"/>
      <c r="O385" s="11">
        <f t="shared" si="23"/>
        <v>39.1</v>
      </c>
      <c r="P385" s="2"/>
      <c r="Q385" s="5">
        <f t="shared" si="31"/>
        <v>1.2870190520534956E-2</v>
      </c>
      <c r="R385" s="13">
        <v>45887</v>
      </c>
      <c r="S385" s="2">
        <v>305</v>
      </c>
      <c r="T385" s="2"/>
      <c r="U385" s="2"/>
      <c r="V385" s="2"/>
      <c r="W385" s="11">
        <f t="shared" si="24"/>
        <v>305</v>
      </c>
      <c r="X385" s="2"/>
      <c r="Y385" s="5">
        <f t="shared" si="32"/>
        <v>3.9421864457391247E-3</v>
      </c>
      <c r="Z385" s="13">
        <v>45887</v>
      </c>
      <c r="AA385" s="2">
        <v>868</v>
      </c>
      <c r="AB385" s="2"/>
      <c r="AC385" s="2"/>
      <c r="AD385" s="2"/>
      <c r="AE385" s="2">
        <f t="shared" si="25"/>
        <v>868</v>
      </c>
      <c r="AF385" s="2"/>
      <c r="AG385" s="5">
        <f t="shared" si="33"/>
        <v>9.2208397496833878E-4</v>
      </c>
      <c r="AH385" s="13">
        <v>45887</v>
      </c>
      <c r="AI385" s="2">
        <v>497.5</v>
      </c>
      <c r="AJ385" s="2"/>
      <c r="AK385" s="2"/>
      <c r="AL385" s="2"/>
      <c r="AM385" s="2">
        <f t="shared" si="26"/>
        <v>497.5</v>
      </c>
      <c r="AN385" s="2"/>
      <c r="AO385" s="5">
        <f t="shared" si="34"/>
        <v>3.0196298737198914E-3</v>
      </c>
      <c r="AP385" s="13">
        <v>45887</v>
      </c>
      <c r="AQ385" s="11">
        <v>455.5</v>
      </c>
      <c r="AR385" s="2"/>
      <c r="AS385" s="2"/>
      <c r="AT385" s="2"/>
      <c r="AU385" s="11">
        <f t="shared" si="27"/>
        <v>455.5</v>
      </c>
      <c r="AV385" s="2"/>
      <c r="AW385" s="5">
        <f t="shared" si="35"/>
        <v>1.6156155333186515E-2</v>
      </c>
      <c r="AX385" s="13">
        <v>45887</v>
      </c>
      <c r="AY385" s="2">
        <v>22.3</v>
      </c>
      <c r="AZ385" s="2"/>
      <c r="BA385" s="2"/>
      <c r="BB385" s="2"/>
      <c r="BC385" s="2">
        <f t="shared" si="28"/>
        <v>22.3</v>
      </c>
      <c r="BD385" s="2"/>
      <c r="BE385" s="5">
        <f t="shared" si="36"/>
        <v>2.2676708671029722E-2</v>
      </c>
      <c r="BF385" s="13">
        <v>45887</v>
      </c>
      <c r="BG385" s="2">
        <v>167.5</v>
      </c>
      <c r="BH385" s="2"/>
      <c r="BI385" s="2"/>
      <c r="BJ385" s="2"/>
      <c r="BK385" s="2">
        <f t="shared" si="29"/>
        <v>167.5</v>
      </c>
      <c r="BL385" s="2"/>
      <c r="BM385" s="5">
        <f t="shared" si="37"/>
        <v>1.2616568675530095E-2</v>
      </c>
    </row>
    <row r="386" spans="1:65" ht="15.75" customHeight="1" x14ac:dyDescent="0.35">
      <c r="A386" s="675"/>
      <c r="B386" s="13">
        <v>45888</v>
      </c>
      <c r="C386" s="2">
        <v>10</v>
      </c>
      <c r="D386" s="2"/>
      <c r="E386" s="2"/>
      <c r="F386" s="2"/>
      <c r="G386" s="11">
        <f t="shared" si="30"/>
        <v>10</v>
      </c>
      <c r="H386" s="2"/>
      <c r="I386" s="5">
        <f t="shared" si="38"/>
        <v>-1.9802627296179643E-2</v>
      </c>
      <c r="J386" s="13">
        <v>45888</v>
      </c>
      <c r="K386" s="2">
        <v>38.200000000000003</v>
      </c>
      <c r="L386" s="2"/>
      <c r="M386" s="2"/>
      <c r="N386" s="2"/>
      <c r="O386" s="11">
        <f t="shared" si="23"/>
        <v>38.200000000000003</v>
      </c>
      <c r="P386" s="2"/>
      <c r="Q386" s="5">
        <f t="shared" si="31"/>
        <v>-2.3286951378790541E-2</v>
      </c>
      <c r="R386" s="13">
        <v>45888</v>
      </c>
      <c r="S386" s="2">
        <v>302.10000000000002</v>
      </c>
      <c r="T386" s="2"/>
      <c r="U386" s="2"/>
      <c r="V386" s="2"/>
      <c r="W386" s="11">
        <f t="shared" si="24"/>
        <v>302.10000000000002</v>
      </c>
      <c r="X386" s="2"/>
      <c r="Y386" s="5">
        <f t="shared" si="32"/>
        <v>-9.5536882147852688E-3</v>
      </c>
      <c r="Z386" s="13">
        <v>45888</v>
      </c>
      <c r="AA386" s="2">
        <v>867.1</v>
      </c>
      <c r="AB386" s="2"/>
      <c r="AC386" s="2"/>
      <c r="AD386" s="2"/>
      <c r="AE386" s="2">
        <f t="shared" si="25"/>
        <v>867.1</v>
      </c>
      <c r="AF386" s="2"/>
      <c r="AG386" s="5">
        <f t="shared" si="33"/>
        <v>-1.0374042772353926E-3</v>
      </c>
      <c r="AH386" s="13">
        <v>45888</v>
      </c>
      <c r="AI386" s="2">
        <v>493.6</v>
      </c>
      <c r="AJ386" s="2"/>
      <c r="AK386" s="2"/>
      <c r="AL386" s="2"/>
      <c r="AM386" s="2">
        <f t="shared" si="26"/>
        <v>493.6</v>
      </c>
      <c r="AN386" s="2"/>
      <c r="AO386" s="5">
        <f t="shared" si="34"/>
        <v>-7.8700840074693648E-3</v>
      </c>
      <c r="AP386" s="13">
        <v>45888</v>
      </c>
      <c r="AQ386" s="11">
        <v>460.1</v>
      </c>
      <c r="AR386" s="2"/>
      <c r="AS386" s="2"/>
      <c r="AT386" s="2"/>
      <c r="AU386" s="11">
        <f t="shared" si="27"/>
        <v>460.1</v>
      </c>
      <c r="AV386" s="2"/>
      <c r="AW386" s="5">
        <f t="shared" si="35"/>
        <v>1.0048140461409847E-2</v>
      </c>
      <c r="AX386" s="13">
        <v>45888</v>
      </c>
      <c r="AY386" s="2">
        <v>22.3</v>
      </c>
      <c r="AZ386" s="2"/>
      <c r="BA386" s="2"/>
      <c r="BB386" s="2"/>
      <c r="BC386" s="2">
        <f t="shared" si="28"/>
        <v>22.3</v>
      </c>
      <c r="BD386" s="2"/>
      <c r="BE386" s="5">
        <f t="shared" si="36"/>
        <v>0</v>
      </c>
      <c r="BF386" s="13">
        <v>45888</v>
      </c>
      <c r="BG386" s="2">
        <v>170.2</v>
      </c>
      <c r="BH386" s="2"/>
      <c r="BI386" s="2"/>
      <c r="BJ386" s="2"/>
      <c r="BK386" s="2">
        <f t="shared" si="29"/>
        <v>170.2</v>
      </c>
      <c r="BL386" s="2"/>
      <c r="BM386" s="5">
        <f t="shared" si="37"/>
        <v>1.5990864874152647E-2</v>
      </c>
    </row>
    <row r="387" spans="1:65" ht="15.75" customHeight="1" x14ac:dyDescent="0.35">
      <c r="A387" s="675"/>
      <c r="B387" s="13">
        <v>45889</v>
      </c>
      <c r="C387" s="2">
        <v>9.9</v>
      </c>
      <c r="D387" s="2"/>
      <c r="E387" s="2"/>
      <c r="F387" s="2"/>
      <c r="G387" s="11">
        <f t="shared" si="30"/>
        <v>9.9</v>
      </c>
      <c r="H387" s="2"/>
      <c r="I387" s="5">
        <f t="shared" si="38"/>
        <v>-1.0050335853501451E-2</v>
      </c>
      <c r="J387" s="13">
        <v>45889</v>
      </c>
      <c r="K387" s="2">
        <v>37.9</v>
      </c>
      <c r="L387" s="2"/>
      <c r="M387" s="2"/>
      <c r="N387" s="2"/>
      <c r="O387" s="11">
        <f t="shared" si="23"/>
        <v>37.9</v>
      </c>
      <c r="P387" s="2"/>
      <c r="Q387" s="5">
        <f t="shared" si="31"/>
        <v>-7.8844035241489828E-3</v>
      </c>
      <c r="R387" s="13">
        <v>45889</v>
      </c>
      <c r="S387" s="2">
        <v>301.8</v>
      </c>
      <c r="T387" s="2"/>
      <c r="U387" s="2"/>
      <c r="V387" s="2"/>
      <c r="W387" s="11">
        <f t="shared" si="24"/>
        <v>301.8</v>
      </c>
      <c r="X387" s="2"/>
      <c r="Y387" s="5">
        <f t="shared" si="32"/>
        <v>-9.9354205887778983E-4</v>
      </c>
      <c r="Z387" s="13">
        <v>45889</v>
      </c>
      <c r="AA387" s="2">
        <v>866.5</v>
      </c>
      <c r="AB387" s="2"/>
      <c r="AC387" s="2"/>
      <c r="AD387" s="2"/>
      <c r="AE387" s="2">
        <f t="shared" si="25"/>
        <v>866.5</v>
      </c>
      <c r="AF387" s="2"/>
      <c r="AG387" s="5">
        <f t="shared" si="33"/>
        <v>-6.9220122745406029E-4</v>
      </c>
      <c r="AH387" s="13">
        <v>45889</v>
      </c>
      <c r="AI387" s="2">
        <v>493.6</v>
      </c>
      <c r="AJ387" s="2"/>
      <c r="AK387" s="2"/>
      <c r="AL387" s="2"/>
      <c r="AM387" s="2">
        <f t="shared" si="26"/>
        <v>493.6</v>
      </c>
      <c r="AN387" s="2"/>
      <c r="AO387" s="5">
        <f t="shared" si="34"/>
        <v>0</v>
      </c>
      <c r="AP387" s="13">
        <v>45889</v>
      </c>
      <c r="AQ387" s="11">
        <v>456.5</v>
      </c>
      <c r="AR387" s="2"/>
      <c r="AS387" s="2"/>
      <c r="AT387" s="2"/>
      <c r="AU387" s="11">
        <f t="shared" si="27"/>
        <v>456.5</v>
      </c>
      <c r="AV387" s="2"/>
      <c r="AW387" s="5">
        <f t="shared" si="35"/>
        <v>-7.8551571263998539E-3</v>
      </c>
      <c r="AX387" s="13">
        <v>45889</v>
      </c>
      <c r="AY387" s="2">
        <v>21.9</v>
      </c>
      <c r="AZ387" s="2"/>
      <c r="BA387" s="2"/>
      <c r="BB387" s="2"/>
      <c r="BC387" s="2">
        <f t="shared" si="28"/>
        <v>21.9</v>
      </c>
      <c r="BD387" s="2"/>
      <c r="BE387" s="5">
        <f t="shared" si="36"/>
        <v>-1.810004164361799E-2</v>
      </c>
      <c r="BF387" s="13">
        <v>45889</v>
      </c>
      <c r="BG387" s="2">
        <v>166.8</v>
      </c>
      <c r="BH387" s="2"/>
      <c r="BI387" s="2"/>
      <c r="BJ387" s="2"/>
      <c r="BK387" s="2">
        <f t="shared" si="29"/>
        <v>166.8</v>
      </c>
      <c r="BL387" s="2"/>
      <c r="BM387" s="5">
        <f t="shared" si="37"/>
        <v>-2.0178726214627261E-2</v>
      </c>
    </row>
    <row r="388" spans="1:65" ht="15.75" customHeight="1" x14ac:dyDescent="0.35">
      <c r="A388" s="675"/>
      <c r="B388" s="13">
        <v>45890</v>
      </c>
      <c r="C388" s="2">
        <v>9.6999999999999993</v>
      </c>
      <c r="D388" s="2"/>
      <c r="E388" s="2"/>
      <c r="F388" s="2"/>
      <c r="G388" s="11">
        <f t="shared" si="30"/>
        <v>9.6999999999999993</v>
      </c>
      <c r="H388" s="2"/>
      <c r="I388" s="5">
        <f t="shared" si="38"/>
        <v>-2.0408871631207238E-2</v>
      </c>
      <c r="J388" s="13">
        <v>45890</v>
      </c>
      <c r="K388" s="2">
        <v>37.9</v>
      </c>
      <c r="L388" s="2"/>
      <c r="M388" s="2"/>
      <c r="N388" s="2"/>
      <c r="O388" s="11">
        <f t="shared" si="23"/>
        <v>37.9</v>
      </c>
      <c r="P388" s="2"/>
      <c r="Q388" s="5">
        <f t="shared" si="31"/>
        <v>0</v>
      </c>
      <c r="R388" s="13">
        <v>45890</v>
      </c>
      <c r="S388" s="2">
        <v>299.2</v>
      </c>
      <c r="T388" s="2"/>
      <c r="U388" s="2"/>
      <c r="V388" s="2"/>
      <c r="W388" s="11">
        <f t="shared" si="24"/>
        <v>299.2</v>
      </c>
      <c r="X388" s="2"/>
      <c r="Y388" s="5">
        <f t="shared" si="32"/>
        <v>-8.6523002334264569E-3</v>
      </c>
      <c r="Z388" s="13">
        <v>45890</v>
      </c>
      <c r="AA388" s="2">
        <v>866.2</v>
      </c>
      <c r="AB388" s="2"/>
      <c r="AC388" s="2"/>
      <c r="AD388" s="2"/>
      <c r="AE388" s="2">
        <f t="shared" si="25"/>
        <v>866.2</v>
      </c>
      <c r="AF388" s="2"/>
      <c r="AG388" s="5">
        <f t="shared" si="33"/>
        <v>-3.4628037513444339E-4</v>
      </c>
      <c r="AH388" s="13">
        <v>45890</v>
      </c>
      <c r="AI388" s="2">
        <v>483.4</v>
      </c>
      <c r="AJ388" s="2"/>
      <c r="AK388" s="2"/>
      <c r="AL388" s="2"/>
      <c r="AM388" s="2">
        <f t="shared" si="26"/>
        <v>483.4</v>
      </c>
      <c r="AN388" s="2"/>
      <c r="AO388" s="5">
        <f t="shared" si="34"/>
        <v>-2.0881004321795491E-2</v>
      </c>
      <c r="AP388" s="13">
        <v>45890</v>
      </c>
      <c r="AQ388" s="11">
        <v>453.6</v>
      </c>
      <c r="AR388" s="2"/>
      <c r="AS388" s="2"/>
      <c r="AT388" s="2"/>
      <c r="AU388" s="11">
        <f t="shared" si="27"/>
        <v>453.6</v>
      </c>
      <c r="AV388" s="2"/>
      <c r="AW388" s="5">
        <f t="shared" si="35"/>
        <v>-6.3729476214808168E-3</v>
      </c>
      <c r="AX388" s="13">
        <v>45890</v>
      </c>
      <c r="AY388" s="2">
        <v>21.9</v>
      </c>
      <c r="AZ388" s="2"/>
      <c r="BA388" s="2"/>
      <c r="BB388" s="2"/>
      <c r="BC388" s="2">
        <f t="shared" si="28"/>
        <v>21.9</v>
      </c>
      <c r="BD388" s="2"/>
      <c r="BE388" s="5">
        <f t="shared" si="36"/>
        <v>0</v>
      </c>
      <c r="BF388" s="13">
        <v>45890</v>
      </c>
      <c r="BG388" s="2">
        <v>167.1</v>
      </c>
      <c r="BH388" s="2"/>
      <c r="BI388" s="2"/>
      <c r="BJ388" s="2"/>
      <c r="BK388" s="2">
        <f t="shared" si="29"/>
        <v>167.1</v>
      </c>
      <c r="BL388" s="2"/>
      <c r="BM388" s="5">
        <f t="shared" si="37"/>
        <v>1.7969456767016347E-3</v>
      </c>
    </row>
    <row r="389" spans="1:65" ht="15.75" customHeight="1" x14ac:dyDescent="0.35">
      <c r="A389" s="675"/>
      <c r="B389" s="13">
        <v>45893</v>
      </c>
      <c r="C389" s="2">
        <v>9.6999999999999993</v>
      </c>
      <c r="D389" s="2"/>
      <c r="E389" s="2"/>
      <c r="F389" s="2"/>
      <c r="G389" s="11">
        <f t="shared" si="30"/>
        <v>9.6999999999999993</v>
      </c>
      <c r="H389" s="2"/>
      <c r="I389" s="5">
        <f t="shared" si="38"/>
        <v>0</v>
      </c>
      <c r="J389" s="13">
        <v>45893</v>
      </c>
      <c r="K389" s="2">
        <v>37.9</v>
      </c>
      <c r="L389" s="2"/>
      <c r="M389" s="2"/>
      <c r="N389" s="2"/>
      <c r="O389" s="11">
        <f t="shared" si="23"/>
        <v>37.9</v>
      </c>
      <c r="P389" s="2"/>
      <c r="Q389" s="5">
        <f t="shared" si="31"/>
        <v>0</v>
      </c>
      <c r="R389" s="13">
        <v>45893</v>
      </c>
      <c r="S389" s="2">
        <v>296.60000000000002</v>
      </c>
      <c r="T389" s="2"/>
      <c r="U389" s="2"/>
      <c r="V389" s="2"/>
      <c r="W389" s="11">
        <f t="shared" si="24"/>
        <v>296.60000000000002</v>
      </c>
      <c r="X389" s="2"/>
      <c r="Y389" s="5">
        <f t="shared" si="32"/>
        <v>-8.7278163964903243E-3</v>
      </c>
      <c r="Z389" s="13">
        <v>45893</v>
      </c>
      <c r="AA389" s="2">
        <v>862.5</v>
      </c>
      <c r="AB389" s="2"/>
      <c r="AC389" s="2"/>
      <c r="AD389" s="2"/>
      <c r="AE389" s="2">
        <f t="shared" si="25"/>
        <v>862.5</v>
      </c>
      <c r="AF389" s="2"/>
      <c r="AG389" s="5">
        <f t="shared" si="33"/>
        <v>-4.2806798750115753E-3</v>
      </c>
      <c r="AH389" s="13">
        <v>45893</v>
      </c>
      <c r="AI389" s="2">
        <v>478.5</v>
      </c>
      <c r="AJ389" s="2"/>
      <c r="AK389" s="2"/>
      <c r="AL389" s="2"/>
      <c r="AM389" s="2">
        <f t="shared" si="26"/>
        <v>478.5</v>
      </c>
      <c r="AN389" s="2"/>
      <c r="AO389" s="5">
        <f t="shared" si="34"/>
        <v>-1.0188257376373671E-2</v>
      </c>
      <c r="AP389" s="13">
        <v>45893</v>
      </c>
      <c r="AQ389" s="11">
        <v>446.2</v>
      </c>
      <c r="AR389" s="2"/>
      <c r="AS389" s="2"/>
      <c r="AT389" s="2"/>
      <c r="AU389" s="11">
        <f t="shared" si="27"/>
        <v>446.2</v>
      </c>
      <c r="AV389" s="2"/>
      <c r="AW389" s="5">
        <f t="shared" si="35"/>
        <v>-1.6448470415110217E-2</v>
      </c>
      <c r="AX389" s="13">
        <v>45893</v>
      </c>
      <c r="AY389" s="2">
        <v>21.6</v>
      </c>
      <c r="AZ389" s="2"/>
      <c r="BA389" s="2"/>
      <c r="BB389" s="2"/>
      <c r="BC389" s="2">
        <f t="shared" si="28"/>
        <v>21.6</v>
      </c>
      <c r="BD389" s="2"/>
      <c r="BE389" s="5">
        <f t="shared" si="36"/>
        <v>-1.3793322132335648E-2</v>
      </c>
      <c r="BF389" s="13">
        <v>45893</v>
      </c>
      <c r="BG389" s="2">
        <v>165.4</v>
      </c>
      <c r="BH389" s="2"/>
      <c r="BI389" s="2"/>
      <c r="BJ389" s="2"/>
      <c r="BK389" s="2">
        <f t="shared" si="29"/>
        <v>165.4</v>
      </c>
      <c r="BL389" s="2"/>
      <c r="BM389" s="5">
        <f t="shared" si="37"/>
        <v>-1.0225653011757038E-2</v>
      </c>
    </row>
    <row r="390" spans="1:65" ht="15.75" customHeight="1" x14ac:dyDescent="0.35">
      <c r="A390" s="675"/>
      <c r="B390" s="13">
        <v>45894</v>
      </c>
      <c r="C390" s="2">
        <v>9.6999999999999993</v>
      </c>
      <c r="D390" s="2"/>
      <c r="E390" s="2"/>
      <c r="F390" s="2"/>
      <c r="G390" s="11">
        <f t="shared" si="30"/>
        <v>9.6999999999999993</v>
      </c>
      <c r="H390" s="2"/>
      <c r="I390" s="5">
        <f t="shared" si="38"/>
        <v>0</v>
      </c>
      <c r="J390" s="13">
        <v>45894</v>
      </c>
      <c r="K390" s="2">
        <v>40</v>
      </c>
      <c r="L390" s="2"/>
      <c r="M390" s="2"/>
      <c r="N390" s="2"/>
      <c r="O390" s="11">
        <f t="shared" si="23"/>
        <v>40</v>
      </c>
      <c r="P390" s="2"/>
      <c r="Q390" s="5">
        <f t="shared" si="31"/>
        <v>5.3928342025555645E-2</v>
      </c>
      <c r="R390" s="13">
        <v>45894</v>
      </c>
      <c r="S390" s="2">
        <v>298.7</v>
      </c>
      <c r="T390" s="2"/>
      <c r="U390" s="2"/>
      <c r="V390" s="2"/>
      <c r="W390" s="11">
        <f t="shared" si="24"/>
        <v>298.7</v>
      </c>
      <c r="X390" s="2"/>
      <c r="Y390" s="5">
        <f t="shared" si="32"/>
        <v>7.0552955182323742E-3</v>
      </c>
      <c r="Z390" s="13">
        <v>45894</v>
      </c>
      <c r="AA390" s="2">
        <v>863.8</v>
      </c>
      <c r="AB390" s="2"/>
      <c r="AC390" s="2"/>
      <c r="AD390" s="2"/>
      <c r="AE390" s="2">
        <f t="shared" si="25"/>
        <v>863.8</v>
      </c>
      <c r="AF390" s="2"/>
      <c r="AG390" s="5">
        <f t="shared" si="33"/>
        <v>1.5061116210858725E-3</v>
      </c>
      <c r="AH390" s="13">
        <v>45894</v>
      </c>
      <c r="AI390" s="2">
        <v>475.9</v>
      </c>
      <c r="AJ390" s="2"/>
      <c r="AK390" s="2"/>
      <c r="AL390" s="2"/>
      <c r="AM390" s="2">
        <f t="shared" si="26"/>
        <v>475.9</v>
      </c>
      <c r="AN390" s="2"/>
      <c r="AO390" s="5">
        <f t="shared" si="34"/>
        <v>-5.4484627659442371E-3</v>
      </c>
      <c r="AP390" s="13">
        <v>45894</v>
      </c>
      <c r="AQ390" s="11">
        <v>448.6</v>
      </c>
      <c r="AR390" s="2"/>
      <c r="AS390" s="2"/>
      <c r="AT390" s="2"/>
      <c r="AU390" s="11">
        <f t="shared" si="27"/>
        <v>448.6</v>
      </c>
      <c r="AV390" s="2"/>
      <c r="AW390" s="5">
        <f t="shared" si="35"/>
        <v>5.3643400876757759E-3</v>
      </c>
      <c r="AX390" s="13">
        <v>45894</v>
      </c>
      <c r="AY390" s="2">
        <v>22</v>
      </c>
      <c r="AZ390" s="2"/>
      <c r="BA390" s="2"/>
      <c r="BB390" s="2"/>
      <c r="BC390" s="2">
        <f t="shared" si="28"/>
        <v>22</v>
      </c>
      <c r="BD390" s="2"/>
      <c r="BE390" s="5">
        <f t="shared" si="36"/>
        <v>1.8349138668196398E-2</v>
      </c>
      <c r="BF390" s="13">
        <v>45894</v>
      </c>
      <c r="BG390" s="2">
        <v>168</v>
      </c>
      <c r="BH390" s="2"/>
      <c r="BI390" s="2"/>
      <c r="BJ390" s="2"/>
      <c r="BK390" s="2">
        <f t="shared" si="29"/>
        <v>168</v>
      </c>
      <c r="BL390" s="2"/>
      <c r="BM390" s="5">
        <f t="shared" si="37"/>
        <v>1.5597196813667988E-2</v>
      </c>
    </row>
    <row r="391" spans="1:65" ht="15.75" customHeight="1" x14ac:dyDescent="0.35">
      <c r="A391" s="675"/>
      <c r="B391" s="13">
        <v>45895</v>
      </c>
      <c r="C391" s="2">
        <v>9.6999999999999993</v>
      </c>
      <c r="D391" s="2"/>
      <c r="E391" s="2"/>
      <c r="F391" s="2"/>
      <c r="G391" s="11">
        <f t="shared" si="30"/>
        <v>9.6999999999999993</v>
      </c>
      <c r="H391" s="2"/>
      <c r="I391" s="5">
        <f t="shared" si="38"/>
        <v>0</v>
      </c>
      <c r="J391" s="13">
        <v>45895</v>
      </c>
      <c r="K391" s="2">
        <v>39.6</v>
      </c>
      <c r="L391" s="2"/>
      <c r="M391" s="2"/>
      <c r="N391" s="2"/>
      <c r="O391" s="11">
        <f t="shared" si="23"/>
        <v>39.6</v>
      </c>
      <c r="P391" s="2"/>
      <c r="Q391" s="5">
        <f t="shared" si="31"/>
        <v>-1.0050335853501451E-2</v>
      </c>
      <c r="R391" s="13">
        <v>45895</v>
      </c>
      <c r="S391" s="2">
        <v>298.60000000000002</v>
      </c>
      <c r="T391" s="2"/>
      <c r="U391" s="2"/>
      <c r="V391" s="2"/>
      <c r="W391" s="11">
        <f t="shared" si="24"/>
        <v>298.60000000000002</v>
      </c>
      <c r="X391" s="2"/>
      <c r="Y391" s="5">
        <f t="shared" si="32"/>
        <v>-3.3484011697401098E-4</v>
      </c>
      <c r="Z391" s="13">
        <v>45895</v>
      </c>
      <c r="AA391" s="2">
        <v>861.6</v>
      </c>
      <c r="AB391" s="2"/>
      <c r="AC391" s="2"/>
      <c r="AD391" s="2"/>
      <c r="AE391" s="2">
        <f t="shared" si="25"/>
        <v>861.6</v>
      </c>
      <c r="AF391" s="2"/>
      <c r="AG391" s="5">
        <f t="shared" si="33"/>
        <v>-2.550134684421901E-3</v>
      </c>
      <c r="AH391" s="13">
        <v>45895</v>
      </c>
      <c r="AI391" s="2">
        <v>474.8</v>
      </c>
      <c r="AJ391" s="2"/>
      <c r="AK391" s="2"/>
      <c r="AL391" s="2"/>
      <c r="AM391" s="2">
        <f t="shared" si="26"/>
        <v>474.8</v>
      </c>
      <c r="AN391" s="2"/>
      <c r="AO391" s="5">
        <f t="shared" si="34"/>
        <v>-2.3140853915517732E-3</v>
      </c>
      <c r="AP391" s="13">
        <v>45895</v>
      </c>
      <c r="AQ391" s="11">
        <v>448.8</v>
      </c>
      <c r="AR391" s="2"/>
      <c r="AS391" s="2"/>
      <c r="AT391" s="2"/>
      <c r="AU391" s="11">
        <f t="shared" si="27"/>
        <v>448.8</v>
      </c>
      <c r="AV391" s="2"/>
      <c r="AW391" s="5">
        <f t="shared" si="35"/>
        <v>4.4573212237852881E-4</v>
      </c>
      <c r="AX391" s="13">
        <v>45895</v>
      </c>
      <c r="AY391" s="2">
        <v>22.8</v>
      </c>
      <c r="AZ391" s="2"/>
      <c r="BA391" s="2"/>
      <c r="BB391" s="2"/>
      <c r="BC391" s="2">
        <f t="shared" si="28"/>
        <v>22.8</v>
      </c>
      <c r="BD391" s="2"/>
      <c r="BE391" s="5">
        <f t="shared" si="36"/>
        <v>3.5718082602079246E-2</v>
      </c>
      <c r="BF391" s="13">
        <v>45895</v>
      </c>
      <c r="BG391" s="2">
        <v>165.9</v>
      </c>
      <c r="BH391" s="2"/>
      <c r="BI391" s="2"/>
      <c r="BJ391" s="2"/>
      <c r="BK391" s="2">
        <f t="shared" si="29"/>
        <v>165.9</v>
      </c>
      <c r="BL391" s="2"/>
      <c r="BM391" s="5">
        <f t="shared" si="37"/>
        <v>-1.2578782206860073E-2</v>
      </c>
    </row>
    <row r="392" spans="1:65" ht="15.75" customHeight="1" x14ac:dyDescent="0.35">
      <c r="A392" s="675"/>
      <c r="B392" s="13">
        <v>45896</v>
      </c>
      <c r="C392" s="2">
        <v>9.6</v>
      </c>
      <c r="D392" s="2"/>
      <c r="E392" s="2"/>
      <c r="F392" s="2"/>
      <c r="G392" s="11">
        <f t="shared" si="30"/>
        <v>9.6</v>
      </c>
      <c r="H392" s="2"/>
      <c r="I392" s="5">
        <f t="shared" si="38"/>
        <v>-1.0362787035546547E-2</v>
      </c>
      <c r="J392" s="13">
        <v>45896</v>
      </c>
      <c r="K392" s="2">
        <v>39.1</v>
      </c>
      <c r="L392" s="2"/>
      <c r="M392" s="2"/>
      <c r="N392" s="2"/>
      <c r="O392" s="11">
        <f t="shared" si="23"/>
        <v>39.1</v>
      </c>
      <c r="P392" s="2"/>
      <c r="Q392" s="5">
        <f t="shared" si="31"/>
        <v>-1.2706651269114801E-2</v>
      </c>
      <c r="R392" s="13">
        <v>45896</v>
      </c>
      <c r="S392" s="2">
        <v>299.60000000000002</v>
      </c>
      <c r="T392" s="2"/>
      <c r="U392" s="2"/>
      <c r="V392" s="2"/>
      <c r="W392" s="11">
        <f t="shared" si="24"/>
        <v>299.60000000000002</v>
      </c>
      <c r="X392" s="2"/>
      <c r="Y392" s="5">
        <f t="shared" si="32"/>
        <v>3.343366537974366E-3</v>
      </c>
      <c r="Z392" s="13">
        <v>45896</v>
      </c>
      <c r="AA392" s="2">
        <v>861.4</v>
      </c>
      <c r="AB392" s="2"/>
      <c r="AC392" s="2"/>
      <c r="AD392" s="2"/>
      <c r="AE392" s="2">
        <f t="shared" si="25"/>
        <v>861.4</v>
      </c>
      <c r="AF392" s="2"/>
      <c r="AG392" s="5">
        <f t="shared" si="33"/>
        <v>-2.3215322216863708E-4</v>
      </c>
      <c r="AH392" s="13">
        <v>45896</v>
      </c>
      <c r="AI392" s="2">
        <v>474.6</v>
      </c>
      <c r="AJ392" s="2"/>
      <c r="AK392" s="2"/>
      <c r="AL392" s="2"/>
      <c r="AM392" s="2">
        <f t="shared" si="26"/>
        <v>474.6</v>
      </c>
      <c r="AN392" s="2"/>
      <c r="AO392" s="5">
        <f t="shared" si="34"/>
        <v>-4.2131873384972606E-4</v>
      </c>
      <c r="AP392" s="13">
        <v>45896</v>
      </c>
      <c r="AQ392" s="11">
        <v>447.5</v>
      </c>
      <c r="AR392" s="2"/>
      <c r="AS392" s="2"/>
      <c r="AT392" s="2"/>
      <c r="AU392" s="11">
        <f t="shared" si="27"/>
        <v>447.5</v>
      </c>
      <c r="AV392" s="2"/>
      <c r="AW392" s="5">
        <f t="shared" si="35"/>
        <v>-2.9008164935765287E-3</v>
      </c>
      <c r="AX392" s="13">
        <v>45896</v>
      </c>
      <c r="AY392" s="2">
        <v>22.6</v>
      </c>
      <c r="AZ392" s="2"/>
      <c r="BA392" s="2"/>
      <c r="BB392" s="2"/>
      <c r="BC392" s="2">
        <f t="shared" si="28"/>
        <v>22.6</v>
      </c>
      <c r="BD392" s="2"/>
      <c r="BE392" s="5">
        <f t="shared" si="36"/>
        <v>-8.810629682154807E-3</v>
      </c>
      <c r="BF392" s="13">
        <v>45896</v>
      </c>
      <c r="BG392" s="2">
        <v>164.5</v>
      </c>
      <c r="BH392" s="2"/>
      <c r="BI392" s="2"/>
      <c r="BJ392" s="2"/>
      <c r="BK392" s="2">
        <f t="shared" si="29"/>
        <v>164.5</v>
      </c>
      <c r="BL392" s="2"/>
      <c r="BM392" s="5">
        <f t="shared" si="37"/>
        <v>-8.4746269909722321E-3</v>
      </c>
    </row>
    <row r="393" spans="1:65" ht="15.75" customHeight="1" x14ac:dyDescent="0.35">
      <c r="A393" s="675"/>
      <c r="B393" s="13">
        <v>45897</v>
      </c>
      <c r="C393" s="2">
        <v>9.8000000000000007</v>
      </c>
      <c r="D393" s="2"/>
      <c r="E393" s="2"/>
      <c r="F393" s="2"/>
      <c r="G393" s="11">
        <f t="shared" si="30"/>
        <v>9.8000000000000007</v>
      </c>
      <c r="H393" s="2"/>
      <c r="I393" s="5">
        <f t="shared" si="38"/>
        <v>2.0619287202735825E-2</v>
      </c>
      <c r="J393" s="13">
        <v>45897</v>
      </c>
      <c r="K393" s="2">
        <v>40.5</v>
      </c>
      <c r="L393" s="2"/>
      <c r="M393" s="2"/>
      <c r="N393" s="2"/>
      <c r="O393" s="11">
        <f t="shared" si="23"/>
        <v>40.5</v>
      </c>
      <c r="P393" s="2"/>
      <c r="Q393" s="5">
        <f t="shared" si="31"/>
        <v>3.517950712117332E-2</v>
      </c>
      <c r="R393" s="13">
        <v>45897</v>
      </c>
      <c r="S393" s="2">
        <v>305.39999999999998</v>
      </c>
      <c r="T393" s="2"/>
      <c r="U393" s="2"/>
      <c r="V393" s="2"/>
      <c r="W393" s="11">
        <f t="shared" si="24"/>
        <v>305.39999999999998</v>
      </c>
      <c r="X393" s="2"/>
      <c r="Y393" s="5">
        <f t="shared" si="32"/>
        <v>1.9174141141467437E-2</v>
      </c>
      <c r="Z393" s="13">
        <v>45897</v>
      </c>
      <c r="AA393" s="2">
        <v>857.4</v>
      </c>
      <c r="AB393" s="2"/>
      <c r="AC393" s="2"/>
      <c r="AD393" s="2"/>
      <c r="AE393" s="2">
        <f t="shared" si="25"/>
        <v>857.4</v>
      </c>
      <c r="AF393" s="2"/>
      <c r="AG393" s="5">
        <f t="shared" si="33"/>
        <v>-4.6544184561335133E-3</v>
      </c>
      <c r="AH393" s="13">
        <v>45897</v>
      </c>
      <c r="AI393" s="2">
        <v>516.1</v>
      </c>
      <c r="AJ393" s="6">
        <v>0.05</v>
      </c>
      <c r="AK393" s="2"/>
      <c r="AL393" s="2"/>
      <c r="AM393" s="2">
        <f t="shared" si="26"/>
        <v>541.90499999999997</v>
      </c>
      <c r="AN393" s="2"/>
      <c r="AO393" s="5">
        <f t="shared" si="34"/>
        <v>0.13261836532245014</v>
      </c>
      <c r="AP393" s="13">
        <v>45897</v>
      </c>
      <c r="AQ393" s="11">
        <v>451.1</v>
      </c>
      <c r="AR393" s="2"/>
      <c r="AS393" s="2"/>
      <c r="AT393" s="2"/>
      <c r="AU393" s="11">
        <f t="shared" si="27"/>
        <v>451.1</v>
      </c>
      <c r="AV393" s="2"/>
      <c r="AW393" s="5">
        <f t="shared" si="35"/>
        <v>8.0125066994402635E-3</v>
      </c>
      <c r="AX393" s="13">
        <v>45897</v>
      </c>
      <c r="AY393" s="2">
        <v>23.3</v>
      </c>
      <c r="AZ393" s="2"/>
      <c r="BA393" s="2"/>
      <c r="BB393" s="2"/>
      <c r="BC393" s="2">
        <f t="shared" si="28"/>
        <v>23.3</v>
      </c>
      <c r="BD393" s="2"/>
      <c r="BE393" s="5">
        <f t="shared" si="36"/>
        <v>3.0503454293414625E-2</v>
      </c>
      <c r="BF393" s="13">
        <v>45897</v>
      </c>
      <c r="BG393" s="2">
        <v>166.3</v>
      </c>
      <c r="BH393" s="2"/>
      <c r="BI393" s="2"/>
      <c r="BJ393" s="2"/>
      <c r="BK393" s="2">
        <f t="shared" si="29"/>
        <v>166.3</v>
      </c>
      <c r="BL393" s="2"/>
      <c r="BM393" s="5">
        <f t="shared" si="37"/>
        <v>1.0882815993455487E-2</v>
      </c>
    </row>
    <row r="394" spans="1:65" ht="15.75" customHeight="1" x14ac:dyDescent="0.35">
      <c r="A394" s="675"/>
      <c r="B394" s="13">
        <v>45900</v>
      </c>
      <c r="C394" s="2">
        <v>9.8000000000000007</v>
      </c>
      <c r="D394" s="2"/>
      <c r="E394" s="2"/>
      <c r="F394" s="2"/>
      <c r="G394" s="11">
        <f t="shared" si="30"/>
        <v>9.8000000000000007</v>
      </c>
      <c r="H394" s="2"/>
      <c r="I394" s="5">
        <f t="shared" si="38"/>
        <v>0</v>
      </c>
      <c r="J394" s="13">
        <v>45900</v>
      </c>
      <c r="K394" s="2">
        <v>40.4</v>
      </c>
      <c r="L394" s="2"/>
      <c r="M394" s="2"/>
      <c r="N394" s="2"/>
      <c r="O394" s="11">
        <f t="shared" si="23"/>
        <v>40.4</v>
      </c>
      <c r="P394" s="2"/>
      <c r="Q394" s="5">
        <f t="shared" si="31"/>
        <v>-2.4721891453891483E-3</v>
      </c>
      <c r="R394" s="13">
        <v>45900</v>
      </c>
      <c r="S394" s="2">
        <v>310.39999999999998</v>
      </c>
      <c r="T394" s="2"/>
      <c r="U394" s="2"/>
      <c r="V394" s="2"/>
      <c r="W394" s="11">
        <f t="shared" si="24"/>
        <v>310.39999999999998</v>
      </c>
      <c r="X394" s="2"/>
      <c r="Y394" s="5">
        <f t="shared" si="32"/>
        <v>1.6239395524531648E-2</v>
      </c>
      <c r="Z394" s="13">
        <v>45900</v>
      </c>
      <c r="AA394" s="2">
        <v>877.8</v>
      </c>
      <c r="AB394" s="2"/>
      <c r="AC394" s="2"/>
      <c r="AD394" s="2"/>
      <c r="AE394" s="2">
        <f t="shared" si="25"/>
        <v>877.8</v>
      </c>
      <c r="AF394" s="2"/>
      <c r="AG394" s="5">
        <f t="shared" si="33"/>
        <v>2.3514223090256983E-2</v>
      </c>
      <c r="AH394" s="13">
        <v>45900</v>
      </c>
      <c r="AI394" s="2">
        <v>528.5</v>
      </c>
      <c r="AJ394" s="2"/>
      <c r="AK394" s="2"/>
      <c r="AL394" s="2"/>
      <c r="AM394" s="2">
        <f t="shared" si="26"/>
        <v>528.5</v>
      </c>
      <c r="AN394" s="2"/>
      <c r="AO394" s="5">
        <f t="shared" si="34"/>
        <v>-2.5047904013821148E-2</v>
      </c>
      <c r="AP394" s="13">
        <v>45900</v>
      </c>
      <c r="AQ394" s="11">
        <v>490.5</v>
      </c>
      <c r="AR394" s="2"/>
      <c r="AS394" s="2"/>
      <c r="AT394" s="2"/>
      <c r="AU394" s="11">
        <f t="shared" si="27"/>
        <v>490.5</v>
      </c>
      <c r="AV394" s="2"/>
      <c r="AW394" s="5">
        <f t="shared" si="35"/>
        <v>8.3736234591067576E-2</v>
      </c>
      <c r="AX394" s="13">
        <v>45900</v>
      </c>
      <c r="AY394" s="2">
        <v>24.9</v>
      </c>
      <c r="AZ394" s="2"/>
      <c r="BA394" s="2"/>
      <c r="BB394" s="2"/>
      <c r="BC394" s="2">
        <f t="shared" si="28"/>
        <v>24.9</v>
      </c>
      <c r="BD394" s="2"/>
      <c r="BE394" s="5">
        <f t="shared" si="36"/>
        <v>6.6414442899006887E-2</v>
      </c>
      <c r="BF394" s="13">
        <v>45900</v>
      </c>
      <c r="BG394" s="2">
        <v>169.9</v>
      </c>
      <c r="BH394" s="2"/>
      <c r="BI394" s="2"/>
      <c r="BJ394" s="2"/>
      <c r="BK394" s="2">
        <f t="shared" si="29"/>
        <v>169.9</v>
      </c>
      <c r="BL394" s="2"/>
      <c r="BM394" s="5">
        <f t="shared" si="37"/>
        <v>2.1416642479004322E-2</v>
      </c>
    </row>
    <row r="395" spans="1:65" ht="15.75" customHeight="1" x14ac:dyDescent="0.35">
      <c r="A395" s="675"/>
      <c r="B395" s="13">
        <v>45901</v>
      </c>
      <c r="C395" s="2">
        <v>9.6999999999999993</v>
      </c>
      <c r="D395" s="2"/>
      <c r="E395" s="2"/>
      <c r="F395" s="2"/>
      <c r="G395" s="11">
        <f t="shared" si="30"/>
        <v>9.6999999999999993</v>
      </c>
      <c r="H395" s="2"/>
      <c r="I395" s="5">
        <f t="shared" si="38"/>
        <v>-1.0256500167189221E-2</v>
      </c>
      <c r="J395" s="13">
        <v>45901</v>
      </c>
      <c r="K395" s="2">
        <v>40.299999999999997</v>
      </c>
      <c r="L395" s="2"/>
      <c r="M395" s="2"/>
      <c r="N395" s="2"/>
      <c r="O395" s="11">
        <f t="shared" si="23"/>
        <v>40.299999999999997</v>
      </c>
      <c r="P395" s="2"/>
      <c r="Q395" s="5">
        <f t="shared" si="31"/>
        <v>-2.4783160144670898E-3</v>
      </c>
      <c r="R395" s="13">
        <v>45901</v>
      </c>
      <c r="S395" s="2">
        <v>307</v>
      </c>
      <c r="T395" s="2"/>
      <c r="U395" s="2"/>
      <c r="V395" s="2"/>
      <c r="W395" s="11">
        <f t="shared" si="24"/>
        <v>307</v>
      </c>
      <c r="X395" s="2"/>
      <c r="Y395" s="5">
        <f t="shared" si="32"/>
        <v>-1.1014040721866493E-2</v>
      </c>
      <c r="Z395" s="13">
        <v>45901</v>
      </c>
      <c r="AA395" s="2">
        <v>882</v>
      </c>
      <c r="AB395" s="2"/>
      <c r="AC395" s="2"/>
      <c r="AD395" s="2"/>
      <c r="AE395" s="2">
        <f t="shared" si="25"/>
        <v>882</v>
      </c>
      <c r="AF395" s="2"/>
      <c r="AG395" s="5">
        <f t="shared" si="33"/>
        <v>4.7732787526578117E-3</v>
      </c>
      <c r="AH395" s="13">
        <v>45901</v>
      </c>
      <c r="AI395" s="2">
        <v>509.9</v>
      </c>
      <c r="AJ395" s="2"/>
      <c r="AK395" s="2"/>
      <c r="AL395" s="2"/>
      <c r="AM395" s="2">
        <f t="shared" si="26"/>
        <v>509.9</v>
      </c>
      <c r="AN395" s="2"/>
      <c r="AO395" s="5">
        <f t="shared" si="34"/>
        <v>-3.5828177249182316E-2</v>
      </c>
      <c r="AP395" s="13">
        <v>45901</v>
      </c>
      <c r="AQ395" s="11">
        <v>507.8</v>
      </c>
      <c r="AR395" s="2"/>
      <c r="AS395" s="2"/>
      <c r="AT395" s="2"/>
      <c r="AU395" s="11">
        <f t="shared" si="27"/>
        <v>507.8</v>
      </c>
      <c r="AV395" s="2"/>
      <c r="AW395" s="5">
        <f t="shared" si="35"/>
        <v>3.4662390265160402E-2</v>
      </c>
      <c r="AX395" s="13">
        <v>45901</v>
      </c>
      <c r="AY395" s="2">
        <v>24.3</v>
      </c>
      <c r="AZ395" s="2"/>
      <c r="BA395" s="2"/>
      <c r="BB395" s="2"/>
      <c r="BC395" s="2">
        <f t="shared" si="28"/>
        <v>24.3</v>
      </c>
      <c r="BD395" s="2"/>
      <c r="BE395" s="5">
        <f t="shared" si="36"/>
        <v>-2.4391453124159124E-2</v>
      </c>
      <c r="BF395" s="13">
        <v>45901</v>
      </c>
      <c r="BG395" s="2">
        <v>169.5</v>
      </c>
      <c r="BH395" s="2"/>
      <c r="BI395" s="2"/>
      <c r="BJ395" s="2"/>
      <c r="BK395" s="2">
        <f t="shared" si="29"/>
        <v>169.5</v>
      </c>
      <c r="BL395" s="2"/>
      <c r="BM395" s="5">
        <f t="shared" si="37"/>
        <v>-2.3571018573814236E-3</v>
      </c>
    </row>
    <row r="396" spans="1:65" ht="15.75" customHeight="1" x14ac:dyDescent="0.35">
      <c r="A396" s="675"/>
      <c r="B396" s="13">
        <v>45902</v>
      </c>
      <c r="C396" s="2">
        <v>9.6999999999999993</v>
      </c>
      <c r="D396" s="2"/>
      <c r="E396" s="2"/>
      <c r="F396" s="2"/>
      <c r="G396" s="11">
        <f t="shared" si="30"/>
        <v>9.6999999999999993</v>
      </c>
      <c r="H396" s="2"/>
      <c r="I396" s="5">
        <f t="shared" si="38"/>
        <v>0</v>
      </c>
      <c r="J396" s="13">
        <v>45902</v>
      </c>
      <c r="K396" s="2">
        <v>41.1</v>
      </c>
      <c r="L396" s="2"/>
      <c r="M396" s="2"/>
      <c r="N396" s="2"/>
      <c r="O396" s="11">
        <f t="shared" si="23"/>
        <v>41.1</v>
      </c>
      <c r="P396" s="2"/>
      <c r="Q396" s="5">
        <f t="shared" si="31"/>
        <v>1.9656652549551807E-2</v>
      </c>
      <c r="R396" s="13">
        <v>45902</v>
      </c>
      <c r="S396" s="2">
        <v>310.3</v>
      </c>
      <c r="T396" s="2"/>
      <c r="U396" s="2"/>
      <c r="V396" s="2"/>
      <c r="W396" s="11">
        <f t="shared" si="24"/>
        <v>310.3</v>
      </c>
      <c r="X396" s="2"/>
      <c r="Y396" s="5">
        <f t="shared" si="32"/>
        <v>1.0691823867137323E-2</v>
      </c>
      <c r="Z396" s="13">
        <v>45902</v>
      </c>
      <c r="AA396" s="2">
        <v>881.3</v>
      </c>
      <c r="AB396" s="2"/>
      <c r="AC396" s="2"/>
      <c r="AD396" s="2"/>
      <c r="AE396" s="2">
        <f t="shared" si="25"/>
        <v>881.3</v>
      </c>
      <c r="AF396" s="2"/>
      <c r="AG396" s="5">
        <f t="shared" si="33"/>
        <v>-7.9396590117651199E-4</v>
      </c>
      <c r="AH396" s="13">
        <v>45902</v>
      </c>
      <c r="AI396" s="2">
        <v>503.9</v>
      </c>
      <c r="AJ396" s="2"/>
      <c r="AK396" s="2"/>
      <c r="AL396" s="2"/>
      <c r="AM396" s="2">
        <f t="shared" si="26"/>
        <v>503.9</v>
      </c>
      <c r="AN396" s="2"/>
      <c r="AO396" s="5">
        <f t="shared" si="34"/>
        <v>-1.1836792374557611E-2</v>
      </c>
      <c r="AP396" s="13">
        <v>45902</v>
      </c>
      <c r="AQ396" s="11">
        <v>497.6</v>
      </c>
      <c r="AR396" s="2"/>
      <c r="AS396" s="2"/>
      <c r="AT396" s="2"/>
      <c r="AU396" s="11">
        <f t="shared" si="27"/>
        <v>497.6</v>
      </c>
      <c r="AV396" s="2"/>
      <c r="AW396" s="5">
        <f t="shared" si="35"/>
        <v>-2.0291127845608329E-2</v>
      </c>
      <c r="AX396" s="13">
        <v>45902</v>
      </c>
      <c r="AY396" s="2">
        <v>25.9</v>
      </c>
      <c r="AZ396" s="2"/>
      <c r="BA396" s="2"/>
      <c r="BB396" s="2"/>
      <c r="BC396" s="2">
        <f t="shared" si="28"/>
        <v>25.9</v>
      </c>
      <c r="BD396" s="2"/>
      <c r="BE396" s="5">
        <f t="shared" si="36"/>
        <v>6.3766618358989224E-2</v>
      </c>
      <c r="BF396" s="13">
        <v>45902</v>
      </c>
      <c r="BG396" s="2">
        <v>167</v>
      </c>
      <c r="BH396" s="2"/>
      <c r="BI396" s="2"/>
      <c r="BJ396" s="2"/>
      <c r="BK396" s="2">
        <f t="shared" si="29"/>
        <v>167</v>
      </c>
      <c r="BL396" s="2"/>
      <c r="BM396" s="5">
        <f t="shared" si="37"/>
        <v>-1.4859114403749828E-2</v>
      </c>
    </row>
    <row r="397" spans="1:65" ht="15.75" customHeight="1" x14ac:dyDescent="0.35">
      <c r="A397" s="675"/>
      <c r="B397" s="13">
        <v>45903</v>
      </c>
      <c r="C397" s="2">
        <v>9.9</v>
      </c>
      <c r="D397" s="2"/>
      <c r="E397" s="2"/>
      <c r="F397" s="2"/>
      <c r="G397" s="11">
        <f t="shared" si="30"/>
        <v>9.9</v>
      </c>
      <c r="H397" s="2"/>
      <c r="I397" s="5">
        <f t="shared" si="38"/>
        <v>2.0408871631207252E-2</v>
      </c>
      <c r="J397" s="13">
        <v>45903</v>
      </c>
      <c r="K397" s="2">
        <v>41.3</v>
      </c>
      <c r="L397" s="2"/>
      <c r="M397" s="2"/>
      <c r="N397" s="2"/>
      <c r="O397" s="11">
        <f t="shared" si="23"/>
        <v>41.3</v>
      </c>
      <c r="P397" s="2"/>
      <c r="Q397" s="5">
        <f t="shared" si="31"/>
        <v>4.854378464798143E-3</v>
      </c>
      <c r="R397" s="13">
        <v>45903</v>
      </c>
      <c r="S397" s="2">
        <v>309.7</v>
      </c>
      <c r="T397" s="2"/>
      <c r="U397" s="2"/>
      <c r="V397" s="2"/>
      <c r="W397" s="11">
        <f t="shared" si="24"/>
        <v>309.7</v>
      </c>
      <c r="X397" s="2"/>
      <c r="Y397" s="5">
        <f t="shared" si="32"/>
        <v>-1.9354844751774372E-3</v>
      </c>
      <c r="Z397" s="13">
        <v>45903</v>
      </c>
      <c r="AA397" s="2">
        <v>882.6</v>
      </c>
      <c r="AB397" s="2"/>
      <c r="AC397" s="2"/>
      <c r="AD397" s="2"/>
      <c r="AE397" s="2">
        <f t="shared" si="25"/>
        <v>882.6</v>
      </c>
      <c r="AF397" s="2"/>
      <c r="AG397" s="5">
        <f t="shared" si="33"/>
        <v>1.4740067298321276E-3</v>
      </c>
      <c r="AH397" s="13">
        <v>45903</v>
      </c>
      <c r="AI397" s="2">
        <v>504</v>
      </c>
      <c r="AJ397" s="2"/>
      <c r="AK397" s="2"/>
      <c r="AL397" s="2"/>
      <c r="AM397" s="2">
        <f t="shared" si="26"/>
        <v>504</v>
      </c>
      <c r="AN397" s="2"/>
      <c r="AO397" s="5">
        <f t="shared" si="34"/>
        <v>1.9843238481633295E-4</v>
      </c>
      <c r="AP397" s="13">
        <v>45903</v>
      </c>
      <c r="AQ397" s="11">
        <v>493.3</v>
      </c>
      <c r="AR397" s="2"/>
      <c r="AS397" s="2"/>
      <c r="AT397" s="2"/>
      <c r="AU397" s="11">
        <f t="shared" si="27"/>
        <v>493.3</v>
      </c>
      <c r="AV397" s="2"/>
      <c r="AW397" s="5">
        <f t="shared" si="35"/>
        <v>-8.6790331852771609E-3</v>
      </c>
      <c r="AX397" s="13">
        <v>45903</v>
      </c>
      <c r="AY397" s="2">
        <v>26.9</v>
      </c>
      <c r="AZ397" s="2"/>
      <c r="BA397" s="2"/>
      <c r="BB397" s="2"/>
      <c r="BC397" s="2">
        <f t="shared" si="28"/>
        <v>26.9</v>
      </c>
      <c r="BD397" s="2"/>
      <c r="BE397" s="5">
        <f t="shared" si="36"/>
        <v>3.7883317902301282E-2</v>
      </c>
      <c r="BF397" s="13">
        <v>45903</v>
      </c>
      <c r="BG397" s="2">
        <v>166.8</v>
      </c>
      <c r="BH397" s="2"/>
      <c r="BI397" s="2"/>
      <c r="BJ397" s="2"/>
      <c r="BK397" s="2">
        <f t="shared" si="29"/>
        <v>166.8</v>
      </c>
      <c r="BL397" s="2"/>
      <c r="BM397" s="5">
        <f t="shared" si="37"/>
        <v>-1.1983224921086443E-3</v>
      </c>
    </row>
    <row r="398" spans="1:65" ht="15.75" customHeight="1" x14ac:dyDescent="0.35">
      <c r="A398" s="675"/>
      <c r="B398" s="13">
        <v>45904</v>
      </c>
      <c r="C398" s="2">
        <v>9.8000000000000007</v>
      </c>
      <c r="D398" s="2"/>
      <c r="E398" s="2"/>
      <c r="F398" s="2"/>
      <c r="G398" s="11">
        <f t="shared" si="30"/>
        <v>9.8000000000000007</v>
      </c>
      <c r="H398" s="2"/>
      <c r="I398" s="5">
        <f t="shared" si="38"/>
        <v>-1.0152371464017962E-2</v>
      </c>
      <c r="J398" s="13">
        <v>45904</v>
      </c>
      <c r="K398" s="2">
        <v>42.2</v>
      </c>
      <c r="L398" s="2"/>
      <c r="M398" s="2"/>
      <c r="N398" s="2"/>
      <c r="O398" s="11">
        <f t="shared" si="23"/>
        <v>42.2</v>
      </c>
      <c r="P398" s="2"/>
      <c r="Q398" s="5">
        <f t="shared" si="31"/>
        <v>2.1557721074979271E-2</v>
      </c>
      <c r="R398" s="13">
        <v>45904</v>
      </c>
      <c r="S398" s="2">
        <v>304.39999999999998</v>
      </c>
      <c r="T398" s="2"/>
      <c r="U398" s="2"/>
      <c r="V398" s="2"/>
      <c r="W398" s="11">
        <f t="shared" si="24"/>
        <v>304.39999999999998</v>
      </c>
      <c r="X398" s="2"/>
      <c r="Y398" s="5">
        <f t="shared" si="32"/>
        <v>-1.7261460991626364E-2</v>
      </c>
      <c r="Z398" s="13">
        <v>45904</v>
      </c>
      <c r="AA398" s="2">
        <v>882.8</v>
      </c>
      <c r="AB398" s="2"/>
      <c r="AC398" s="2"/>
      <c r="AD398" s="2"/>
      <c r="AE398" s="2">
        <f t="shared" si="25"/>
        <v>882.8</v>
      </c>
      <c r="AF398" s="2"/>
      <c r="AG398" s="5">
        <f t="shared" si="33"/>
        <v>2.2657754713438291E-4</v>
      </c>
      <c r="AH398" s="13">
        <v>45904</v>
      </c>
      <c r="AI398" s="2">
        <v>504.9</v>
      </c>
      <c r="AJ398" s="2"/>
      <c r="AK398" s="2"/>
      <c r="AL398" s="2"/>
      <c r="AM398" s="2">
        <f t="shared" si="26"/>
        <v>504.9</v>
      </c>
      <c r="AN398" s="2"/>
      <c r="AO398" s="5">
        <f t="shared" si="34"/>
        <v>1.784121793501392E-3</v>
      </c>
      <c r="AP398" s="13">
        <v>45904</v>
      </c>
      <c r="AQ398" s="11">
        <v>481.4</v>
      </c>
      <c r="AR398" s="2"/>
      <c r="AS398" s="2"/>
      <c r="AT398" s="2"/>
      <c r="AU398" s="11">
        <f t="shared" si="27"/>
        <v>481.4</v>
      </c>
      <c r="AV398" s="2"/>
      <c r="AW398" s="5">
        <f t="shared" si="35"/>
        <v>-2.4418982890721114E-2</v>
      </c>
      <c r="AX398" s="13">
        <v>45904</v>
      </c>
      <c r="AY398" s="2">
        <v>26</v>
      </c>
      <c r="AZ398" s="2"/>
      <c r="BA398" s="2"/>
      <c r="BB398" s="2"/>
      <c r="BC398" s="2">
        <f t="shared" si="28"/>
        <v>26</v>
      </c>
      <c r="BD398" s="2"/>
      <c r="BE398" s="5">
        <f t="shared" si="36"/>
        <v>-3.4029748586311373E-2</v>
      </c>
      <c r="BF398" s="13">
        <v>45904</v>
      </c>
      <c r="BG398" s="2">
        <v>165.5</v>
      </c>
      <c r="BH398" s="2"/>
      <c r="BI398" s="2"/>
      <c r="BJ398" s="2"/>
      <c r="BK398" s="2">
        <f t="shared" si="29"/>
        <v>165.5</v>
      </c>
      <c r="BL398" s="2"/>
      <c r="BM398" s="5">
        <f t="shared" si="37"/>
        <v>-7.8242951075288558E-3</v>
      </c>
    </row>
    <row r="399" spans="1:65" ht="15.75" customHeight="1" x14ac:dyDescent="0.35">
      <c r="A399" s="675"/>
      <c r="B399" s="13">
        <v>45907</v>
      </c>
      <c r="C399" s="2">
        <v>9.6999999999999993</v>
      </c>
      <c r="D399" s="2"/>
      <c r="E399" s="2"/>
      <c r="F399" s="2"/>
      <c r="G399" s="11">
        <f t="shared" si="30"/>
        <v>9.6999999999999993</v>
      </c>
      <c r="H399" s="2"/>
      <c r="I399" s="5">
        <f t="shared" si="38"/>
        <v>-1.0256500167189221E-2</v>
      </c>
      <c r="J399" s="13">
        <v>45907</v>
      </c>
      <c r="K399" s="2">
        <v>43.1</v>
      </c>
      <c r="L399" s="2"/>
      <c r="M399" s="2"/>
      <c r="N399" s="2"/>
      <c r="O399" s="11">
        <f t="shared" si="23"/>
        <v>43.1</v>
      </c>
      <c r="P399" s="2"/>
      <c r="Q399" s="5">
        <f t="shared" si="31"/>
        <v>2.1102776067736036E-2</v>
      </c>
      <c r="R399" s="13">
        <v>45907</v>
      </c>
      <c r="S399" s="2">
        <v>306.3</v>
      </c>
      <c r="T399" s="2"/>
      <c r="U399" s="2"/>
      <c r="V399" s="2"/>
      <c r="W399" s="11">
        <f t="shared" si="24"/>
        <v>306.3</v>
      </c>
      <c r="X399" s="2"/>
      <c r="Y399" s="5">
        <f t="shared" si="32"/>
        <v>6.2223878511989674E-3</v>
      </c>
      <c r="Z399" s="13">
        <v>45907</v>
      </c>
      <c r="AA399" s="2">
        <v>876.5</v>
      </c>
      <c r="AB399" s="2"/>
      <c r="AC399" s="2"/>
      <c r="AD399" s="2"/>
      <c r="AE399" s="2">
        <f t="shared" si="25"/>
        <v>876.5</v>
      </c>
      <c r="AF399" s="2"/>
      <c r="AG399" s="5">
        <f t="shared" si="33"/>
        <v>-7.1619700212920542E-3</v>
      </c>
      <c r="AH399" s="13">
        <v>45907</v>
      </c>
      <c r="AI399" s="2">
        <v>504.3</v>
      </c>
      <c r="AJ399" s="2"/>
      <c r="AK399" s="2"/>
      <c r="AL399" s="2"/>
      <c r="AM399" s="2">
        <f t="shared" si="26"/>
        <v>504.3</v>
      </c>
      <c r="AN399" s="2"/>
      <c r="AO399" s="5">
        <f t="shared" si="34"/>
        <v>-1.1890607821903546E-3</v>
      </c>
      <c r="AP399" s="13">
        <v>45907</v>
      </c>
      <c r="AQ399" s="11">
        <v>480.4</v>
      </c>
      <c r="AR399" s="2"/>
      <c r="AS399" s="2"/>
      <c r="AT399" s="2"/>
      <c r="AU399" s="11">
        <f t="shared" si="27"/>
        <v>480.4</v>
      </c>
      <c r="AV399" s="2"/>
      <c r="AW399" s="5">
        <f t="shared" si="35"/>
        <v>-2.0794351431430761E-3</v>
      </c>
      <c r="AX399" s="13">
        <v>45907</v>
      </c>
      <c r="AY399" s="2">
        <v>26.7</v>
      </c>
      <c r="AZ399" s="2"/>
      <c r="BA399" s="2"/>
      <c r="BB399" s="2"/>
      <c r="BC399" s="2">
        <f t="shared" si="28"/>
        <v>26.7</v>
      </c>
      <c r="BD399" s="2"/>
      <c r="BE399" s="5">
        <f t="shared" si="36"/>
        <v>2.6567027384721706E-2</v>
      </c>
      <c r="BF399" s="13">
        <v>45907</v>
      </c>
      <c r="BG399" s="2">
        <v>165.7</v>
      </c>
      <c r="BH399" s="2"/>
      <c r="BI399" s="2"/>
      <c r="BJ399" s="2"/>
      <c r="BK399" s="2">
        <f t="shared" si="29"/>
        <v>165.7</v>
      </c>
      <c r="BL399" s="2"/>
      <c r="BM399" s="5">
        <f t="shared" si="37"/>
        <v>1.2077296153995378E-3</v>
      </c>
    </row>
    <row r="400" spans="1:65" ht="15.75" customHeight="1" x14ac:dyDescent="0.35">
      <c r="A400" s="675"/>
      <c r="B400" s="13">
        <v>45908</v>
      </c>
      <c r="C400" s="2">
        <v>9.6</v>
      </c>
      <c r="D400" s="2"/>
      <c r="E400" s="2"/>
      <c r="F400" s="2"/>
      <c r="G400" s="11">
        <f t="shared" si="30"/>
        <v>9.6</v>
      </c>
      <c r="H400" s="2"/>
      <c r="I400" s="5">
        <f t="shared" si="38"/>
        <v>-1.0362787035546547E-2</v>
      </c>
      <c r="J400" s="13">
        <v>45908</v>
      </c>
      <c r="K400" s="2">
        <v>44.2</v>
      </c>
      <c r="L400" s="2"/>
      <c r="M400" s="2"/>
      <c r="N400" s="2"/>
      <c r="O400" s="11">
        <f t="shared" si="23"/>
        <v>44.2</v>
      </c>
      <c r="P400" s="2"/>
      <c r="Q400" s="5">
        <f t="shared" si="31"/>
        <v>2.5201791973950324E-2</v>
      </c>
      <c r="R400" s="13">
        <v>45908</v>
      </c>
      <c r="S400" s="2">
        <v>305.39999999999998</v>
      </c>
      <c r="T400" s="2"/>
      <c r="U400" s="2"/>
      <c r="V400" s="2"/>
      <c r="W400" s="11">
        <f t="shared" si="24"/>
        <v>305.39999999999998</v>
      </c>
      <c r="X400" s="2"/>
      <c r="Y400" s="5">
        <f t="shared" si="32"/>
        <v>-2.9426210541976467E-3</v>
      </c>
      <c r="Z400" s="13">
        <v>45908</v>
      </c>
      <c r="AA400" s="2">
        <v>875.1</v>
      </c>
      <c r="AB400" s="2"/>
      <c r="AC400" s="2"/>
      <c r="AD400" s="2"/>
      <c r="AE400" s="2">
        <f t="shared" si="25"/>
        <v>875.1</v>
      </c>
      <c r="AF400" s="2"/>
      <c r="AG400" s="5">
        <f t="shared" si="33"/>
        <v>-1.5985388195037E-3</v>
      </c>
      <c r="AH400" s="13">
        <v>45908</v>
      </c>
      <c r="AI400" s="2">
        <v>506</v>
      </c>
      <c r="AJ400" s="2"/>
      <c r="AK400" s="2"/>
      <c r="AL400" s="2"/>
      <c r="AM400" s="2">
        <f t="shared" si="26"/>
        <v>506</v>
      </c>
      <c r="AN400" s="2"/>
      <c r="AO400" s="5">
        <f t="shared" si="34"/>
        <v>3.3653402047859825E-3</v>
      </c>
      <c r="AP400" s="13">
        <v>45908</v>
      </c>
      <c r="AQ400" s="11">
        <v>474.7</v>
      </c>
      <c r="AR400" s="2"/>
      <c r="AS400" s="2"/>
      <c r="AT400" s="2"/>
      <c r="AU400" s="11">
        <f t="shared" si="27"/>
        <v>474.7</v>
      </c>
      <c r="AV400" s="2"/>
      <c r="AW400" s="5">
        <f t="shared" si="35"/>
        <v>-1.1936064648556099E-2</v>
      </c>
      <c r="AX400" s="13">
        <v>45908</v>
      </c>
      <c r="AY400" s="2">
        <v>26.3</v>
      </c>
      <c r="AZ400" s="2"/>
      <c r="BA400" s="2"/>
      <c r="BB400" s="2"/>
      <c r="BC400" s="2">
        <f t="shared" si="28"/>
        <v>26.3</v>
      </c>
      <c r="BD400" s="2"/>
      <c r="BE400" s="5">
        <f t="shared" si="36"/>
        <v>-1.5094626222484904E-2</v>
      </c>
      <c r="BF400" s="13">
        <v>45908</v>
      </c>
      <c r="BG400" s="2">
        <v>165.8</v>
      </c>
      <c r="BH400" s="2"/>
      <c r="BI400" s="2"/>
      <c r="BJ400" s="2"/>
      <c r="BK400" s="2">
        <f t="shared" si="29"/>
        <v>165.8</v>
      </c>
      <c r="BL400" s="2"/>
      <c r="BM400" s="5">
        <f t="shared" si="37"/>
        <v>6.0331826867760256E-4</v>
      </c>
    </row>
    <row r="401" spans="1:65" ht="15.75" customHeight="1" x14ac:dyDescent="0.35">
      <c r="A401" s="675"/>
      <c r="B401" s="13">
        <v>45909</v>
      </c>
      <c r="C401" s="2">
        <v>9.5</v>
      </c>
      <c r="D401" s="2"/>
      <c r="E401" s="2"/>
      <c r="F401" s="2"/>
      <c r="G401" s="11">
        <f t="shared" si="30"/>
        <v>9.5</v>
      </c>
      <c r="H401" s="2"/>
      <c r="I401" s="5">
        <f t="shared" si="38"/>
        <v>-1.0471299867295366E-2</v>
      </c>
      <c r="J401" s="13">
        <v>45909</v>
      </c>
      <c r="K401" s="2">
        <v>43.2</v>
      </c>
      <c r="L401" s="2"/>
      <c r="M401" s="2"/>
      <c r="N401" s="2"/>
      <c r="O401" s="11">
        <f t="shared" si="23"/>
        <v>43.2</v>
      </c>
      <c r="P401" s="2"/>
      <c r="Q401" s="5">
        <f t="shared" si="31"/>
        <v>-2.2884293833587845E-2</v>
      </c>
      <c r="R401" s="13">
        <v>45909</v>
      </c>
      <c r="S401" s="2">
        <v>300.8</v>
      </c>
      <c r="T401" s="2"/>
      <c r="U401" s="2"/>
      <c r="V401" s="2"/>
      <c r="W401" s="11">
        <f t="shared" si="24"/>
        <v>300.8</v>
      </c>
      <c r="X401" s="2"/>
      <c r="Y401" s="5">
        <f t="shared" si="32"/>
        <v>-1.5176800708847226E-2</v>
      </c>
      <c r="Z401" s="13">
        <v>45909</v>
      </c>
      <c r="AA401" s="2">
        <v>878.3</v>
      </c>
      <c r="AB401" s="2"/>
      <c r="AC401" s="2"/>
      <c r="AD401" s="2"/>
      <c r="AE401" s="2">
        <f t="shared" si="25"/>
        <v>878.3</v>
      </c>
      <c r="AF401" s="2"/>
      <c r="AG401" s="5">
        <f t="shared" si="33"/>
        <v>3.650055381286244E-3</v>
      </c>
      <c r="AH401" s="13">
        <v>45909</v>
      </c>
      <c r="AI401" s="2">
        <v>499.4</v>
      </c>
      <c r="AJ401" s="2"/>
      <c r="AK401" s="2"/>
      <c r="AL401" s="2"/>
      <c r="AM401" s="2">
        <f t="shared" si="26"/>
        <v>499.4</v>
      </c>
      <c r="AN401" s="2"/>
      <c r="AO401" s="5">
        <f t="shared" si="34"/>
        <v>-1.3129291441792736E-2</v>
      </c>
      <c r="AP401" s="13">
        <v>45909</v>
      </c>
      <c r="AQ401" s="11">
        <v>463.8</v>
      </c>
      <c r="AR401" s="2"/>
      <c r="AS401" s="2"/>
      <c r="AT401" s="2"/>
      <c r="AU401" s="11">
        <f t="shared" si="27"/>
        <v>463.8</v>
      </c>
      <c r="AV401" s="2"/>
      <c r="AW401" s="5">
        <f t="shared" si="35"/>
        <v>-2.3229600735840992E-2</v>
      </c>
      <c r="AX401" s="13">
        <v>45909</v>
      </c>
      <c r="AY401" s="2">
        <v>25.4</v>
      </c>
      <c r="AZ401" s="2"/>
      <c r="BA401" s="2"/>
      <c r="BB401" s="2"/>
      <c r="BC401" s="2">
        <f t="shared" si="28"/>
        <v>25.4</v>
      </c>
      <c r="BD401" s="2"/>
      <c r="BE401" s="5">
        <f t="shared" si="36"/>
        <v>-3.4819765159228043E-2</v>
      </c>
      <c r="BF401" s="13">
        <v>45909</v>
      </c>
      <c r="BG401" s="2">
        <v>162.9</v>
      </c>
      <c r="BH401" s="2"/>
      <c r="BI401" s="2"/>
      <c r="BJ401" s="2"/>
      <c r="BK401" s="2">
        <f t="shared" si="29"/>
        <v>162.9</v>
      </c>
      <c r="BL401" s="2"/>
      <c r="BM401" s="5">
        <f t="shared" si="37"/>
        <v>-1.7645727093195198E-2</v>
      </c>
    </row>
    <row r="402" spans="1:65" ht="15.75" customHeight="1" x14ac:dyDescent="0.35">
      <c r="A402" s="675"/>
      <c r="B402" s="13">
        <v>45910</v>
      </c>
      <c r="C402" s="2">
        <v>9.5</v>
      </c>
      <c r="D402" s="2"/>
      <c r="E402" s="2"/>
      <c r="F402" s="2"/>
      <c r="G402" s="11">
        <f t="shared" si="30"/>
        <v>9.5</v>
      </c>
      <c r="H402" s="2"/>
      <c r="I402" s="5">
        <f t="shared" si="38"/>
        <v>0</v>
      </c>
      <c r="J402" s="13">
        <v>45910</v>
      </c>
      <c r="K402" s="2">
        <v>42.3</v>
      </c>
      <c r="L402" s="2"/>
      <c r="M402" s="2"/>
      <c r="N402" s="2"/>
      <c r="O402" s="11">
        <f t="shared" si="23"/>
        <v>42.3</v>
      </c>
      <c r="P402" s="2"/>
      <c r="Q402" s="5">
        <f t="shared" si="31"/>
        <v>-2.1053409197832492E-2</v>
      </c>
      <c r="R402" s="13">
        <v>45910</v>
      </c>
      <c r="S402" s="2">
        <v>300.3</v>
      </c>
      <c r="T402" s="2"/>
      <c r="U402" s="2"/>
      <c r="V402" s="2"/>
      <c r="W402" s="11">
        <f t="shared" si="24"/>
        <v>300.3</v>
      </c>
      <c r="X402" s="2"/>
      <c r="Y402" s="5">
        <f t="shared" si="32"/>
        <v>-1.6636170864001429E-3</v>
      </c>
      <c r="Z402" s="13">
        <v>45910</v>
      </c>
      <c r="AA402" s="2">
        <v>879.4</v>
      </c>
      <c r="AB402" s="2"/>
      <c r="AC402" s="2"/>
      <c r="AD402" s="2"/>
      <c r="AE402" s="2">
        <f t="shared" si="25"/>
        <v>879.4</v>
      </c>
      <c r="AF402" s="2"/>
      <c r="AG402" s="5">
        <f t="shared" si="33"/>
        <v>1.2516358236380409E-3</v>
      </c>
      <c r="AH402" s="13">
        <v>45910</v>
      </c>
      <c r="AI402" s="2">
        <v>496</v>
      </c>
      <c r="AJ402" s="2"/>
      <c r="AK402" s="2"/>
      <c r="AL402" s="2"/>
      <c r="AM402" s="2">
        <f t="shared" si="26"/>
        <v>496</v>
      </c>
      <c r="AN402" s="2"/>
      <c r="AO402" s="5">
        <f t="shared" si="34"/>
        <v>-6.8314511207452615E-3</v>
      </c>
      <c r="AP402" s="13">
        <v>45910</v>
      </c>
      <c r="AQ402" s="11">
        <v>454.7</v>
      </c>
      <c r="AR402" s="2"/>
      <c r="AS402" s="2"/>
      <c r="AT402" s="2"/>
      <c r="AU402" s="11">
        <f t="shared" si="27"/>
        <v>454.7</v>
      </c>
      <c r="AV402" s="2"/>
      <c r="AW402" s="5">
        <f t="shared" si="35"/>
        <v>-1.9815563990466481E-2</v>
      </c>
      <c r="AX402" s="13">
        <v>45910</v>
      </c>
      <c r="AY402" s="2">
        <v>24.4</v>
      </c>
      <c r="AZ402" s="2"/>
      <c r="BA402" s="2"/>
      <c r="BB402" s="2"/>
      <c r="BC402" s="2">
        <f t="shared" si="28"/>
        <v>24.4</v>
      </c>
      <c r="BD402" s="2"/>
      <c r="BE402" s="5">
        <f t="shared" si="36"/>
        <v>-4.0166041725334757E-2</v>
      </c>
      <c r="BF402" s="13">
        <v>45910</v>
      </c>
      <c r="BG402" s="2">
        <v>161.1</v>
      </c>
      <c r="BH402" s="2"/>
      <c r="BI402" s="2"/>
      <c r="BJ402" s="2"/>
      <c r="BK402" s="2">
        <f t="shared" si="29"/>
        <v>161.1</v>
      </c>
      <c r="BL402" s="2"/>
      <c r="BM402" s="5">
        <f t="shared" si="37"/>
        <v>-1.1111225425070835E-2</v>
      </c>
    </row>
    <row r="403" spans="1:65" ht="15.75" customHeight="1" x14ac:dyDescent="0.35">
      <c r="A403" s="675"/>
      <c r="B403" s="13">
        <v>45911</v>
      </c>
      <c r="C403" s="2">
        <v>9.6</v>
      </c>
      <c r="D403" s="2"/>
      <c r="E403" s="2"/>
      <c r="F403" s="2"/>
      <c r="G403" s="11">
        <f t="shared" si="30"/>
        <v>9.6</v>
      </c>
      <c r="H403" s="2"/>
      <c r="I403" s="5">
        <f t="shared" si="38"/>
        <v>1.0471299867295437E-2</v>
      </c>
      <c r="J403" s="13">
        <v>45911</v>
      </c>
      <c r="K403" s="2">
        <v>43.3</v>
      </c>
      <c r="L403" s="2"/>
      <c r="M403" s="2"/>
      <c r="N403" s="2"/>
      <c r="O403" s="11">
        <f t="shared" si="23"/>
        <v>43.3</v>
      </c>
      <c r="P403" s="2"/>
      <c r="Q403" s="5">
        <f t="shared" si="31"/>
        <v>2.3365548956211912E-2</v>
      </c>
      <c r="R403" s="13">
        <v>45911</v>
      </c>
      <c r="S403" s="2">
        <v>301.8</v>
      </c>
      <c r="T403" s="2"/>
      <c r="U403" s="2"/>
      <c r="V403" s="2"/>
      <c r="W403" s="11">
        <f t="shared" si="24"/>
        <v>301.8</v>
      </c>
      <c r="X403" s="2"/>
      <c r="Y403" s="5">
        <f t="shared" si="32"/>
        <v>4.9825713444638731E-3</v>
      </c>
      <c r="Z403" s="13">
        <v>45911</v>
      </c>
      <c r="AA403" s="2">
        <v>880.9</v>
      </c>
      <c r="AB403" s="2"/>
      <c r="AC403" s="2"/>
      <c r="AD403" s="2"/>
      <c r="AE403" s="2">
        <f t="shared" si="25"/>
        <v>880.9</v>
      </c>
      <c r="AF403" s="2"/>
      <c r="AG403" s="5">
        <f t="shared" si="33"/>
        <v>1.7042553690402992E-3</v>
      </c>
      <c r="AH403" s="13">
        <v>45911</v>
      </c>
      <c r="AI403" s="2">
        <v>500.4</v>
      </c>
      <c r="AJ403" s="2"/>
      <c r="AK403" s="2"/>
      <c r="AL403" s="2"/>
      <c r="AM403" s="2">
        <f t="shared" si="26"/>
        <v>500.4</v>
      </c>
      <c r="AN403" s="2"/>
      <c r="AO403" s="5">
        <f t="shared" si="34"/>
        <v>8.8318518678285173E-3</v>
      </c>
      <c r="AP403" s="13">
        <v>45911</v>
      </c>
      <c r="AQ403" s="11">
        <v>453.9</v>
      </c>
      <c r="AR403" s="2"/>
      <c r="AS403" s="2"/>
      <c r="AT403" s="2"/>
      <c r="AU403" s="11">
        <f t="shared" si="27"/>
        <v>453.9</v>
      </c>
      <c r="AV403" s="2"/>
      <c r="AW403" s="5">
        <f t="shared" si="35"/>
        <v>-1.7609513685449523E-3</v>
      </c>
      <c r="AX403" s="13">
        <v>45911</v>
      </c>
      <c r="AY403" s="2">
        <v>25.1</v>
      </c>
      <c r="AZ403" s="2"/>
      <c r="BA403" s="2"/>
      <c r="BB403" s="2"/>
      <c r="BC403" s="2">
        <f t="shared" si="28"/>
        <v>25.1</v>
      </c>
      <c r="BD403" s="2"/>
      <c r="BE403" s="5">
        <f t="shared" si="36"/>
        <v>2.8284713838582103E-2</v>
      </c>
      <c r="BF403" s="13">
        <v>45911</v>
      </c>
      <c r="BG403" s="2">
        <v>160.9</v>
      </c>
      <c r="BH403" s="2"/>
      <c r="BI403" s="2"/>
      <c r="BJ403" s="2"/>
      <c r="BK403" s="2">
        <f t="shared" si="29"/>
        <v>160.9</v>
      </c>
      <c r="BL403" s="2"/>
      <c r="BM403" s="5">
        <f t="shared" si="37"/>
        <v>-1.2422361845910571E-3</v>
      </c>
    </row>
    <row r="404" spans="1:65" ht="15.75" customHeight="1" x14ac:dyDescent="0.35">
      <c r="A404" s="675"/>
      <c r="B404" s="13">
        <v>45914</v>
      </c>
      <c r="C404" s="2">
        <v>9.6</v>
      </c>
      <c r="D404" s="2"/>
      <c r="E404" s="2"/>
      <c r="F404" s="2"/>
      <c r="G404" s="11">
        <f t="shared" si="30"/>
        <v>9.6</v>
      </c>
      <c r="H404" s="2"/>
      <c r="I404" s="5">
        <f t="shared" si="38"/>
        <v>0</v>
      </c>
      <c r="J404" s="13">
        <v>45914</v>
      </c>
      <c r="K404" s="2">
        <v>42.2</v>
      </c>
      <c r="L404" s="2"/>
      <c r="M404" s="2"/>
      <c r="N404" s="2"/>
      <c r="O404" s="11">
        <f t="shared" si="23"/>
        <v>42.2</v>
      </c>
      <c r="P404" s="2"/>
      <c r="Q404" s="5">
        <f t="shared" si="31"/>
        <v>-2.57324139664779E-2</v>
      </c>
      <c r="R404" s="13">
        <v>45914</v>
      </c>
      <c r="S404" s="2">
        <v>299.89999999999998</v>
      </c>
      <c r="T404" s="2"/>
      <c r="U404" s="2"/>
      <c r="V404" s="2"/>
      <c r="W404" s="11">
        <f t="shared" si="24"/>
        <v>299.89999999999998</v>
      </c>
      <c r="X404" s="2"/>
      <c r="Y404" s="5">
        <f t="shared" si="32"/>
        <v>-6.315460578785256E-3</v>
      </c>
      <c r="Z404" s="13">
        <v>45914</v>
      </c>
      <c r="AA404" s="2">
        <v>878.4</v>
      </c>
      <c r="AB404" s="2"/>
      <c r="AC404" s="2"/>
      <c r="AD404" s="2"/>
      <c r="AE404" s="2">
        <f t="shared" si="25"/>
        <v>878.4</v>
      </c>
      <c r="AF404" s="2"/>
      <c r="AG404" s="5">
        <f t="shared" si="33"/>
        <v>-2.8420413604838598E-3</v>
      </c>
      <c r="AH404" s="13">
        <v>45914</v>
      </c>
      <c r="AI404" s="2">
        <v>496.7</v>
      </c>
      <c r="AJ404" s="2"/>
      <c r="AK404" s="2"/>
      <c r="AL404" s="2"/>
      <c r="AM404" s="2">
        <f t="shared" si="26"/>
        <v>496.7</v>
      </c>
      <c r="AN404" s="2"/>
      <c r="AO404" s="5">
        <f t="shared" si="34"/>
        <v>-7.4215564794512792E-3</v>
      </c>
      <c r="AP404" s="13">
        <v>45914</v>
      </c>
      <c r="AQ404" s="11">
        <v>456.1</v>
      </c>
      <c r="AR404" s="2"/>
      <c r="AS404" s="2"/>
      <c r="AT404" s="2"/>
      <c r="AU404" s="11">
        <f t="shared" si="27"/>
        <v>456.1</v>
      </c>
      <c r="AV404" s="2"/>
      <c r="AW404" s="5">
        <f t="shared" si="35"/>
        <v>4.8351742552349645E-3</v>
      </c>
      <c r="AX404" s="13">
        <v>45914</v>
      </c>
      <c r="AY404" s="2">
        <v>24.5</v>
      </c>
      <c r="AZ404" s="2"/>
      <c r="BA404" s="2"/>
      <c r="BB404" s="2"/>
      <c r="BC404" s="2">
        <f t="shared" si="28"/>
        <v>24.5</v>
      </c>
      <c r="BD404" s="2"/>
      <c r="BE404" s="5">
        <f t="shared" si="36"/>
        <v>-2.4194728587056992E-2</v>
      </c>
      <c r="BF404" s="13">
        <v>45914</v>
      </c>
      <c r="BG404" s="2">
        <v>159.80000000000001</v>
      </c>
      <c r="BH404" s="2"/>
      <c r="BI404" s="2"/>
      <c r="BJ404" s="2"/>
      <c r="BK404" s="2">
        <f t="shared" si="29"/>
        <v>159.80000000000001</v>
      </c>
      <c r="BL404" s="2"/>
      <c r="BM404" s="5">
        <f t="shared" si="37"/>
        <v>-6.8600206661631712E-3</v>
      </c>
    </row>
    <row r="405" spans="1:65" ht="15.75" customHeight="1" x14ac:dyDescent="0.35">
      <c r="A405" s="675"/>
      <c r="B405" s="13">
        <v>45915</v>
      </c>
      <c r="C405" s="2">
        <v>9.6999999999999993</v>
      </c>
      <c r="D405" s="2"/>
      <c r="E405" s="2"/>
      <c r="F405" s="2"/>
      <c r="G405" s="11">
        <f t="shared" si="30"/>
        <v>9.6999999999999993</v>
      </c>
      <c r="H405" s="2"/>
      <c r="I405" s="5">
        <f t="shared" si="38"/>
        <v>1.0362787035546658E-2</v>
      </c>
      <c r="J405" s="13">
        <v>45915</v>
      </c>
      <c r="K405" s="2">
        <v>42.2</v>
      </c>
      <c r="L405" s="2"/>
      <c r="M405" s="2"/>
      <c r="N405" s="2"/>
      <c r="O405" s="11">
        <f t="shared" si="23"/>
        <v>42.2</v>
      </c>
      <c r="P405" s="2"/>
      <c r="Q405" s="5">
        <f t="shared" si="31"/>
        <v>0</v>
      </c>
      <c r="R405" s="13">
        <v>45915</v>
      </c>
      <c r="S405" s="2">
        <v>301</v>
      </c>
      <c r="T405" s="2"/>
      <c r="U405" s="2"/>
      <c r="V405" s="2"/>
      <c r="W405" s="11">
        <f t="shared" si="24"/>
        <v>301</v>
      </c>
      <c r="X405" s="2"/>
      <c r="Y405" s="5">
        <f t="shared" si="32"/>
        <v>3.6611789939123168E-3</v>
      </c>
      <c r="Z405" s="13">
        <v>45915</v>
      </c>
      <c r="AA405" s="2">
        <v>866.6</v>
      </c>
      <c r="AB405" s="2"/>
      <c r="AC405" s="2"/>
      <c r="AD405" s="2"/>
      <c r="AE405" s="2">
        <f t="shared" si="25"/>
        <v>866.6</v>
      </c>
      <c r="AF405" s="2"/>
      <c r="AG405" s="5">
        <f t="shared" si="33"/>
        <v>-1.352456144945712E-2</v>
      </c>
      <c r="AH405" s="13">
        <v>45915</v>
      </c>
      <c r="AI405" s="2">
        <v>491</v>
      </c>
      <c r="AJ405" s="2"/>
      <c r="AK405" s="2"/>
      <c r="AL405" s="2"/>
      <c r="AM405" s="2">
        <f t="shared" si="26"/>
        <v>491</v>
      </c>
      <c r="AN405" s="2"/>
      <c r="AO405" s="5">
        <f t="shared" si="34"/>
        <v>-1.1542094318784182E-2</v>
      </c>
      <c r="AP405" s="13">
        <v>45915</v>
      </c>
      <c r="AQ405" s="11">
        <v>462.2</v>
      </c>
      <c r="AR405" s="2"/>
      <c r="AS405" s="2"/>
      <c r="AT405" s="2"/>
      <c r="AU405" s="11">
        <f t="shared" si="27"/>
        <v>462.2</v>
      </c>
      <c r="AV405" s="2"/>
      <c r="AW405" s="5">
        <f t="shared" si="35"/>
        <v>1.3285614122625555E-2</v>
      </c>
      <c r="AX405" s="13">
        <v>45915</v>
      </c>
      <c r="AY405" s="2">
        <v>24.5</v>
      </c>
      <c r="AZ405" s="2"/>
      <c r="BA405" s="2"/>
      <c r="BB405" s="2"/>
      <c r="BC405" s="2">
        <f t="shared" si="28"/>
        <v>24.5</v>
      </c>
      <c r="BD405" s="2"/>
      <c r="BE405" s="5">
        <f t="shared" si="36"/>
        <v>0</v>
      </c>
      <c r="BF405" s="13">
        <v>45915</v>
      </c>
      <c r="BG405" s="2">
        <v>159.5</v>
      </c>
      <c r="BH405" s="2"/>
      <c r="BI405" s="2"/>
      <c r="BJ405" s="2"/>
      <c r="BK405" s="2">
        <f t="shared" si="29"/>
        <v>159.5</v>
      </c>
      <c r="BL405" s="2"/>
      <c r="BM405" s="5">
        <f t="shared" si="37"/>
        <v>-1.8791111072751021E-3</v>
      </c>
    </row>
    <row r="406" spans="1:65" ht="15.75" customHeight="1" x14ac:dyDescent="0.35">
      <c r="A406" s="675"/>
      <c r="B406" s="13">
        <v>45916</v>
      </c>
      <c r="C406" s="2">
        <v>10.6</v>
      </c>
      <c r="D406" s="2"/>
      <c r="E406" s="2"/>
      <c r="F406" s="2"/>
      <c r="G406" s="11">
        <f t="shared" si="30"/>
        <v>10.6</v>
      </c>
      <c r="H406" s="2"/>
      <c r="I406" s="5">
        <f t="shared" si="38"/>
        <v>8.8728115608684432E-2</v>
      </c>
      <c r="J406" s="13">
        <v>45916</v>
      </c>
      <c r="K406" s="2">
        <v>42</v>
      </c>
      <c r="L406" s="2"/>
      <c r="M406" s="2"/>
      <c r="N406" s="2"/>
      <c r="O406" s="11">
        <f t="shared" si="23"/>
        <v>42</v>
      </c>
      <c r="P406" s="2"/>
      <c r="Q406" s="5">
        <f t="shared" si="31"/>
        <v>-4.7506027585978647E-3</v>
      </c>
      <c r="R406" s="13">
        <v>45916</v>
      </c>
      <c r="S406" s="2">
        <v>301.8</v>
      </c>
      <c r="T406" s="2"/>
      <c r="U406" s="2"/>
      <c r="V406" s="2"/>
      <c r="W406" s="11">
        <f t="shared" si="24"/>
        <v>301.8</v>
      </c>
      <c r="X406" s="2"/>
      <c r="Y406" s="5">
        <f t="shared" si="32"/>
        <v>2.6542815848727233E-3</v>
      </c>
      <c r="Z406" s="13">
        <v>45916</v>
      </c>
      <c r="AA406" s="2">
        <v>880.3</v>
      </c>
      <c r="AB406" s="2"/>
      <c r="AC406" s="2"/>
      <c r="AD406" s="2"/>
      <c r="AE406" s="2">
        <f t="shared" si="25"/>
        <v>880.3</v>
      </c>
      <c r="AF406" s="2"/>
      <c r="AG406" s="5">
        <f t="shared" si="33"/>
        <v>1.5685249161051341E-2</v>
      </c>
      <c r="AH406" s="13">
        <v>45916</v>
      </c>
      <c r="AI406" s="2">
        <v>491.5</v>
      </c>
      <c r="AJ406" s="2"/>
      <c r="AK406" s="2"/>
      <c r="AL406" s="2"/>
      <c r="AM406" s="2">
        <f t="shared" si="26"/>
        <v>491.5</v>
      </c>
      <c r="AN406" s="2"/>
      <c r="AO406" s="5">
        <f t="shared" si="34"/>
        <v>1.0178117927006245E-3</v>
      </c>
      <c r="AP406" s="13">
        <v>45916</v>
      </c>
      <c r="AQ406" s="11">
        <v>475.7</v>
      </c>
      <c r="AR406" s="2"/>
      <c r="AS406" s="2"/>
      <c r="AT406" s="2"/>
      <c r="AU406" s="11">
        <f t="shared" si="27"/>
        <v>475.7</v>
      </c>
      <c r="AV406" s="2"/>
      <c r="AW406" s="5">
        <f t="shared" si="35"/>
        <v>2.8789705597955521E-2</v>
      </c>
      <c r="AX406" s="13">
        <v>45916</v>
      </c>
      <c r="AY406" s="2">
        <v>24.7</v>
      </c>
      <c r="AZ406" s="2"/>
      <c r="BA406" s="2"/>
      <c r="BB406" s="2"/>
      <c r="BC406" s="2">
        <f t="shared" si="28"/>
        <v>24.7</v>
      </c>
      <c r="BD406" s="2"/>
      <c r="BE406" s="5">
        <f t="shared" si="36"/>
        <v>8.1301260832500888E-3</v>
      </c>
      <c r="BF406" s="13">
        <v>45916</v>
      </c>
      <c r="BG406" s="2">
        <v>161.9</v>
      </c>
      <c r="BH406" s="2"/>
      <c r="BI406" s="2"/>
      <c r="BJ406" s="2"/>
      <c r="BK406" s="2">
        <f t="shared" si="29"/>
        <v>161.9</v>
      </c>
      <c r="BL406" s="2"/>
      <c r="BM406" s="5">
        <f t="shared" si="37"/>
        <v>1.4934938458690174E-2</v>
      </c>
    </row>
    <row r="407" spans="1:65" ht="15.75" customHeight="1" x14ac:dyDescent="0.35">
      <c r="A407" s="675"/>
      <c r="B407" s="13">
        <v>45917</v>
      </c>
      <c r="C407" s="2">
        <v>10.5</v>
      </c>
      <c r="D407" s="2"/>
      <c r="E407" s="2"/>
      <c r="F407" s="2"/>
      <c r="G407" s="11">
        <f t="shared" si="30"/>
        <v>10.5</v>
      </c>
      <c r="H407" s="2"/>
      <c r="I407" s="5">
        <f t="shared" si="38"/>
        <v>-9.47874395454377E-3</v>
      </c>
      <c r="J407" s="13">
        <v>45917</v>
      </c>
      <c r="K407" s="2">
        <v>41.5</v>
      </c>
      <c r="L407" s="2"/>
      <c r="M407" s="2"/>
      <c r="N407" s="2"/>
      <c r="O407" s="11">
        <f t="shared" si="23"/>
        <v>41.5</v>
      </c>
      <c r="P407" s="2"/>
      <c r="Q407" s="5">
        <f t="shared" si="31"/>
        <v>-1.1976191046715649E-2</v>
      </c>
      <c r="R407" s="13">
        <v>45917</v>
      </c>
      <c r="S407" s="2">
        <v>301.8</v>
      </c>
      <c r="T407" s="2"/>
      <c r="U407" s="2"/>
      <c r="V407" s="2"/>
      <c r="W407" s="11">
        <f t="shared" si="24"/>
        <v>301.8</v>
      </c>
      <c r="X407" s="2"/>
      <c r="Y407" s="5">
        <f t="shared" si="32"/>
        <v>0</v>
      </c>
      <c r="Z407" s="13">
        <v>45917</v>
      </c>
      <c r="AA407" s="2">
        <v>878.7</v>
      </c>
      <c r="AB407" s="2"/>
      <c r="AC407" s="2"/>
      <c r="AD407" s="2"/>
      <c r="AE407" s="2">
        <f t="shared" si="25"/>
        <v>878.7</v>
      </c>
      <c r="AF407" s="2"/>
      <c r="AG407" s="5">
        <f t="shared" si="33"/>
        <v>-1.8192159650629106E-3</v>
      </c>
      <c r="AH407" s="13">
        <v>45917</v>
      </c>
      <c r="AI407" s="2">
        <v>493.8</v>
      </c>
      <c r="AJ407" s="2"/>
      <c r="AK407" s="2"/>
      <c r="AL407" s="2"/>
      <c r="AM407" s="2">
        <f t="shared" si="26"/>
        <v>493.8</v>
      </c>
      <c r="AN407" s="2"/>
      <c r="AO407" s="5">
        <f t="shared" si="34"/>
        <v>4.6686373238578752E-3</v>
      </c>
      <c r="AP407" s="13">
        <v>45917</v>
      </c>
      <c r="AQ407" s="11">
        <v>476.1</v>
      </c>
      <c r="AR407" s="2"/>
      <c r="AS407" s="2"/>
      <c r="AT407" s="2"/>
      <c r="AU407" s="11">
        <f t="shared" si="27"/>
        <v>476.1</v>
      </c>
      <c r="AV407" s="2"/>
      <c r="AW407" s="5">
        <f t="shared" si="35"/>
        <v>8.4051276223734515E-4</v>
      </c>
      <c r="AX407" s="13">
        <v>45917</v>
      </c>
      <c r="AY407" s="2">
        <v>24.8</v>
      </c>
      <c r="AZ407" s="2"/>
      <c r="BA407" s="2"/>
      <c r="BB407" s="2"/>
      <c r="BC407" s="2">
        <f t="shared" si="28"/>
        <v>24.8</v>
      </c>
      <c r="BD407" s="2"/>
      <c r="BE407" s="5">
        <f t="shared" si="36"/>
        <v>4.040409537005127E-3</v>
      </c>
      <c r="BF407" s="13">
        <v>45917</v>
      </c>
      <c r="BG407" s="2">
        <v>163</v>
      </c>
      <c r="BH407" s="2"/>
      <c r="BI407" s="2"/>
      <c r="BJ407" s="2"/>
      <c r="BK407" s="2">
        <f t="shared" si="29"/>
        <v>163</v>
      </c>
      <c r="BL407" s="2"/>
      <c r="BM407" s="5">
        <f t="shared" si="37"/>
        <v>6.7713401231728788E-3</v>
      </c>
    </row>
    <row r="408" spans="1:65" ht="15.75" customHeight="1" x14ac:dyDescent="0.35">
      <c r="A408" s="675"/>
      <c r="B408" s="13">
        <v>45918</v>
      </c>
      <c r="C408" s="2">
        <v>11.1</v>
      </c>
      <c r="D408" s="2"/>
      <c r="E408" s="2"/>
      <c r="F408" s="2"/>
      <c r="G408" s="11">
        <f t="shared" si="30"/>
        <v>11.1</v>
      </c>
      <c r="H408" s="2"/>
      <c r="I408" s="5">
        <f t="shared" si="38"/>
        <v>5.5569851154810786E-2</v>
      </c>
      <c r="J408" s="13">
        <v>45918</v>
      </c>
      <c r="K408" s="2">
        <v>40.6</v>
      </c>
      <c r="L408" s="2"/>
      <c r="M408" s="2"/>
      <c r="N408" s="2"/>
      <c r="O408" s="11">
        <f t="shared" si="23"/>
        <v>40.6</v>
      </c>
      <c r="P408" s="2"/>
      <c r="Q408" s="5">
        <f t="shared" si="31"/>
        <v>-2.1925360628965659E-2</v>
      </c>
      <c r="R408" s="13">
        <v>45918</v>
      </c>
      <c r="S408" s="2">
        <v>301.10000000000002</v>
      </c>
      <c r="T408" s="2"/>
      <c r="U408" s="2"/>
      <c r="V408" s="2"/>
      <c r="W408" s="11">
        <f t="shared" si="24"/>
        <v>301.10000000000002</v>
      </c>
      <c r="X408" s="2"/>
      <c r="Y408" s="5">
        <f t="shared" si="32"/>
        <v>-2.3221108460603512E-3</v>
      </c>
      <c r="Z408" s="13">
        <v>45918</v>
      </c>
      <c r="AA408" s="2">
        <v>875.2</v>
      </c>
      <c r="AB408" s="2"/>
      <c r="AC408" s="2"/>
      <c r="AD408" s="2"/>
      <c r="AE408" s="2">
        <f t="shared" si="25"/>
        <v>875.2</v>
      </c>
      <c r="AF408" s="2"/>
      <c r="AG408" s="5">
        <f t="shared" si="33"/>
        <v>-3.9911108340807246E-3</v>
      </c>
      <c r="AH408" s="13">
        <v>45918</v>
      </c>
      <c r="AI408" s="2">
        <v>490.1</v>
      </c>
      <c r="AJ408" s="2"/>
      <c r="AK408" s="2"/>
      <c r="AL408" s="2"/>
      <c r="AM408" s="2">
        <f t="shared" si="26"/>
        <v>490.1</v>
      </c>
      <c r="AN408" s="2"/>
      <c r="AO408" s="5">
        <f t="shared" si="34"/>
        <v>-7.5211249955772592E-3</v>
      </c>
      <c r="AP408" s="13">
        <v>45918</v>
      </c>
      <c r="AQ408" s="11">
        <v>473.2</v>
      </c>
      <c r="AR408" s="2"/>
      <c r="AS408" s="2"/>
      <c r="AT408" s="2"/>
      <c r="AU408" s="11">
        <f t="shared" si="27"/>
        <v>473.2</v>
      </c>
      <c r="AV408" s="2"/>
      <c r="AW408" s="5">
        <f t="shared" si="35"/>
        <v>-6.1097840962414393E-3</v>
      </c>
      <c r="AX408" s="13">
        <v>45918</v>
      </c>
      <c r="AY408" s="2">
        <v>24.3</v>
      </c>
      <c r="AZ408" s="2"/>
      <c r="BA408" s="2"/>
      <c r="BB408" s="2"/>
      <c r="BC408" s="2">
        <f t="shared" si="28"/>
        <v>24.3</v>
      </c>
      <c r="BD408" s="2"/>
      <c r="BE408" s="5">
        <f t="shared" si="36"/>
        <v>-2.0367302824433699E-2</v>
      </c>
      <c r="BF408" s="13">
        <v>45918</v>
      </c>
      <c r="BG408" s="2">
        <v>159.6</v>
      </c>
      <c r="BH408" s="2"/>
      <c r="BI408" s="2"/>
      <c r="BJ408" s="2"/>
      <c r="BK408" s="2">
        <f t="shared" si="29"/>
        <v>159.6</v>
      </c>
      <c r="BL408" s="2"/>
      <c r="BM408" s="5">
        <f t="shared" si="37"/>
        <v>-2.1079515791053934E-2</v>
      </c>
    </row>
    <row r="409" spans="1:65" ht="15.75" customHeight="1" x14ac:dyDescent="0.35">
      <c r="A409" s="675"/>
      <c r="B409" s="13">
        <v>45921</v>
      </c>
      <c r="C409" s="2">
        <v>11</v>
      </c>
      <c r="D409" s="2"/>
      <c r="E409" s="2"/>
      <c r="F409" s="2"/>
      <c r="G409" s="11">
        <f t="shared" si="30"/>
        <v>11</v>
      </c>
      <c r="H409" s="2"/>
      <c r="I409" s="5">
        <f t="shared" si="38"/>
        <v>-9.0498355199179273E-3</v>
      </c>
      <c r="J409" s="13">
        <v>45921</v>
      </c>
      <c r="K409" s="2">
        <v>39.6</v>
      </c>
      <c r="L409" s="2"/>
      <c r="M409" s="2"/>
      <c r="N409" s="2"/>
      <c r="O409" s="11">
        <f t="shared" si="23"/>
        <v>39.6</v>
      </c>
      <c r="P409" s="2"/>
      <c r="Q409" s="5">
        <f t="shared" si="31"/>
        <v>-2.4938948347252066E-2</v>
      </c>
      <c r="R409" s="13">
        <v>45921</v>
      </c>
      <c r="S409" s="2">
        <v>300.3</v>
      </c>
      <c r="T409" s="2"/>
      <c r="U409" s="2"/>
      <c r="V409" s="2"/>
      <c r="W409" s="11">
        <f t="shared" si="24"/>
        <v>300.3</v>
      </c>
      <c r="X409" s="2"/>
      <c r="Y409" s="5">
        <f t="shared" si="32"/>
        <v>-2.660460498403544E-3</v>
      </c>
      <c r="Z409" s="13">
        <v>45921</v>
      </c>
      <c r="AA409" s="2">
        <v>874.7</v>
      </c>
      <c r="AB409" s="2"/>
      <c r="AC409" s="2"/>
      <c r="AD409" s="2"/>
      <c r="AE409" s="2">
        <f t="shared" si="25"/>
        <v>874.7</v>
      </c>
      <c r="AF409" s="2"/>
      <c r="AG409" s="5">
        <f t="shared" si="33"/>
        <v>-5.7146124190756201E-4</v>
      </c>
      <c r="AH409" s="13">
        <v>45921</v>
      </c>
      <c r="AI409" s="2">
        <v>485.9</v>
      </c>
      <c r="AJ409" s="2"/>
      <c r="AK409" s="2"/>
      <c r="AL409" s="2"/>
      <c r="AM409" s="2">
        <f t="shared" si="26"/>
        <v>485.9</v>
      </c>
      <c r="AN409" s="2"/>
      <c r="AO409" s="5">
        <f t="shared" si="34"/>
        <v>-8.6066105036445868E-3</v>
      </c>
      <c r="AP409" s="13">
        <v>45921</v>
      </c>
      <c r="AQ409" s="11">
        <v>469.3</v>
      </c>
      <c r="AR409" s="2"/>
      <c r="AS409" s="2"/>
      <c r="AT409" s="2"/>
      <c r="AU409" s="11">
        <f t="shared" si="27"/>
        <v>469.3</v>
      </c>
      <c r="AV409" s="2"/>
      <c r="AW409" s="5">
        <f t="shared" si="35"/>
        <v>-8.2759093038597097E-3</v>
      </c>
      <c r="AX409" s="13">
        <v>45921</v>
      </c>
      <c r="AY409" s="2">
        <v>23.9</v>
      </c>
      <c r="AZ409" s="2"/>
      <c r="BA409" s="2"/>
      <c r="BB409" s="2"/>
      <c r="BC409" s="2">
        <f t="shared" si="28"/>
        <v>23.9</v>
      </c>
      <c r="BD409" s="2"/>
      <c r="BE409" s="5">
        <f t="shared" si="36"/>
        <v>-1.6597891409037828E-2</v>
      </c>
      <c r="BF409" s="13">
        <v>45921</v>
      </c>
      <c r="BG409" s="2">
        <v>158.4</v>
      </c>
      <c r="BH409" s="2"/>
      <c r="BI409" s="2"/>
      <c r="BJ409" s="2"/>
      <c r="BK409" s="2">
        <f t="shared" si="29"/>
        <v>158.4</v>
      </c>
      <c r="BL409" s="2"/>
      <c r="BM409" s="5">
        <f t="shared" si="37"/>
        <v>-7.5472056353828544E-3</v>
      </c>
    </row>
    <row r="410" spans="1:65" ht="15.75" customHeight="1" x14ac:dyDescent="0.35">
      <c r="A410" s="675"/>
      <c r="B410" s="13">
        <v>45922</v>
      </c>
      <c r="C410" s="2">
        <v>10.6</v>
      </c>
      <c r="D410" s="2"/>
      <c r="E410" s="2"/>
      <c r="F410" s="2"/>
      <c r="G410" s="11">
        <f t="shared" si="30"/>
        <v>10.6</v>
      </c>
      <c r="H410" s="2"/>
      <c r="I410" s="5">
        <f t="shared" si="38"/>
        <v>-3.7041271680349097E-2</v>
      </c>
      <c r="J410" s="13">
        <v>45922</v>
      </c>
      <c r="K410" s="2">
        <v>39.1</v>
      </c>
      <c r="L410" s="2"/>
      <c r="M410" s="2"/>
      <c r="N410" s="2"/>
      <c r="O410" s="11">
        <f t="shared" si="23"/>
        <v>39.1</v>
      </c>
      <c r="P410" s="2"/>
      <c r="Q410" s="5">
        <f t="shared" si="31"/>
        <v>-1.2706651269114801E-2</v>
      </c>
      <c r="R410" s="13">
        <v>45922</v>
      </c>
      <c r="S410" s="2">
        <v>300.10000000000002</v>
      </c>
      <c r="T410" s="2"/>
      <c r="U410" s="2"/>
      <c r="V410" s="2"/>
      <c r="W410" s="11">
        <f t="shared" si="24"/>
        <v>300.10000000000002</v>
      </c>
      <c r="X410" s="2"/>
      <c r="Y410" s="5">
        <f t="shared" si="32"/>
        <v>-6.6622254296313935E-4</v>
      </c>
      <c r="Z410" s="13">
        <v>45922</v>
      </c>
      <c r="AA410" s="2">
        <v>870.9</v>
      </c>
      <c r="AB410" s="2"/>
      <c r="AC410" s="2"/>
      <c r="AD410" s="2"/>
      <c r="AE410" s="2">
        <f t="shared" si="25"/>
        <v>870.9</v>
      </c>
      <c r="AF410" s="2"/>
      <c r="AG410" s="5">
        <f t="shared" si="33"/>
        <v>-4.3538107271154005E-3</v>
      </c>
      <c r="AH410" s="13">
        <v>45922</v>
      </c>
      <c r="AI410" s="2">
        <v>480.9</v>
      </c>
      <c r="AJ410" s="2"/>
      <c r="AK410" s="2"/>
      <c r="AL410" s="2"/>
      <c r="AM410" s="2">
        <f t="shared" si="26"/>
        <v>480.9</v>
      </c>
      <c r="AN410" s="2"/>
      <c r="AO410" s="5">
        <f t="shared" si="34"/>
        <v>-1.0343493128240318E-2</v>
      </c>
      <c r="AP410" s="13">
        <v>45922</v>
      </c>
      <c r="AQ410" s="11">
        <v>473</v>
      </c>
      <c r="AR410" s="2"/>
      <c r="AS410" s="2"/>
      <c r="AT410" s="2"/>
      <c r="AU410" s="11">
        <f t="shared" si="27"/>
        <v>473</v>
      </c>
      <c r="AV410" s="2"/>
      <c r="AW410" s="5">
        <f t="shared" si="35"/>
        <v>7.8531656915610051E-3</v>
      </c>
      <c r="AX410" s="13">
        <v>45922</v>
      </c>
      <c r="AY410" s="2">
        <v>24</v>
      </c>
      <c r="AZ410" s="2"/>
      <c r="BA410" s="2"/>
      <c r="BB410" s="2"/>
      <c r="BC410" s="2">
        <f t="shared" si="28"/>
        <v>24</v>
      </c>
      <c r="BD410" s="2"/>
      <c r="BE410" s="5">
        <f t="shared" si="36"/>
        <v>4.175371410480592E-3</v>
      </c>
      <c r="BF410" s="13">
        <v>45922</v>
      </c>
      <c r="BG410" s="2">
        <v>155.6</v>
      </c>
      <c r="BH410" s="2"/>
      <c r="BI410" s="2"/>
      <c r="BJ410" s="2"/>
      <c r="BK410" s="2">
        <f t="shared" si="29"/>
        <v>155.6</v>
      </c>
      <c r="BL410" s="2"/>
      <c r="BM410" s="5">
        <f t="shared" si="37"/>
        <v>-1.7834867636034313E-2</v>
      </c>
    </row>
    <row r="411" spans="1:65" ht="15.75" customHeight="1" x14ac:dyDescent="0.35">
      <c r="A411" s="675"/>
      <c r="B411" s="13">
        <v>45923</v>
      </c>
      <c r="C411" s="2">
        <v>10.5</v>
      </c>
      <c r="D411" s="2"/>
      <c r="E411" s="2"/>
      <c r="F411" s="2"/>
      <c r="G411" s="11">
        <f t="shared" si="30"/>
        <v>10.5</v>
      </c>
      <c r="H411" s="2"/>
      <c r="I411" s="5">
        <f t="shared" si="38"/>
        <v>-9.47874395454377E-3</v>
      </c>
      <c r="J411" s="13">
        <v>45923</v>
      </c>
      <c r="K411" s="2">
        <v>39.4</v>
      </c>
      <c r="L411" s="2"/>
      <c r="M411" s="2"/>
      <c r="N411" s="2"/>
      <c r="O411" s="11">
        <f t="shared" si="23"/>
        <v>39.4</v>
      </c>
      <c r="P411" s="2"/>
      <c r="Q411" s="5">
        <f t="shared" si="31"/>
        <v>7.6433493125680659E-3</v>
      </c>
      <c r="R411" s="13">
        <v>45923</v>
      </c>
      <c r="S411" s="2">
        <v>298.5</v>
      </c>
      <c r="T411" s="2"/>
      <c r="U411" s="2"/>
      <c r="V411" s="2"/>
      <c r="W411" s="11">
        <f t="shared" si="24"/>
        <v>298.5</v>
      </c>
      <c r="X411" s="2"/>
      <c r="Y411" s="5">
        <f t="shared" si="32"/>
        <v>-5.3458196136647483E-3</v>
      </c>
      <c r="Z411" s="13">
        <v>45923</v>
      </c>
      <c r="AA411" s="2">
        <v>872</v>
      </c>
      <c r="AB411" s="2"/>
      <c r="AC411" s="2"/>
      <c r="AD411" s="2"/>
      <c r="AE411" s="2">
        <f t="shared" si="25"/>
        <v>872</v>
      </c>
      <c r="AF411" s="2"/>
      <c r="AG411" s="5">
        <f t="shared" si="33"/>
        <v>1.2622642102858095E-3</v>
      </c>
      <c r="AH411" s="13">
        <v>45923</v>
      </c>
      <c r="AI411" s="2">
        <v>480.8</v>
      </c>
      <c r="AJ411" s="2"/>
      <c r="AK411" s="2"/>
      <c r="AL411" s="2"/>
      <c r="AM411" s="2">
        <f t="shared" si="26"/>
        <v>480.8</v>
      </c>
      <c r="AN411" s="2"/>
      <c r="AO411" s="5">
        <f t="shared" si="34"/>
        <v>-2.0796506261911145E-4</v>
      </c>
      <c r="AP411" s="13">
        <v>45923</v>
      </c>
      <c r="AQ411" s="11">
        <v>473.9</v>
      </c>
      <c r="AR411" s="2"/>
      <c r="AS411" s="2"/>
      <c r="AT411" s="2"/>
      <c r="AU411" s="11">
        <f t="shared" si="27"/>
        <v>473.9</v>
      </c>
      <c r="AV411" s="2"/>
      <c r="AW411" s="5">
        <f t="shared" si="35"/>
        <v>1.9009404816096461E-3</v>
      </c>
      <c r="AX411" s="13">
        <v>45923</v>
      </c>
      <c r="AY411" s="2">
        <v>24.7</v>
      </c>
      <c r="AZ411" s="2"/>
      <c r="BA411" s="2"/>
      <c r="BB411" s="2"/>
      <c r="BC411" s="2">
        <f t="shared" si="28"/>
        <v>24.7</v>
      </c>
      <c r="BD411" s="2"/>
      <c r="BE411" s="5">
        <f t="shared" si="36"/>
        <v>2.8749413285985792E-2</v>
      </c>
      <c r="BF411" s="13">
        <v>45923</v>
      </c>
      <c r="BG411" s="2">
        <v>156</v>
      </c>
      <c r="BH411" s="2"/>
      <c r="BI411" s="2"/>
      <c r="BJ411" s="2"/>
      <c r="BK411" s="2">
        <f t="shared" si="29"/>
        <v>156</v>
      </c>
      <c r="BL411" s="2"/>
      <c r="BM411" s="5">
        <f t="shared" si="37"/>
        <v>2.5673955052459545E-3</v>
      </c>
    </row>
    <row r="412" spans="1:65" ht="15.75" customHeight="1" x14ac:dyDescent="0.35">
      <c r="A412" s="675"/>
      <c r="B412" s="13">
        <v>45924</v>
      </c>
      <c r="C412" s="2">
        <v>10.3</v>
      </c>
      <c r="D412" s="2"/>
      <c r="E412" s="2"/>
      <c r="F412" s="2"/>
      <c r="G412" s="11">
        <f t="shared" si="30"/>
        <v>10.3</v>
      </c>
      <c r="H412" s="2"/>
      <c r="I412" s="5">
        <f t="shared" si="38"/>
        <v>-1.9231361927887533E-2</v>
      </c>
      <c r="J412" s="13">
        <v>45924</v>
      </c>
      <c r="K412" s="2">
        <v>40.6</v>
      </c>
      <c r="L412" s="2"/>
      <c r="M412" s="2"/>
      <c r="N412" s="2"/>
      <c r="O412" s="11">
        <f t="shared" si="23"/>
        <v>40.6</v>
      </c>
      <c r="P412" s="2"/>
      <c r="Q412" s="5">
        <f t="shared" si="31"/>
        <v>3.0002250303798914E-2</v>
      </c>
      <c r="R412" s="13">
        <v>45924</v>
      </c>
      <c r="S412" s="2">
        <v>299</v>
      </c>
      <c r="T412" s="2"/>
      <c r="U412" s="2"/>
      <c r="V412" s="2"/>
      <c r="W412" s="11">
        <f t="shared" si="24"/>
        <v>299</v>
      </c>
      <c r="X412" s="2"/>
      <c r="Y412" s="5">
        <f t="shared" si="32"/>
        <v>1.6736405580296937E-3</v>
      </c>
      <c r="Z412" s="13">
        <v>45924</v>
      </c>
      <c r="AA412" s="2">
        <v>876.6</v>
      </c>
      <c r="AB412" s="2"/>
      <c r="AC412" s="2"/>
      <c r="AD412" s="2"/>
      <c r="AE412" s="2">
        <f t="shared" si="25"/>
        <v>876.6</v>
      </c>
      <c r="AF412" s="2"/>
      <c r="AG412" s="5">
        <f t="shared" si="33"/>
        <v>5.2613640757292329E-3</v>
      </c>
      <c r="AH412" s="13">
        <v>45924</v>
      </c>
      <c r="AI412" s="2">
        <v>482.4</v>
      </c>
      <c r="AJ412" s="2"/>
      <c r="AK412" s="2"/>
      <c r="AL412" s="2"/>
      <c r="AM412" s="2">
        <f t="shared" si="26"/>
        <v>482.4</v>
      </c>
      <c r="AN412" s="2"/>
      <c r="AO412" s="5">
        <f t="shared" si="34"/>
        <v>3.3222621919778601E-3</v>
      </c>
      <c r="AP412" s="13">
        <v>45924</v>
      </c>
      <c r="AQ412" s="11">
        <v>473.1</v>
      </c>
      <c r="AR412" s="2"/>
      <c r="AS412" s="2"/>
      <c r="AT412" s="2"/>
      <c r="AU412" s="11">
        <f t="shared" si="27"/>
        <v>473.1</v>
      </c>
      <c r="AV412" s="2"/>
      <c r="AW412" s="5">
        <f t="shared" si="35"/>
        <v>-1.689546336440151E-3</v>
      </c>
      <c r="AX412" s="13">
        <v>45924</v>
      </c>
      <c r="AY412" s="2">
        <v>25.1</v>
      </c>
      <c r="AZ412" s="2"/>
      <c r="BA412" s="2"/>
      <c r="BB412" s="2"/>
      <c r="BC412" s="2">
        <f t="shared" si="28"/>
        <v>25.1</v>
      </c>
      <c r="BD412" s="2"/>
      <c r="BE412" s="5">
        <f t="shared" si="36"/>
        <v>1.6064602503806841E-2</v>
      </c>
      <c r="BF412" s="13">
        <v>45924</v>
      </c>
      <c r="BG412" s="2">
        <v>156</v>
      </c>
      <c r="BH412" s="2"/>
      <c r="BI412" s="2"/>
      <c r="BJ412" s="2"/>
      <c r="BK412" s="2">
        <f t="shared" si="29"/>
        <v>156</v>
      </c>
      <c r="BL412" s="2"/>
      <c r="BM412" s="5">
        <f t="shared" si="37"/>
        <v>0</v>
      </c>
    </row>
    <row r="413" spans="1:65" ht="15.75" customHeight="1" x14ac:dyDescent="0.35">
      <c r="A413" s="675"/>
      <c r="B413" s="13">
        <v>45925</v>
      </c>
      <c r="C413" s="2">
        <v>10.7</v>
      </c>
      <c r="D413" s="2"/>
      <c r="E413" s="2"/>
      <c r="F413" s="2"/>
      <c r="G413" s="11">
        <f t="shared" si="30"/>
        <v>10.7</v>
      </c>
      <c r="H413" s="2"/>
      <c r="I413" s="5">
        <f t="shared" si="38"/>
        <v>3.8099846232270175E-2</v>
      </c>
      <c r="J413" s="13">
        <v>45925</v>
      </c>
      <c r="K413" s="2">
        <v>40.799999999999997</v>
      </c>
      <c r="L413" s="2"/>
      <c r="M413" s="2"/>
      <c r="N413" s="2"/>
      <c r="O413" s="11">
        <f t="shared" si="23"/>
        <v>40.799999999999997</v>
      </c>
      <c r="P413" s="2"/>
      <c r="Q413" s="5">
        <f t="shared" si="31"/>
        <v>4.9140148024289414E-3</v>
      </c>
      <c r="R413" s="13">
        <v>45925</v>
      </c>
      <c r="S413" s="2">
        <v>298.39999999999998</v>
      </c>
      <c r="T413" s="2"/>
      <c r="U413" s="2"/>
      <c r="V413" s="2"/>
      <c r="W413" s="11">
        <f t="shared" si="24"/>
        <v>298.39999999999998</v>
      </c>
      <c r="X413" s="2"/>
      <c r="Y413" s="5">
        <f t="shared" si="32"/>
        <v>-2.0087050610807069E-3</v>
      </c>
      <c r="Z413" s="13">
        <v>45925</v>
      </c>
      <c r="AA413" s="2">
        <v>875.5</v>
      </c>
      <c r="AB413" s="2"/>
      <c r="AC413" s="2"/>
      <c r="AD413" s="2"/>
      <c r="AE413" s="2">
        <f t="shared" si="25"/>
        <v>875.5</v>
      </c>
      <c r="AF413" s="2"/>
      <c r="AG413" s="5">
        <f t="shared" si="33"/>
        <v>-1.255636258802316E-3</v>
      </c>
      <c r="AH413" s="13">
        <v>45925</v>
      </c>
      <c r="AI413" s="2">
        <v>484.6</v>
      </c>
      <c r="AJ413" s="2"/>
      <c r="AK413" s="2"/>
      <c r="AL413" s="2"/>
      <c r="AM413" s="2">
        <f t="shared" si="26"/>
        <v>484.6</v>
      </c>
      <c r="AN413" s="2"/>
      <c r="AO413" s="5">
        <f t="shared" si="34"/>
        <v>4.5501629694496776E-3</v>
      </c>
      <c r="AP413" s="13">
        <v>45925</v>
      </c>
      <c r="AQ413" s="11">
        <v>467.4</v>
      </c>
      <c r="AR413" s="2"/>
      <c r="AS413" s="2"/>
      <c r="AT413" s="2"/>
      <c r="AU413" s="11">
        <f t="shared" si="27"/>
        <v>467.4</v>
      </c>
      <c r="AV413" s="2"/>
      <c r="AW413" s="5">
        <f t="shared" si="35"/>
        <v>-1.2121360532344963E-2</v>
      </c>
      <c r="AX413" s="13">
        <v>45925</v>
      </c>
      <c r="AY413" s="2">
        <v>25.5</v>
      </c>
      <c r="AZ413" s="2"/>
      <c r="BA413" s="2"/>
      <c r="BB413" s="2"/>
      <c r="BC413" s="2">
        <f t="shared" si="28"/>
        <v>25.5</v>
      </c>
      <c r="BD413" s="2"/>
      <c r="BE413" s="5">
        <f t="shared" si="36"/>
        <v>1.5810606026642245E-2</v>
      </c>
      <c r="BF413" s="13">
        <v>45925</v>
      </c>
      <c r="BG413" s="2">
        <v>157.80000000000001</v>
      </c>
      <c r="BH413" s="2"/>
      <c r="BI413" s="2"/>
      <c r="BJ413" s="2"/>
      <c r="BK413" s="2">
        <f t="shared" si="29"/>
        <v>157.80000000000001</v>
      </c>
      <c r="BL413" s="2"/>
      <c r="BM413" s="5">
        <f t="shared" si="37"/>
        <v>1.1472401162237E-2</v>
      </c>
    </row>
    <row r="414" spans="1:65" ht="15.75" customHeight="1" x14ac:dyDescent="0.35">
      <c r="A414" s="675"/>
      <c r="B414" s="13">
        <v>45928</v>
      </c>
      <c r="C414" s="2">
        <v>10.7</v>
      </c>
      <c r="D414" s="2"/>
      <c r="E414" s="2"/>
      <c r="F414" s="2"/>
      <c r="G414" s="11">
        <f t="shared" si="30"/>
        <v>10.7</v>
      </c>
      <c r="H414" s="2"/>
      <c r="I414" s="5">
        <f t="shared" si="38"/>
        <v>0</v>
      </c>
      <c r="J414" s="13">
        <v>45928</v>
      </c>
      <c r="K414" s="2">
        <v>40</v>
      </c>
      <c r="L414" s="2"/>
      <c r="M414" s="2"/>
      <c r="N414" s="2"/>
      <c r="O414" s="11">
        <f t="shared" si="23"/>
        <v>40</v>
      </c>
      <c r="P414" s="2"/>
      <c r="Q414" s="5">
        <f t="shared" si="31"/>
        <v>-1.9802627296179643E-2</v>
      </c>
      <c r="R414" s="13">
        <v>45928</v>
      </c>
      <c r="S414" s="2">
        <v>299.10000000000002</v>
      </c>
      <c r="T414" s="2"/>
      <c r="U414" s="2"/>
      <c r="V414" s="2"/>
      <c r="W414" s="11">
        <f t="shared" si="24"/>
        <v>299.10000000000002</v>
      </c>
      <c r="X414" s="2"/>
      <c r="Y414" s="5">
        <f t="shared" si="32"/>
        <v>2.3430973062967472E-3</v>
      </c>
      <c r="Z414" s="13">
        <v>45928</v>
      </c>
      <c r="AA414" s="2">
        <v>880</v>
      </c>
      <c r="AB414" s="2"/>
      <c r="AC414" s="2"/>
      <c r="AD414" s="2"/>
      <c r="AE414" s="2">
        <f t="shared" si="25"/>
        <v>880</v>
      </c>
      <c r="AF414" s="2"/>
      <c r="AG414" s="5">
        <f t="shared" si="33"/>
        <v>5.1267557463455212E-3</v>
      </c>
      <c r="AH414" s="13">
        <v>45928</v>
      </c>
      <c r="AI414" s="2">
        <v>480.6</v>
      </c>
      <c r="AJ414" s="2"/>
      <c r="AK414" s="2"/>
      <c r="AL414" s="2"/>
      <c r="AM414" s="2">
        <f t="shared" si="26"/>
        <v>480.6</v>
      </c>
      <c r="AN414" s="2"/>
      <c r="AO414" s="5">
        <f t="shared" si="34"/>
        <v>-8.2884850800568326E-3</v>
      </c>
      <c r="AP414" s="13">
        <v>45928</v>
      </c>
      <c r="AQ414" s="11">
        <v>467.4</v>
      </c>
      <c r="AR414" s="2"/>
      <c r="AS414" s="2"/>
      <c r="AT414" s="2"/>
      <c r="AU414" s="11">
        <f t="shared" si="27"/>
        <v>467.4</v>
      </c>
      <c r="AV414" s="2"/>
      <c r="AW414" s="5">
        <f t="shared" si="35"/>
        <v>0</v>
      </c>
      <c r="AX414" s="13">
        <v>45928</v>
      </c>
      <c r="AY414" s="2">
        <v>25.3</v>
      </c>
      <c r="AZ414" s="2"/>
      <c r="BA414" s="2"/>
      <c r="BB414" s="2"/>
      <c r="BC414" s="2">
        <f t="shared" si="28"/>
        <v>25.3</v>
      </c>
      <c r="BD414" s="2"/>
      <c r="BE414" s="5">
        <f t="shared" si="36"/>
        <v>-7.874056430905883E-3</v>
      </c>
      <c r="BF414" s="13">
        <v>45928</v>
      </c>
      <c r="BG414" s="2">
        <v>155</v>
      </c>
      <c r="BH414" s="2"/>
      <c r="BI414" s="2"/>
      <c r="BJ414" s="2"/>
      <c r="BK414" s="2">
        <f t="shared" si="29"/>
        <v>155</v>
      </c>
      <c r="BL414" s="2"/>
      <c r="BM414" s="5">
        <f t="shared" si="37"/>
        <v>-1.7903291492527364E-2</v>
      </c>
    </row>
    <row r="415" spans="1:65" ht="15.75" customHeight="1" x14ac:dyDescent="0.35">
      <c r="A415" s="675"/>
      <c r="B415" s="13">
        <v>45929</v>
      </c>
      <c r="C415" s="2">
        <v>10.6</v>
      </c>
      <c r="D415" s="2"/>
      <c r="E415" s="2"/>
      <c r="F415" s="2"/>
      <c r="G415" s="11">
        <f t="shared" si="30"/>
        <v>10.6</v>
      </c>
      <c r="H415" s="2"/>
      <c r="I415" s="5">
        <f t="shared" si="38"/>
        <v>-9.3897403498390316E-3</v>
      </c>
      <c r="J415" s="13">
        <v>45929</v>
      </c>
      <c r="K415" s="2">
        <v>40.9</v>
      </c>
      <c r="L415" s="2"/>
      <c r="M415" s="2"/>
      <c r="N415" s="2"/>
      <c r="O415" s="11">
        <f t="shared" si="23"/>
        <v>40.9</v>
      </c>
      <c r="P415" s="2"/>
      <c r="Q415" s="5">
        <f t="shared" si="31"/>
        <v>2.2250608934819723E-2</v>
      </c>
      <c r="R415" s="13">
        <v>45929</v>
      </c>
      <c r="S415" s="2">
        <v>298</v>
      </c>
      <c r="T415" s="2"/>
      <c r="U415" s="2"/>
      <c r="V415" s="2"/>
      <c r="W415" s="11">
        <f t="shared" si="24"/>
        <v>298</v>
      </c>
      <c r="X415" s="2"/>
      <c r="Y415" s="5">
        <f t="shared" si="32"/>
        <v>-3.6844791304979866E-3</v>
      </c>
      <c r="Z415" s="13">
        <v>45929</v>
      </c>
      <c r="AA415" s="2">
        <v>880.1</v>
      </c>
      <c r="AB415" s="2"/>
      <c r="AC415" s="2"/>
      <c r="AD415" s="2"/>
      <c r="AE415" s="2">
        <f t="shared" si="25"/>
        <v>880.1</v>
      </c>
      <c r="AF415" s="2"/>
      <c r="AG415" s="5">
        <f t="shared" si="33"/>
        <v>1.1362990751400762E-4</v>
      </c>
      <c r="AH415" s="13">
        <v>45929</v>
      </c>
      <c r="AI415" s="2">
        <v>479.9</v>
      </c>
      <c r="AJ415" s="2"/>
      <c r="AK415" s="2"/>
      <c r="AL415" s="2"/>
      <c r="AM415" s="2">
        <f t="shared" si="26"/>
        <v>479.9</v>
      </c>
      <c r="AN415" s="2"/>
      <c r="AO415" s="5">
        <f t="shared" si="34"/>
        <v>-1.4575744381687776E-3</v>
      </c>
      <c r="AP415" s="13">
        <v>45929</v>
      </c>
      <c r="AQ415" s="11">
        <v>410.9</v>
      </c>
      <c r="AR415" s="6">
        <v>0.1</v>
      </c>
      <c r="AS415" s="2"/>
      <c r="AT415" s="2"/>
      <c r="AU415" s="11">
        <f t="shared" si="27"/>
        <v>451.99</v>
      </c>
      <c r="AV415" s="2">
        <v>17.5</v>
      </c>
      <c r="AW415" s="5">
        <f t="shared" si="35"/>
        <v>4.4615770622017355E-3</v>
      </c>
      <c r="AX415" s="13">
        <v>45929</v>
      </c>
      <c r="AY415" s="2">
        <v>25.2</v>
      </c>
      <c r="AZ415" s="2"/>
      <c r="BA415" s="2"/>
      <c r="BB415" s="2"/>
      <c r="BC415" s="2">
        <f t="shared" si="28"/>
        <v>25.2</v>
      </c>
      <c r="BD415" s="2"/>
      <c r="BE415" s="5">
        <f t="shared" si="36"/>
        <v>-3.9604012160970167E-3</v>
      </c>
      <c r="BF415" s="13">
        <v>45929</v>
      </c>
      <c r="BG415" s="2">
        <v>155.69999999999999</v>
      </c>
      <c r="BH415" s="2"/>
      <c r="BI415" s="2"/>
      <c r="BJ415" s="2"/>
      <c r="BK415" s="2">
        <f t="shared" si="29"/>
        <v>155.69999999999999</v>
      </c>
      <c r="BL415" s="2"/>
      <c r="BM415" s="5">
        <f t="shared" si="37"/>
        <v>4.5059619207059153E-3</v>
      </c>
    </row>
    <row r="416" spans="1:65" ht="15.75" customHeight="1" x14ac:dyDescent="0.35">
      <c r="A416" s="675"/>
      <c r="B416" s="13">
        <v>45930</v>
      </c>
      <c r="C416" s="2">
        <v>10.6</v>
      </c>
      <c r="D416" s="2"/>
      <c r="E416" s="2"/>
      <c r="F416" s="2"/>
      <c r="G416" s="11">
        <f t="shared" si="30"/>
        <v>10.6</v>
      </c>
      <c r="H416" s="2"/>
      <c r="I416" s="5">
        <f>LN((G416+H416)/G415)</f>
        <v>0</v>
      </c>
      <c r="J416" s="13">
        <v>45930</v>
      </c>
      <c r="K416" s="2">
        <v>41.2</v>
      </c>
      <c r="L416" s="2"/>
      <c r="M416" s="2"/>
      <c r="N416" s="2"/>
      <c r="O416" s="11">
        <f t="shared" si="23"/>
        <v>41.2</v>
      </c>
      <c r="P416" s="2"/>
      <c r="Q416" s="5">
        <f t="shared" si="31"/>
        <v>7.3081933067248427E-3</v>
      </c>
      <c r="R416" s="13">
        <v>45930</v>
      </c>
      <c r="S416" s="2">
        <v>299</v>
      </c>
      <c r="T416" s="2"/>
      <c r="U416" s="2"/>
      <c r="V416" s="2"/>
      <c r="W416" s="11">
        <f t="shared" si="24"/>
        <v>299</v>
      </c>
      <c r="X416" s="2"/>
      <c r="Y416" s="5">
        <f t="shared" si="32"/>
        <v>3.3500868852820269E-3</v>
      </c>
      <c r="Z416" s="13">
        <v>45930</v>
      </c>
      <c r="AA416" s="2">
        <v>877.7</v>
      </c>
      <c r="AB416" s="2"/>
      <c r="AC416" s="2"/>
      <c r="AD416" s="2"/>
      <c r="AE416" s="2">
        <f t="shared" si="25"/>
        <v>877.7</v>
      </c>
      <c r="AF416" s="2"/>
      <c r="AG416" s="5">
        <f t="shared" si="33"/>
        <v>-2.730687781694077E-3</v>
      </c>
      <c r="AH416" s="13">
        <v>45930</v>
      </c>
      <c r="AI416" s="2">
        <v>480.4</v>
      </c>
      <c r="AJ416" s="2"/>
      <c r="AK416" s="2"/>
      <c r="AL416" s="2"/>
      <c r="AM416" s="2">
        <f t="shared" si="26"/>
        <v>480.4</v>
      </c>
      <c r="AN416" s="2"/>
      <c r="AO416" s="5">
        <f t="shared" si="34"/>
        <v>1.041341341628617E-3</v>
      </c>
      <c r="AP416" s="13">
        <v>45930</v>
      </c>
      <c r="AQ416" s="11">
        <v>419.9</v>
      </c>
      <c r="AR416" s="2"/>
      <c r="AS416" s="2"/>
      <c r="AT416" s="2"/>
      <c r="AU416" s="11">
        <f t="shared" si="27"/>
        <v>419.9</v>
      </c>
      <c r="AV416" s="2"/>
      <c r="AW416" s="5">
        <f t="shared" si="35"/>
        <v>-7.3643468003541476E-2</v>
      </c>
      <c r="AX416" s="13">
        <v>45930</v>
      </c>
      <c r="AY416" s="2">
        <v>25.1</v>
      </c>
      <c r="AZ416" s="2"/>
      <c r="BA416" s="2"/>
      <c r="BB416" s="2"/>
      <c r="BC416" s="2">
        <f t="shared" si="28"/>
        <v>25.1</v>
      </c>
      <c r="BD416" s="2"/>
      <c r="BE416" s="5">
        <f t="shared" si="36"/>
        <v>-3.9761483796392945E-3</v>
      </c>
      <c r="BF416" s="13">
        <v>45930</v>
      </c>
      <c r="BG416" s="2">
        <v>154.69999999999999</v>
      </c>
      <c r="BH416" s="2"/>
      <c r="BI416" s="2"/>
      <c r="BJ416" s="2"/>
      <c r="BK416" s="2">
        <f t="shared" si="29"/>
        <v>154.69999999999999</v>
      </c>
      <c r="BL416" s="2"/>
      <c r="BM416" s="5">
        <f t="shared" si="37"/>
        <v>-6.4433212609322299E-3</v>
      </c>
    </row>
  </sheetData>
  <mergeCells count="15">
    <mergeCell ref="A299:A353"/>
    <mergeCell ref="A354:A416"/>
    <mergeCell ref="A3:A62"/>
    <mergeCell ref="A63:A118"/>
    <mergeCell ref="A119:A176"/>
    <mergeCell ref="A177:A237"/>
    <mergeCell ref="A238:A298"/>
    <mergeCell ref="AQ1:AW1"/>
    <mergeCell ref="AY1:BE1"/>
    <mergeCell ref="BG1:BM1"/>
    <mergeCell ref="C1:I1"/>
    <mergeCell ref="K1:Q1"/>
    <mergeCell ref="S1:Y1"/>
    <mergeCell ref="AA1:AG1"/>
    <mergeCell ref="AI1:A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2D6B-FA3A-433B-B77E-68717E12540F}">
  <dimension ref="B2:I366"/>
  <sheetViews>
    <sheetView showGridLines="0" workbookViewId="0">
      <selection activeCell="I11" sqref="I11"/>
    </sheetView>
  </sheetViews>
  <sheetFormatPr defaultRowHeight="14.5" x14ac:dyDescent="0.35"/>
  <cols>
    <col min="1" max="1" width="3.6328125" customWidth="1"/>
    <col min="2" max="2" width="11" style="294" customWidth="1"/>
    <col min="3" max="3" width="17.1796875" style="295" customWidth="1"/>
    <col min="4" max="5" width="22" style="295" customWidth="1"/>
    <col min="7" max="7" width="10.453125" customWidth="1"/>
    <col min="8" max="8" width="19" bestFit="1" customWidth="1"/>
    <col min="9" max="9" width="20.453125" bestFit="1" customWidth="1"/>
  </cols>
  <sheetData>
    <row r="2" spans="2:9" s="1" customFormat="1" x14ac:dyDescent="0.35">
      <c r="B2" s="296" t="s">
        <v>17</v>
      </c>
      <c r="C2" s="282" t="s">
        <v>200</v>
      </c>
      <c r="D2" s="282" t="s">
        <v>189</v>
      </c>
      <c r="E2" s="282" t="s">
        <v>201</v>
      </c>
      <c r="G2" s="283" t="s">
        <v>72</v>
      </c>
      <c r="H2" s="284" t="s">
        <v>189</v>
      </c>
      <c r="I2" s="285" t="s">
        <v>201</v>
      </c>
    </row>
    <row r="3" spans="2:9" x14ac:dyDescent="0.35">
      <c r="B3" s="297">
        <v>45292</v>
      </c>
      <c r="C3" s="298">
        <v>6242.87</v>
      </c>
      <c r="D3" s="298"/>
      <c r="E3" s="299"/>
      <c r="G3" s="286" t="s">
        <v>176</v>
      </c>
      <c r="H3" s="287">
        <f>D193</f>
        <v>5243.6320408163265</v>
      </c>
      <c r="I3" s="288"/>
    </row>
    <row r="4" spans="2:9" x14ac:dyDescent="0.35">
      <c r="B4" s="297">
        <v>45293</v>
      </c>
      <c r="C4" s="298">
        <v>6233.42</v>
      </c>
      <c r="D4" s="299"/>
      <c r="E4" s="299"/>
      <c r="G4" s="286" t="s">
        <v>79</v>
      </c>
      <c r="H4" s="289">
        <f>D250</f>
        <v>5190.0984210526312</v>
      </c>
      <c r="I4" s="290">
        <f>H4-H3</f>
        <v>-53.533619763695242</v>
      </c>
    </row>
    <row r="5" spans="2:9" x14ac:dyDescent="0.35">
      <c r="B5" s="297">
        <v>45294</v>
      </c>
      <c r="C5" s="298">
        <v>6236.07</v>
      </c>
      <c r="D5" s="299"/>
      <c r="E5" s="299"/>
      <c r="G5" s="286" t="s">
        <v>81</v>
      </c>
      <c r="H5" s="289">
        <f>D304</f>
        <v>4878.9333333333325</v>
      </c>
      <c r="I5" s="290">
        <f>H5-H4</f>
        <v>-311.16508771929875</v>
      </c>
    </row>
    <row r="6" spans="2:9" x14ac:dyDescent="0.35">
      <c r="B6" s="297">
        <v>45295</v>
      </c>
      <c r="C6" s="298">
        <v>6244.17</v>
      </c>
      <c r="D6" s="299"/>
      <c r="E6" s="299"/>
      <c r="G6" s="291" t="s">
        <v>77</v>
      </c>
      <c r="H6" s="292">
        <f>D366</f>
        <v>5357.3375806451604</v>
      </c>
      <c r="I6" s="293">
        <f>H6-H5</f>
        <v>478.40424731182793</v>
      </c>
    </row>
    <row r="7" spans="2:9" x14ac:dyDescent="0.35">
      <c r="B7" s="297">
        <v>45299</v>
      </c>
      <c r="C7" s="298">
        <v>6269.51</v>
      </c>
      <c r="D7" s="299"/>
      <c r="E7" s="299"/>
    </row>
    <row r="8" spans="2:9" x14ac:dyDescent="0.35">
      <c r="B8" s="297">
        <v>45300</v>
      </c>
      <c r="C8" s="298">
        <v>6267.82</v>
      </c>
      <c r="D8" s="299"/>
      <c r="E8" s="299"/>
    </row>
    <row r="9" spans="2:9" x14ac:dyDescent="0.35">
      <c r="B9" s="297">
        <v>45301</v>
      </c>
      <c r="C9" s="298">
        <v>6285.25</v>
      </c>
      <c r="D9" s="299"/>
      <c r="E9" s="299"/>
    </row>
    <row r="10" spans="2:9" x14ac:dyDescent="0.35">
      <c r="B10" s="297">
        <v>45302</v>
      </c>
      <c r="C10" s="298">
        <v>6301.7</v>
      </c>
      <c r="D10" s="299"/>
      <c r="E10" s="299"/>
    </row>
    <row r="11" spans="2:9" x14ac:dyDescent="0.35">
      <c r="B11" s="297">
        <v>45306</v>
      </c>
      <c r="C11" s="298">
        <v>6318.08</v>
      </c>
      <c r="D11" s="299"/>
      <c r="E11" s="299"/>
    </row>
    <row r="12" spans="2:9" x14ac:dyDescent="0.35">
      <c r="B12" s="297">
        <v>45307</v>
      </c>
      <c r="C12" s="298">
        <v>6331.61</v>
      </c>
      <c r="D12" s="299"/>
      <c r="E12" s="299"/>
    </row>
    <row r="13" spans="2:9" x14ac:dyDescent="0.35">
      <c r="B13" s="297">
        <v>45308</v>
      </c>
      <c r="C13" s="298">
        <v>6346.21</v>
      </c>
      <c r="D13" s="299"/>
      <c r="E13" s="299"/>
    </row>
    <row r="14" spans="2:9" x14ac:dyDescent="0.35">
      <c r="B14" s="297">
        <v>45309</v>
      </c>
      <c r="C14" s="298">
        <v>6336.76</v>
      </c>
      <c r="D14" s="299"/>
      <c r="E14" s="299"/>
    </row>
    <row r="15" spans="2:9" x14ac:dyDescent="0.35">
      <c r="B15" s="297">
        <v>45313</v>
      </c>
      <c r="C15" s="298">
        <v>6254.31</v>
      </c>
      <c r="D15" s="299"/>
      <c r="E15" s="299"/>
    </row>
    <row r="16" spans="2:9" x14ac:dyDescent="0.35">
      <c r="B16" s="297">
        <v>45314</v>
      </c>
      <c r="C16" s="298">
        <v>6276.26</v>
      </c>
      <c r="D16" s="299"/>
      <c r="E16" s="299"/>
    </row>
    <row r="17" spans="2:5" x14ac:dyDescent="0.35">
      <c r="B17" s="297">
        <v>45315</v>
      </c>
      <c r="C17" s="298">
        <v>6226.65</v>
      </c>
      <c r="D17" s="299"/>
      <c r="E17" s="299"/>
    </row>
    <row r="18" spans="2:5" x14ac:dyDescent="0.35">
      <c r="B18" s="297">
        <v>45316</v>
      </c>
      <c r="C18" s="298">
        <v>6156.41</v>
      </c>
      <c r="D18" s="299"/>
      <c r="E18" s="299"/>
    </row>
    <row r="19" spans="2:5" x14ac:dyDescent="0.35">
      <c r="B19" s="297">
        <v>45320</v>
      </c>
      <c r="C19" s="298">
        <v>6097.23</v>
      </c>
      <c r="D19" s="299"/>
      <c r="E19" s="299"/>
    </row>
    <row r="20" spans="2:5" x14ac:dyDescent="0.35">
      <c r="B20" s="297">
        <v>45321</v>
      </c>
      <c r="C20" s="298">
        <v>6150.22</v>
      </c>
      <c r="D20" s="299"/>
      <c r="E20" s="299"/>
    </row>
    <row r="21" spans="2:5" x14ac:dyDescent="0.35">
      <c r="B21" s="297">
        <v>45322</v>
      </c>
      <c r="C21" s="298">
        <v>6153.34</v>
      </c>
      <c r="D21" s="299"/>
      <c r="E21" s="299"/>
    </row>
    <row r="22" spans="2:5" x14ac:dyDescent="0.35">
      <c r="B22" s="297">
        <v>45323</v>
      </c>
      <c r="C22" s="298">
        <v>6213.99</v>
      </c>
      <c r="D22" s="299"/>
      <c r="E22" s="299"/>
    </row>
    <row r="23" spans="2:5" x14ac:dyDescent="0.35">
      <c r="B23" s="297">
        <v>45327</v>
      </c>
      <c r="C23" s="298">
        <v>6322.6</v>
      </c>
      <c r="D23" s="299"/>
      <c r="E23" s="299"/>
    </row>
    <row r="24" spans="2:5" x14ac:dyDescent="0.35">
      <c r="B24" s="297">
        <v>45328</v>
      </c>
      <c r="C24" s="298">
        <v>6346.06</v>
      </c>
      <c r="D24" s="299"/>
      <c r="E24" s="299"/>
    </row>
    <row r="25" spans="2:5" x14ac:dyDescent="0.35">
      <c r="B25" s="297">
        <v>45329</v>
      </c>
      <c r="C25" s="298">
        <v>6352.5</v>
      </c>
      <c r="D25" s="299"/>
      <c r="E25" s="299"/>
    </row>
    <row r="26" spans="2:5" x14ac:dyDescent="0.35">
      <c r="B26" s="297">
        <v>45330</v>
      </c>
      <c r="C26" s="298">
        <v>6373.35</v>
      </c>
      <c r="D26" s="299"/>
      <c r="E26" s="299"/>
    </row>
    <row r="27" spans="2:5" x14ac:dyDescent="0.35">
      <c r="B27" s="297">
        <v>45334</v>
      </c>
      <c r="C27" s="298">
        <v>6424.93</v>
      </c>
      <c r="D27" s="299"/>
      <c r="E27" s="299"/>
    </row>
    <row r="28" spans="2:5" x14ac:dyDescent="0.35">
      <c r="B28" s="297">
        <v>45335</v>
      </c>
      <c r="C28" s="298">
        <v>6394.82</v>
      </c>
      <c r="D28" s="299"/>
      <c r="E28" s="299"/>
    </row>
    <row r="29" spans="2:5" x14ac:dyDescent="0.35">
      <c r="B29" s="297">
        <v>45336</v>
      </c>
      <c r="C29" s="298">
        <v>6371.54</v>
      </c>
      <c r="D29" s="299"/>
      <c r="E29" s="299"/>
    </row>
    <row r="30" spans="2:5" x14ac:dyDescent="0.35">
      <c r="B30" s="297">
        <v>45337</v>
      </c>
      <c r="C30" s="298">
        <v>6336.25</v>
      </c>
      <c r="D30" s="299"/>
      <c r="E30" s="299"/>
    </row>
    <row r="31" spans="2:5" x14ac:dyDescent="0.35">
      <c r="B31" s="297">
        <v>45341</v>
      </c>
      <c r="C31" s="298">
        <v>6258.98</v>
      </c>
      <c r="D31" s="299"/>
      <c r="E31" s="299"/>
    </row>
    <row r="32" spans="2:5" x14ac:dyDescent="0.35">
      <c r="B32" s="297">
        <v>45342</v>
      </c>
      <c r="C32" s="298">
        <v>6256.13</v>
      </c>
      <c r="D32" s="299"/>
      <c r="E32" s="299"/>
    </row>
    <row r="33" spans="2:5" x14ac:dyDescent="0.35">
      <c r="B33" s="297">
        <v>45344</v>
      </c>
      <c r="C33" s="298">
        <v>6273.96</v>
      </c>
      <c r="D33" s="299"/>
      <c r="E33" s="299"/>
    </row>
    <row r="34" spans="2:5" x14ac:dyDescent="0.35">
      <c r="B34" s="297">
        <v>45349</v>
      </c>
      <c r="C34" s="298">
        <v>6272.73</v>
      </c>
      <c r="D34" s="299"/>
      <c r="E34" s="299"/>
    </row>
    <row r="35" spans="2:5" x14ac:dyDescent="0.35">
      <c r="B35" s="297">
        <v>45350</v>
      </c>
      <c r="C35" s="298">
        <v>6268.63</v>
      </c>
      <c r="D35" s="299"/>
      <c r="E35" s="299"/>
    </row>
    <row r="36" spans="2:5" x14ac:dyDescent="0.35">
      <c r="B36" s="297">
        <v>45351</v>
      </c>
      <c r="C36" s="298">
        <v>6254.54</v>
      </c>
      <c r="D36" s="299"/>
      <c r="E36" s="299"/>
    </row>
    <row r="37" spans="2:5" x14ac:dyDescent="0.35">
      <c r="B37" s="297">
        <v>45355</v>
      </c>
      <c r="C37" s="298">
        <v>6175.25</v>
      </c>
      <c r="D37" s="299"/>
      <c r="E37" s="299"/>
    </row>
    <row r="38" spans="2:5" x14ac:dyDescent="0.35">
      <c r="B38" s="297">
        <v>45356</v>
      </c>
      <c r="C38" s="298">
        <v>6131.14</v>
      </c>
      <c r="D38" s="299"/>
      <c r="E38" s="299"/>
    </row>
    <row r="39" spans="2:5" x14ac:dyDescent="0.35">
      <c r="B39" s="297">
        <v>45357</v>
      </c>
      <c r="C39" s="298">
        <v>6166.14</v>
      </c>
      <c r="D39" s="299"/>
      <c r="E39" s="299"/>
    </row>
    <row r="40" spans="2:5" x14ac:dyDescent="0.35">
      <c r="B40" s="297">
        <v>45358</v>
      </c>
      <c r="C40" s="298">
        <v>6112.76</v>
      </c>
      <c r="D40" s="299"/>
      <c r="E40" s="299"/>
    </row>
    <row r="41" spans="2:5" x14ac:dyDescent="0.35">
      <c r="B41" s="297">
        <v>45362</v>
      </c>
      <c r="C41" s="298">
        <v>6058.39</v>
      </c>
      <c r="D41" s="299"/>
      <c r="E41" s="299"/>
    </row>
    <row r="42" spans="2:5" x14ac:dyDescent="0.35">
      <c r="B42" s="297">
        <v>45363</v>
      </c>
      <c r="C42" s="298">
        <v>6006.88</v>
      </c>
      <c r="D42" s="299"/>
      <c r="E42" s="299"/>
    </row>
    <row r="43" spans="2:5" x14ac:dyDescent="0.35">
      <c r="B43" s="297">
        <v>45364</v>
      </c>
      <c r="C43" s="298">
        <v>5974.11</v>
      </c>
      <c r="D43" s="299"/>
      <c r="E43" s="299"/>
    </row>
    <row r="44" spans="2:5" x14ac:dyDescent="0.35">
      <c r="B44" s="297">
        <v>45365</v>
      </c>
      <c r="C44" s="298">
        <v>5968.04</v>
      </c>
      <c r="D44" s="299"/>
      <c r="E44" s="299"/>
    </row>
    <row r="45" spans="2:5" x14ac:dyDescent="0.35">
      <c r="B45" s="297">
        <v>45369</v>
      </c>
      <c r="C45" s="298">
        <v>5898.24</v>
      </c>
      <c r="D45" s="299"/>
      <c r="E45" s="299"/>
    </row>
    <row r="46" spans="2:5" x14ac:dyDescent="0.35">
      <c r="B46" s="297">
        <v>45370</v>
      </c>
      <c r="C46" s="298">
        <v>5814.1</v>
      </c>
      <c r="D46" s="299"/>
      <c r="E46" s="299"/>
    </row>
    <row r="47" spans="2:5" x14ac:dyDescent="0.35">
      <c r="B47" s="297">
        <v>45371</v>
      </c>
      <c r="C47" s="298">
        <v>5872.58</v>
      </c>
      <c r="D47" s="299"/>
      <c r="E47" s="299"/>
    </row>
    <row r="48" spans="2:5" x14ac:dyDescent="0.35">
      <c r="B48" s="297">
        <v>45372</v>
      </c>
      <c r="C48" s="298">
        <v>5941.66</v>
      </c>
      <c r="D48" s="299"/>
      <c r="E48" s="299"/>
    </row>
    <row r="49" spans="2:5" x14ac:dyDescent="0.35">
      <c r="B49" s="297">
        <v>45376</v>
      </c>
      <c r="C49" s="298">
        <v>5834.39</v>
      </c>
      <c r="D49" s="299"/>
      <c r="E49" s="299"/>
    </row>
    <row r="50" spans="2:5" x14ac:dyDescent="0.35">
      <c r="B50" s="297">
        <v>45378</v>
      </c>
      <c r="C50" s="298">
        <v>5762.68</v>
      </c>
      <c r="E50" s="299"/>
    </row>
    <row r="51" spans="2:5" x14ac:dyDescent="0.35">
      <c r="B51" s="297">
        <v>45379</v>
      </c>
      <c r="C51" s="298">
        <v>5778.33</v>
      </c>
      <c r="E51" s="299"/>
    </row>
    <row r="52" spans="2:5" x14ac:dyDescent="0.35">
      <c r="B52" s="297">
        <v>45383</v>
      </c>
      <c r="C52" s="298">
        <v>5761.38</v>
      </c>
      <c r="D52" s="299"/>
      <c r="E52" s="299"/>
    </row>
    <row r="53" spans="2:5" x14ac:dyDescent="0.35">
      <c r="B53" s="297">
        <v>45384</v>
      </c>
      <c r="C53" s="298">
        <v>5738.4</v>
      </c>
      <c r="D53" s="299"/>
      <c r="E53" s="299"/>
    </row>
    <row r="54" spans="2:5" x14ac:dyDescent="0.35">
      <c r="B54" s="297">
        <v>45385</v>
      </c>
      <c r="C54" s="298">
        <v>5776.08</v>
      </c>
      <c r="D54" s="299"/>
      <c r="E54" s="299"/>
    </row>
    <row r="55" spans="2:5" x14ac:dyDescent="0.35">
      <c r="B55" s="297">
        <v>45386</v>
      </c>
      <c r="C55" s="298">
        <v>5796.12</v>
      </c>
      <c r="D55" s="299"/>
      <c r="E55" s="299"/>
    </row>
    <row r="56" spans="2:5" x14ac:dyDescent="0.35">
      <c r="B56" s="297">
        <v>45390</v>
      </c>
      <c r="C56" s="298">
        <v>5860.23</v>
      </c>
      <c r="D56" s="299"/>
      <c r="E56" s="299"/>
    </row>
    <row r="57" spans="2:5" x14ac:dyDescent="0.35">
      <c r="B57" s="297">
        <v>45391</v>
      </c>
      <c r="C57" s="298">
        <v>5864.09</v>
      </c>
      <c r="D57" s="299"/>
      <c r="E57" s="299"/>
    </row>
    <row r="58" spans="2:5" x14ac:dyDescent="0.35">
      <c r="B58" s="297">
        <v>45397</v>
      </c>
      <c r="C58" s="298">
        <v>5778.77</v>
      </c>
      <c r="D58" s="299"/>
      <c r="E58" s="299"/>
    </row>
    <row r="59" spans="2:5" x14ac:dyDescent="0.35">
      <c r="B59" s="297">
        <v>45398</v>
      </c>
      <c r="C59" s="298">
        <v>5774.58</v>
      </c>
      <c r="D59" s="299"/>
      <c r="E59" s="299"/>
    </row>
    <row r="60" spans="2:5" x14ac:dyDescent="0.35">
      <c r="B60" s="297">
        <v>45399</v>
      </c>
      <c r="C60" s="298">
        <v>5763.77</v>
      </c>
      <c r="E60" s="299"/>
    </row>
    <row r="61" spans="2:5" x14ac:dyDescent="0.35">
      <c r="B61" s="297">
        <v>45400</v>
      </c>
      <c r="C61" s="298">
        <v>5686.69</v>
      </c>
      <c r="E61" s="298"/>
    </row>
    <row r="62" spans="2:5" x14ac:dyDescent="0.35">
      <c r="B62" s="297">
        <v>45404</v>
      </c>
      <c r="C62" s="298">
        <v>5674.87</v>
      </c>
      <c r="D62" s="298"/>
      <c r="E62" s="299"/>
    </row>
    <row r="63" spans="2:5" x14ac:dyDescent="0.35">
      <c r="B63" s="297">
        <v>45405</v>
      </c>
      <c r="C63" s="298">
        <v>5633.61</v>
      </c>
      <c r="D63" s="299"/>
      <c r="E63" s="299"/>
    </row>
    <row r="64" spans="2:5" x14ac:dyDescent="0.35">
      <c r="B64" s="297">
        <v>45406</v>
      </c>
      <c r="C64" s="298">
        <v>5578.97</v>
      </c>
      <c r="D64" s="299"/>
      <c r="E64" s="299"/>
    </row>
    <row r="65" spans="2:5" x14ac:dyDescent="0.35">
      <c r="B65" s="297">
        <v>45407</v>
      </c>
      <c r="C65" s="298">
        <v>5518.48</v>
      </c>
      <c r="D65" s="299"/>
      <c r="E65" s="299"/>
    </row>
    <row r="66" spans="2:5" x14ac:dyDescent="0.35">
      <c r="B66" s="297">
        <v>45411</v>
      </c>
      <c r="C66" s="298">
        <v>5569.69</v>
      </c>
      <c r="D66" s="299"/>
      <c r="E66" s="299"/>
    </row>
    <row r="67" spans="2:5" x14ac:dyDescent="0.35">
      <c r="B67" s="297">
        <v>45412</v>
      </c>
      <c r="C67" s="298">
        <v>5584.65</v>
      </c>
      <c r="D67" s="299"/>
      <c r="E67" s="299"/>
    </row>
    <row r="68" spans="2:5" x14ac:dyDescent="0.35">
      <c r="B68" s="297">
        <v>45414</v>
      </c>
      <c r="C68" s="298">
        <v>5615.65</v>
      </c>
      <c r="D68" s="299"/>
      <c r="E68" s="299"/>
    </row>
    <row r="69" spans="2:5" x14ac:dyDescent="0.35">
      <c r="B69" s="297">
        <v>45418</v>
      </c>
      <c r="C69" s="298">
        <v>5727.02</v>
      </c>
      <c r="D69" s="299"/>
      <c r="E69" s="299"/>
    </row>
    <row r="70" spans="2:5" x14ac:dyDescent="0.35">
      <c r="B70" s="297">
        <v>45419</v>
      </c>
      <c r="C70" s="298">
        <v>5725.28</v>
      </c>
      <c r="D70" s="299"/>
      <c r="E70" s="299"/>
    </row>
    <row r="71" spans="2:5" x14ac:dyDescent="0.35">
      <c r="B71" s="297">
        <v>45420</v>
      </c>
      <c r="C71" s="298">
        <v>5690.78</v>
      </c>
      <c r="D71" s="299"/>
      <c r="E71" s="299"/>
    </row>
    <row r="72" spans="2:5" x14ac:dyDescent="0.35">
      <c r="B72" s="297">
        <v>45421</v>
      </c>
      <c r="C72" s="298">
        <v>5661.05</v>
      </c>
      <c r="D72" s="299"/>
      <c r="E72" s="299"/>
    </row>
    <row r="73" spans="2:5" x14ac:dyDescent="0.35">
      <c r="B73" s="297">
        <v>45425</v>
      </c>
      <c r="C73" s="298">
        <v>5666.76</v>
      </c>
      <c r="D73" s="299"/>
      <c r="E73" s="299"/>
    </row>
    <row r="74" spans="2:5" x14ac:dyDescent="0.35">
      <c r="B74" s="297">
        <v>45426</v>
      </c>
      <c r="C74" s="298">
        <v>5585.62</v>
      </c>
      <c r="D74" s="299"/>
      <c r="E74" s="299"/>
    </row>
    <row r="75" spans="2:5" x14ac:dyDescent="0.35">
      <c r="B75" s="297">
        <v>45427</v>
      </c>
      <c r="C75" s="298">
        <v>5527.4</v>
      </c>
      <c r="D75" s="299"/>
      <c r="E75" s="299"/>
    </row>
    <row r="76" spans="2:5" x14ac:dyDescent="0.35">
      <c r="B76" s="297">
        <v>45428</v>
      </c>
      <c r="C76" s="298">
        <v>5517.42</v>
      </c>
      <c r="D76" s="299"/>
      <c r="E76" s="299"/>
    </row>
    <row r="77" spans="2:5" x14ac:dyDescent="0.35">
      <c r="B77" s="297">
        <v>45432</v>
      </c>
      <c r="C77" s="298">
        <v>5393.65</v>
      </c>
      <c r="D77" s="299"/>
      <c r="E77" s="299"/>
    </row>
    <row r="78" spans="2:5" x14ac:dyDescent="0.35">
      <c r="B78" s="297">
        <v>45433</v>
      </c>
      <c r="C78" s="298">
        <v>5371.1</v>
      </c>
      <c r="D78" s="299"/>
      <c r="E78" s="299"/>
    </row>
    <row r="79" spans="2:5" x14ac:dyDescent="0.35">
      <c r="B79" s="297">
        <v>45435</v>
      </c>
      <c r="C79" s="298">
        <v>5312.4</v>
      </c>
      <c r="D79" s="299"/>
      <c r="E79" s="299"/>
    </row>
    <row r="80" spans="2:5" x14ac:dyDescent="0.35">
      <c r="B80" s="297">
        <v>45439</v>
      </c>
      <c r="C80" s="298">
        <v>5310.52</v>
      </c>
      <c r="D80" s="299"/>
      <c r="E80" s="299"/>
    </row>
    <row r="81" spans="2:5" x14ac:dyDescent="0.35">
      <c r="B81" s="297">
        <v>45440</v>
      </c>
      <c r="C81" s="298">
        <v>5278.88</v>
      </c>
      <c r="D81" s="299"/>
      <c r="E81" s="299"/>
    </row>
    <row r="82" spans="2:5" x14ac:dyDescent="0.35">
      <c r="B82" s="297">
        <v>45441</v>
      </c>
      <c r="C82" s="298">
        <v>5228.53</v>
      </c>
      <c r="D82" s="299"/>
      <c r="E82" s="299"/>
    </row>
    <row r="83" spans="2:5" x14ac:dyDescent="0.35">
      <c r="B83" s="297">
        <v>45442</v>
      </c>
      <c r="C83" s="298">
        <v>5251.96</v>
      </c>
      <c r="D83" s="299"/>
      <c r="E83" s="299"/>
    </row>
    <row r="84" spans="2:5" x14ac:dyDescent="0.35">
      <c r="B84" s="297">
        <v>45446</v>
      </c>
      <c r="C84" s="298">
        <v>5235.63</v>
      </c>
      <c r="D84" s="299"/>
      <c r="E84" s="299"/>
    </row>
    <row r="85" spans="2:5" x14ac:dyDescent="0.35">
      <c r="B85" s="297">
        <v>45447</v>
      </c>
      <c r="C85" s="298">
        <v>5247.53</v>
      </c>
      <c r="D85" s="299"/>
      <c r="E85" s="299"/>
    </row>
    <row r="86" spans="2:5" x14ac:dyDescent="0.35">
      <c r="B86" s="297">
        <v>45448</v>
      </c>
      <c r="C86" s="298">
        <v>5224.37</v>
      </c>
      <c r="D86" s="299"/>
      <c r="E86" s="299"/>
    </row>
    <row r="87" spans="2:5" x14ac:dyDescent="0.35">
      <c r="B87" s="297">
        <v>45449</v>
      </c>
      <c r="C87" s="298">
        <v>5237.32</v>
      </c>
      <c r="D87" s="299"/>
      <c r="E87" s="299"/>
    </row>
    <row r="88" spans="2:5" x14ac:dyDescent="0.35">
      <c r="B88" s="297">
        <v>45453</v>
      </c>
      <c r="C88" s="298">
        <v>5105.8900000000003</v>
      </c>
      <c r="D88" s="299"/>
      <c r="E88" s="299"/>
    </row>
    <row r="89" spans="2:5" x14ac:dyDescent="0.35">
      <c r="B89" s="297">
        <v>45454</v>
      </c>
      <c r="C89" s="298">
        <v>5070.0200000000004</v>
      </c>
      <c r="D89" s="299"/>
      <c r="E89" s="299"/>
    </row>
    <row r="90" spans="2:5" x14ac:dyDescent="0.35">
      <c r="B90" s="297">
        <v>45455</v>
      </c>
      <c r="C90" s="298">
        <v>5083.2</v>
      </c>
      <c r="D90" s="299"/>
      <c r="E90" s="299"/>
    </row>
    <row r="91" spans="2:5" x14ac:dyDescent="0.35">
      <c r="B91" s="297">
        <v>45456</v>
      </c>
      <c r="C91" s="298">
        <v>5117.8100000000004</v>
      </c>
      <c r="D91" s="299"/>
      <c r="E91" s="299"/>
    </row>
    <row r="92" spans="2:5" x14ac:dyDescent="0.35">
      <c r="B92" s="297">
        <v>45462</v>
      </c>
      <c r="C92" s="298">
        <v>5161.38</v>
      </c>
      <c r="D92" s="299"/>
      <c r="E92" s="299"/>
    </row>
    <row r="93" spans="2:5" x14ac:dyDescent="0.35">
      <c r="B93" s="297">
        <v>45463</v>
      </c>
      <c r="C93" s="298">
        <v>5244.13</v>
      </c>
      <c r="D93" s="299"/>
      <c r="E93" s="299"/>
    </row>
    <row r="94" spans="2:5" x14ac:dyDescent="0.35">
      <c r="B94" s="297">
        <v>45467</v>
      </c>
      <c r="C94" s="298">
        <v>5220.1899999999996</v>
      </c>
      <c r="D94" s="299"/>
      <c r="E94" s="299"/>
    </row>
    <row r="95" spans="2:5" x14ac:dyDescent="0.35">
      <c r="B95" s="297">
        <v>45468</v>
      </c>
      <c r="C95" s="298">
        <v>5241.84</v>
      </c>
      <c r="D95" s="299"/>
      <c r="E95" s="299"/>
    </row>
    <row r="96" spans="2:5" x14ac:dyDescent="0.35">
      <c r="B96" s="297">
        <v>45469</v>
      </c>
      <c r="C96" s="298">
        <v>5302.72</v>
      </c>
      <c r="D96" s="299"/>
      <c r="E96" s="299"/>
    </row>
    <row r="97" spans="2:5" x14ac:dyDescent="0.35">
      <c r="B97" s="297">
        <v>45470</v>
      </c>
      <c r="C97" s="298">
        <v>5355.41</v>
      </c>
      <c r="D97" s="299"/>
      <c r="E97" s="299"/>
    </row>
    <row r="98" spans="2:5" x14ac:dyDescent="0.35">
      <c r="B98" s="297">
        <v>45475</v>
      </c>
      <c r="C98" s="298">
        <v>5340.19</v>
      </c>
      <c r="D98" s="299"/>
      <c r="E98" s="299"/>
    </row>
    <row r="99" spans="2:5" x14ac:dyDescent="0.35">
      <c r="B99" s="297">
        <v>45476</v>
      </c>
      <c r="C99" s="298">
        <v>5373.84</v>
      </c>
      <c r="D99" s="299"/>
      <c r="E99" s="299"/>
    </row>
    <row r="100" spans="2:5" x14ac:dyDescent="0.35">
      <c r="B100" s="297">
        <v>45477</v>
      </c>
      <c r="C100" s="298">
        <v>5497.56</v>
      </c>
      <c r="D100" s="299"/>
      <c r="E100" s="299"/>
    </row>
    <row r="101" spans="2:5" x14ac:dyDescent="0.35">
      <c r="B101" s="297">
        <v>45481</v>
      </c>
      <c r="C101" s="298">
        <v>5564.63</v>
      </c>
      <c r="D101" s="299"/>
      <c r="E101" s="299"/>
    </row>
    <row r="102" spans="2:5" x14ac:dyDescent="0.35">
      <c r="B102" s="297">
        <v>45482</v>
      </c>
      <c r="C102" s="298">
        <v>5594.65</v>
      </c>
      <c r="D102" s="299"/>
      <c r="E102" s="299"/>
    </row>
    <row r="103" spans="2:5" x14ac:dyDescent="0.35">
      <c r="B103" s="297">
        <v>45483</v>
      </c>
      <c r="C103" s="298">
        <v>5568.45</v>
      </c>
      <c r="D103" s="299"/>
      <c r="E103" s="299"/>
    </row>
    <row r="104" spans="2:5" x14ac:dyDescent="0.35">
      <c r="B104" s="297">
        <v>45484</v>
      </c>
      <c r="C104" s="298">
        <v>5506.78</v>
      </c>
      <c r="D104" s="299"/>
      <c r="E104" s="299"/>
    </row>
    <row r="105" spans="2:5" x14ac:dyDescent="0.35">
      <c r="B105" s="297">
        <v>45488</v>
      </c>
      <c r="C105" s="298">
        <v>5484.97</v>
      </c>
      <c r="D105" s="299"/>
      <c r="E105" s="299"/>
    </row>
    <row r="106" spans="2:5" x14ac:dyDescent="0.35">
      <c r="B106" s="297">
        <v>45489</v>
      </c>
      <c r="C106" s="298">
        <v>5483.14</v>
      </c>
      <c r="D106" s="299"/>
      <c r="E106" s="299"/>
    </row>
    <row r="107" spans="2:5" x14ac:dyDescent="0.35">
      <c r="B107" s="297">
        <v>45491</v>
      </c>
      <c r="C107" s="298">
        <v>5446.5</v>
      </c>
      <c r="D107" s="299"/>
      <c r="E107" s="299"/>
    </row>
    <row r="108" spans="2:5" x14ac:dyDescent="0.35">
      <c r="B108" s="297">
        <v>45497</v>
      </c>
      <c r="C108" s="298">
        <v>5350.83</v>
      </c>
      <c r="D108" s="299"/>
      <c r="E108" s="299"/>
    </row>
    <row r="109" spans="2:5" x14ac:dyDescent="0.35">
      <c r="B109" s="297">
        <v>45498</v>
      </c>
      <c r="C109" s="298">
        <v>5413.65</v>
      </c>
    </row>
    <row r="110" spans="2:5" x14ac:dyDescent="0.35">
      <c r="B110" s="297">
        <v>45502</v>
      </c>
      <c r="C110" s="298">
        <v>5330.24</v>
      </c>
    </row>
    <row r="111" spans="2:5" x14ac:dyDescent="0.35">
      <c r="B111" s="297">
        <v>45503</v>
      </c>
      <c r="C111" s="298">
        <v>5269.53</v>
      </c>
      <c r="D111" s="298"/>
      <c r="E111" s="299"/>
    </row>
    <row r="112" spans="2:5" x14ac:dyDescent="0.35">
      <c r="B112" s="297">
        <v>45504</v>
      </c>
      <c r="C112" s="298">
        <v>5280.47</v>
      </c>
      <c r="D112" s="299"/>
      <c r="E112" s="299"/>
    </row>
    <row r="113" spans="2:5" x14ac:dyDescent="0.35">
      <c r="B113" s="297">
        <v>45505</v>
      </c>
      <c r="C113" s="298">
        <v>5333.94</v>
      </c>
      <c r="D113" s="299"/>
      <c r="E113" s="299"/>
    </row>
    <row r="114" spans="2:5" x14ac:dyDescent="0.35">
      <c r="B114" s="297">
        <v>45510</v>
      </c>
      <c r="C114" s="298">
        <v>5426.42</v>
      </c>
      <c r="D114" s="299"/>
      <c r="E114" s="299"/>
    </row>
    <row r="115" spans="2:5" x14ac:dyDescent="0.35">
      <c r="B115" s="297">
        <v>45511</v>
      </c>
      <c r="C115" s="298">
        <v>5618.79</v>
      </c>
      <c r="D115" s="299"/>
      <c r="E115" s="299"/>
    </row>
    <row r="116" spans="2:5" x14ac:dyDescent="0.35">
      <c r="B116" s="297">
        <v>45512</v>
      </c>
      <c r="C116" s="298">
        <v>5924.81</v>
      </c>
      <c r="D116" s="299"/>
      <c r="E116" s="299"/>
    </row>
    <row r="117" spans="2:5" x14ac:dyDescent="0.35">
      <c r="B117" s="297">
        <v>45516</v>
      </c>
      <c r="C117" s="298">
        <v>5932.28</v>
      </c>
      <c r="D117" s="299"/>
      <c r="E117" s="299"/>
    </row>
    <row r="118" spans="2:5" x14ac:dyDescent="0.35">
      <c r="B118" s="297">
        <v>45517</v>
      </c>
      <c r="C118" s="298">
        <v>5867.96</v>
      </c>
      <c r="D118" s="299"/>
      <c r="E118" s="299"/>
    </row>
    <row r="119" spans="2:5" x14ac:dyDescent="0.35">
      <c r="B119" s="297">
        <v>45518</v>
      </c>
      <c r="C119" s="298">
        <v>5952.77</v>
      </c>
      <c r="D119" s="299"/>
      <c r="E119" s="299"/>
    </row>
    <row r="120" spans="2:5" x14ac:dyDescent="0.35">
      <c r="B120" s="297">
        <v>45519</v>
      </c>
      <c r="C120" s="298">
        <v>5903.84</v>
      </c>
      <c r="D120" s="299"/>
      <c r="E120" s="299"/>
    </row>
    <row r="121" spans="2:5" x14ac:dyDescent="0.35">
      <c r="B121" s="297">
        <v>45523</v>
      </c>
      <c r="C121" s="298">
        <v>5775.49</v>
      </c>
      <c r="D121" s="299"/>
      <c r="E121" s="299"/>
    </row>
    <row r="122" spans="2:5" x14ac:dyDescent="0.35">
      <c r="B122" s="297">
        <v>45524</v>
      </c>
      <c r="C122" s="298">
        <v>5715.36</v>
      </c>
      <c r="D122" s="299"/>
      <c r="E122" s="299"/>
    </row>
    <row r="123" spans="2:5" x14ac:dyDescent="0.35">
      <c r="B123" s="297">
        <v>45525</v>
      </c>
      <c r="C123" s="298">
        <v>5606.96</v>
      </c>
      <c r="D123" s="299"/>
      <c r="E123" s="299"/>
    </row>
    <row r="124" spans="2:5" x14ac:dyDescent="0.35">
      <c r="B124" s="297">
        <v>45526</v>
      </c>
      <c r="C124" s="298">
        <v>5699.92</v>
      </c>
      <c r="D124" s="299"/>
      <c r="E124" s="299"/>
    </row>
    <row r="125" spans="2:5" x14ac:dyDescent="0.35">
      <c r="B125" s="297">
        <v>45530</v>
      </c>
      <c r="C125" s="298">
        <v>5700.59</v>
      </c>
      <c r="D125" s="299"/>
      <c r="E125" s="299"/>
    </row>
    <row r="126" spans="2:5" x14ac:dyDescent="0.35">
      <c r="B126" s="297">
        <v>45531</v>
      </c>
      <c r="C126" s="298">
        <v>5685.78</v>
      </c>
      <c r="D126" s="299"/>
      <c r="E126" s="299"/>
    </row>
    <row r="127" spans="2:5" x14ac:dyDescent="0.35">
      <c r="B127" s="297">
        <v>45532</v>
      </c>
      <c r="C127" s="298">
        <v>5756.71</v>
      </c>
      <c r="D127" s="299"/>
      <c r="E127" s="299"/>
    </row>
    <row r="128" spans="2:5" x14ac:dyDescent="0.35">
      <c r="B128" s="297">
        <v>45533</v>
      </c>
      <c r="C128" s="298">
        <v>5804.42</v>
      </c>
      <c r="D128" s="299"/>
      <c r="E128" s="299"/>
    </row>
    <row r="129" spans="2:5" x14ac:dyDescent="0.35">
      <c r="B129" s="297">
        <v>45537</v>
      </c>
      <c r="C129" s="298">
        <v>5803.71</v>
      </c>
      <c r="D129" s="299"/>
      <c r="E129" s="299"/>
    </row>
    <row r="130" spans="2:5" x14ac:dyDescent="0.35">
      <c r="B130" s="297">
        <v>45538</v>
      </c>
      <c r="C130" s="298">
        <v>5786.52</v>
      </c>
      <c r="D130" s="299"/>
      <c r="E130" s="299"/>
    </row>
    <row r="131" spans="2:5" x14ac:dyDescent="0.35">
      <c r="B131" s="297">
        <v>45539</v>
      </c>
      <c r="C131" s="298">
        <v>5739.07</v>
      </c>
      <c r="D131" s="299"/>
      <c r="E131" s="299"/>
    </row>
    <row r="132" spans="2:5" x14ac:dyDescent="0.35">
      <c r="B132" s="297">
        <v>45540</v>
      </c>
      <c r="C132" s="298">
        <v>5728.65</v>
      </c>
      <c r="D132" s="299"/>
      <c r="E132" s="299"/>
    </row>
    <row r="133" spans="2:5" x14ac:dyDescent="0.35">
      <c r="B133" s="297">
        <v>45544</v>
      </c>
      <c r="C133" s="298">
        <v>5629.54</v>
      </c>
      <c r="D133" s="299"/>
      <c r="E133" s="299"/>
    </row>
    <row r="134" spans="2:5" x14ac:dyDescent="0.35">
      <c r="B134" s="297">
        <v>45545</v>
      </c>
      <c r="C134" s="298">
        <v>5702.83</v>
      </c>
      <c r="D134" s="299"/>
      <c r="E134" s="299"/>
    </row>
    <row r="135" spans="2:5" x14ac:dyDescent="0.35">
      <c r="B135" s="297">
        <v>45546</v>
      </c>
      <c r="C135" s="298">
        <v>5713.96</v>
      </c>
      <c r="D135" s="299"/>
      <c r="E135" s="299"/>
    </row>
    <row r="136" spans="2:5" x14ac:dyDescent="0.35">
      <c r="B136" s="297">
        <v>45547</v>
      </c>
      <c r="C136" s="298">
        <v>5726.52</v>
      </c>
      <c r="D136" s="299"/>
      <c r="E136" s="299"/>
    </row>
    <row r="137" spans="2:5" x14ac:dyDescent="0.35">
      <c r="B137" s="297">
        <v>45552</v>
      </c>
      <c r="C137" s="298">
        <v>5681.6</v>
      </c>
      <c r="D137" s="299"/>
      <c r="E137" s="299"/>
    </row>
    <row r="138" spans="2:5" x14ac:dyDescent="0.35">
      <c r="B138" s="297">
        <v>45553</v>
      </c>
      <c r="C138" s="298">
        <v>5694.14</v>
      </c>
      <c r="D138" s="299"/>
      <c r="E138" s="299"/>
    </row>
    <row r="139" spans="2:5" x14ac:dyDescent="0.35">
      <c r="B139" s="297">
        <v>45554</v>
      </c>
      <c r="C139" s="298">
        <v>5735.27</v>
      </c>
      <c r="D139" s="299"/>
      <c r="E139" s="299"/>
    </row>
    <row r="140" spans="2:5" x14ac:dyDescent="0.35">
      <c r="B140" s="297">
        <v>45558</v>
      </c>
      <c r="C140" s="298">
        <v>5760.39</v>
      </c>
      <c r="D140" s="299"/>
      <c r="E140" s="299"/>
    </row>
    <row r="141" spans="2:5" x14ac:dyDescent="0.35">
      <c r="B141" s="297">
        <v>45559</v>
      </c>
      <c r="C141" s="298">
        <v>5777.96</v>
      </c>
      <c r="D141" s="299"/>
      <c r="E141" s="299"/>
    </row>
    <row r="142" spans="2:5" x14ac:dyDescent="0.35">
      <c r="B142" s="297">
        <v>45560</v>
      </c>
      <c r="C142" s="298">
        <v>5736.51</v>
      </c>
      <c r="D142" s="299"/>
      <c r="E142" s="299"/>
    </row>
    <row r="143" spans="2:5" x14ac:dyDescent="0.35">
      <c r="B143" s="297">
        <v>45561</v>
      </c>
      <c r="C143" s="298">
        <v>5639.13</v>
      </c>
      <c r="D143" s="299"/>
      <c r="E143" s="299"/>
    </row>
    <row r="144" spans="2:5" x14ac:dyDescent="0.35">
      <c r="B144" s="297">
        <v>45565</v>
      </c>
      <c r="C144" s="298">
        <v>5624.5</v>
      </c>
      <c r="D144" s="299"/>
      <c r="E144" s="299"/>
    </row>
    <row r="145" spans="2:5" x14ac:dyDescent="0.35">
      <c r="B145" s="297">
        <v>45566</v>
      </c>
      <c r="C145" s="298">
        <v>5586.29</v>
      </c>
      <c r="D145" s="299"/>
      <c r="E145" s="299"/>
    </row>
    <row r="146" spans="2:5" x14ac:dyDescent="0.35">
      <c r="B146" s="297">
        <v>45567</v>
      </c>
      <c r="C146" s="298">
        <v>5453.99</v>
      </c>
      <c r="D146" s="299"/>
      <c r="E146" s="299"/>
    </row>
    <row r="147" spans="2:5" x14ac:dyDescent="0.35">
      <c r="B147" s="297">
        <v>45568</v>
      </c>
      <c r="C147" s="298">
        <v>5462.58</v>
      </c>
      <c r="D147" s="299"/>
      <c r="E147" s="299"/>
    </row>
    <row r="148" spans="2:5" x14ac:dyDescent="0.35">
      <c r="B148" s="297">
        <v>45572</v>
      </c>
      <c r="C148" s="298">
        <v>5335.06</v>
      </c>
      <c r="D148" s="299"/>
      <c r="E148" s="299"/>
    </row>
    <row r="149" spans="2:5" x14ac:dyDescent="0.35">
      <c r="B149" s="297">
        <v>45573</v>
      </c>
      <c r="C149" s="298">
        <v>5323.22</v>
      </c>
      <c r="D149" s="299"/>
      <c r="E149" s="299"/>
    </row>
    <row r="150" spans="2:5" x14ac:dyDescent="0.35">
      <c r="B150" s="297">
        <v>45574</v>
      </c>
      <c r="C150" s="298">
        <v>5422.06</v>
      </c>
      <c r="D150" s="299"/>
      <c r="E150" s="299"/>
    </row>
    <row r="151" spans="2:5" x14ac:dyDescent="0.35">
      <c r="B151" s="297">
        <v>45579</v>
      </c>
      <c r="C151" s="298">
        <v>5373.54</v>
      </c>
      <c r="D151" s="299"/>
      <c r="E151" s="299"/>
    </row>
    <row r="152" spans="2:5" x14ac:dyDescent="0.35">
      <c r="B152" s="297">
        <v>45580</v>
      </c>
      <c r="C152" s="298">
        <v>5365.96</v>
      </c>
      <c r="D152" s="299"/>
      <c r="E152" s="299"/>
    </row>
    <row r="153" spans="2:5" x14ac:dyDescent="0.35">
      <c r="B153" s="297">
        <v>45581</v>
      </c>
      <c r="C153" s="298">
        <v>5316.21</v>
      </c>
      <c r="D153" s="299"/>
      <c r="E153" s="299"/>
    </row>
    <row r="154" spans="2:5" x14ac:dyDescent="0.35">
      <c r="B154" s="297">
        <v>45582</v>
      </c>
      <c r="C154" s="298">
        <v>5257.98</v>
      </c>
      <c r="D154" s="299"/>
      <c r="E154" s="299"/>
    </row>
    <row r="155" spans="2:5" x14ac:dyDescent="0.35">
      <c r="B155" s="297">
        <v>45586</v>
      </c>
      <c r="C155" s="298">
        <v>5173.1099999999997</v>
      </c>
      <c r="D155" s="299"/>
      <c r="E155" s="299"/>
    </row>
    <row r="156" spans="2:5" x14ac:dyDescent="0.35">
      <c r="B156" s="297">
        <v>45587</v>
      </c>
      <c r="C156" s="298">
        <v>5241.7700000000004</v>
      </c>
      <c r="D156" s="299"/>
      <c r="E156" s="299"/>
    </row>
    <row r="157" spans="2:5" x14ac:dyDescent="0.35">
      <c r="B157" s="297">
        <v>45588</v>
      </c>
      <c r="C157" s="298">
        <v>5169.79</v>
      </c>
      <c r="D157" s="299"/>
      <c r="E157" s="299"/>
    </row>
    <row r="158" spans="2:5" x14ac:dyDescent="0.35">
      <c r="B158" s="297">
        <v>45589</v>
      </c>
      <c r="C158" s="298">
        <v>5114.6000000000004</v>
      </c>
      <c r="D158" s="299"/>
      <c r="E158" s="299"/>
    </row>
    <row r="159" spans="2:5" x14ac:dyDescent="0.35">
      <c r="B159" s="297">
        <v>45593</v>
      </c>
      <c r="C159" s="298">
        <v>4898.53</v>
      </c>
      <c r="D159" s="299"/>
      <c r="E159" s="299"/>
    </row>
    <row r="160" spans="2:5" x14ac:dyDescent="0.35">
      <c r="B160" s="297">
        <v>45594</v>
      </c>
      <c r="C160" s="298">
        <v>5017.33</v>
      </c>
    </row>
    <row r="161" spans="2:5" x14ac:dyDescent="0.35">
      <c r="B161" s="297">
        <v>45595</v>
      </c>
      <c r="C161" s="298">
        <v>5164.84</v>
      </c>
    </row>
    <row r="162" spans="2:5" x14ac:dyDescent="0.35">
      <c r="B162" s="297">
        <v>45596</v>
      </c>
      <c r="C162" s="298">
        <v>5199.3999999999996</v>
      </c>
      <c r="D162" s="298"/>
      <c r="E162" s="299"/>
    </row>
    <row r="163" spans="2:5" x14ac:dyDescent="0.35">
      <c r="B163" s="297">
        <v>45600</v>
      </c>
      <c r="C163" s="298">
        <v>5252.5</v>
      </c>
      <c r="D163" s="299"/>
      <c r="E163" s="299"/>
    </row>
    <row r="164" spans="2:5" x14ac:dyDescent="0.35">
      <c r="B164" s="297">
        <v>45601</v>
      </c>
      <c r="C164" s="298">
        <v>5365.02</v>
      </c>
      <c r="D164" s="299"/>
      <c r="E164" s="299"/>
    </row>
    <row r="165" spans="2:5" x14ac:dyDescent="0.35">
      <c r="B165" s="297">
        <v>45602</v>
      </c>
      <c r="C165" s="298">
        <v>5347.08</v>
      </c>
      <c r="D165" s="299"/>
      <c r="E165" s="299"/>
    </row>
    <row r="166" spans="2:5" x14ac:dyDescent="0.35">
      <c r="B166" s="297">
        <v>45603</v>
      </c>
      <c r="C166" s="298">
        <v>5316.33</v>
      </c>
      <c r="D166" s="299"/>
      <c r="E166" s="299"/>
    </row>
    <row r="167" spans="2:5" x14ac:dyDescent="0.35">
      <c r="B167" s="297">
        <v>45607</v>
      </c>
      <c r="C167" s="298">
        <v>5333.42</v>
      </c>
      <c r="D167" s="299"/>
      <c r="E167" s="299"/>
    </row>
    <row r="168" spans="2:5" x14ac:dyDescent="0.35">
      <c r="B168" s="297">
        <v>45608</v>
      </c>
      <c r="C168" s="298">
        <v>5298.37</v>
      </c>
      <c r="D168" s="299"/>
      <c r="E168" s="299"/>
    </row>
    <row r="169" spans="2:5" x14ac:dyDescent="0.35">
      <c r="B169" s="297">
        <v>45609</v>
      </c>
      <c r="C169" s="298">
        <v>5316.02</v>
      </c>
      <c r="D169" s="299"/>
      <c r="E169" s="299"/>
    </row>
    <row r="170" spans="2:5" x14ac:dyDescent="0.35">
      <c r="B170" s="297">
        <v>45610</v>
      </c>
      <c r="C170" s="298">
        <v>5355.33</v>
      </c>
      <c r="D170" s="299"/>
      <c r="E170" s="299"/>
    </row>
    <row r="171" spans="2:5" x14ac:dyDescent="0.35">
      <c r="B171" s="297">
        <v>45614</v>
      </c>
      <c r="C171" s="298">
        <v>5300.07</v>
      </c>
      <c r="D171" s="299"/>
      <c r="E171" s="299"/>
    </row>
    <row r="172" spans="2:5" x14ac:dyDescent="0.35">
      <c r="B172" s="297">
        <v>45615</v>
      </c>
      <c r="C172" s="298">
        <v>5242.66</v>
      </c>
      <c r="D172" s="299"/>
      <c r="E172" s="299"/>
    </row>
    <row r="173" spans="2:5" x14ac:dyDescent="0.35">
      <c r="B173" s="297">
        <v>45616</v>
      </c>
      <c r="C173" s="298">
        <v>5245.26</v>
      </c>
      <c r="D173" s="299"/>
      <c r="E173" s="299"/>
    </row>
    <row r="174" spans="2:5" x14ac:dyDescent="0.35">
      <c r="B174" s="297">
        <v>45617</v>
      </c>
      <c r="C174" s="298">
        <v>5197.58</v>
      </c>
      <c r="D174" s="299"/>
      <c r="E174" s="299"/>
    </row>
    <row r="175" spans="2:5" x14ac:dyDescent="0.35">
      <c r="B175" s="297">
        <v>45621</v>
      </c>
      <c r="C175" s="298">
        <v>5136.13</v>
      </c>
      <c r="D175" s="299"/>
      <c r="E175" s="299"/>
    </row>
    <row r="176" spans="2:5" x14ac:dyDescent="0.35">
      <c r="B176" s="297">
        <v>45622</v>
      </c>
      <c r="C176" s="298">
        <v>5143.13</v>
      </c>
      <c r="D176" s="299"/>
      <c r="E176" s="299"/>
    </row>
    <row r="177" spans="2:5" x14ac:dyDescent="0.35">
      <c r="B177" s="297">
        <v>45623</v>
      </c>
      <c r="C177" s="298">
        <v>5197.9399999999996</v>
      </c>
      <c r="D177" s="299"/>
      <c r="E177" s="299"/>
    </row>
    <row r="178" spans="2:5" x14ac:dyDescent="0.35">
      <c r="B178" s="297">
        <v>45624</v>
      </c>
      <c r="C178" s="298">
        <v>5192.59</v>
      </c>
      <c r="D178" s="299"/>
      <c r="E178" s="299"/>
    </row>
    <row r="179" spans="2:5" x14ac:dyDescent="0.35">
      <c r="B179" s="297">
        <v>45628</v>
      </c>
      <c r="C179" s="298">
        <v>5201.9399999999996</v>
      </c>
      <c r="D179" s="299"/>
      <c r="E179" s="299"/>
    </row>
    <row r="180" spans="2:5" x14ac:dyDescent="0.35">
      <c r="B180" s="297">
        <v>45629</v>
      </c>
      <c r="C180" s="298">
        <v>5226.05</v>
      </c>
      <c r="D180" s="299"/>
      <c r="E180" s="299"/>
    </row>
    <row r="181" spans="2:5" x14ac:dyDescent="0.35">
      <c r="B181" s="297">
        <v>45630</v>
      </c>
      <c r="C181" s="298">
        <v>5238.37</v>
      </c>
      <c r="D181" s="299"/>
      <c r="E181" s="299"/>
    </row>
    <row r="182" spans="2:5" x14ac:dyDescent="0.35">
      <c r="B182" s="297">
        <v>45631</v>
      </c>
      <c r="C182" s="298">
        <v>5196.82</v>
      </c>
      <c r="D182" s="299"/>
      <c r="E182" s="299"/>
    </row>
    <row r="183" spans="2:5" x14ac:dyDescent="0.35">
      <c r="B183" s="297">
        <v>45635</v>
      </c>
      <c r="C183" s="298">
        <v>5166.9799999999996</v>
      </c>
      <c r="D183" s="299"/>
      <c r="E183" s="299"/>
    </row>
    <row r="184" spans="2:5" x14ac:dyDescent="0.35">
      <c r="B184" s="297">
        <v>45636</v>
      </c>
      <c r="C184" s="298">
        <v>5166.83</v>
      </c>
      <c r="D184" s="299"/>
      <c r="E184" s="299"/>
    </row>
    <row r="185" spans="2:5" x14ac:dyDescent="0.35">
      <c r="B185" s="297">
        <v>45637</v>
      </c>
      <c r="C185" s="298">
        <v>5124.5</v>
      </c>
      <c r="D185" s="299"/>
      <c r="E185" s="299"/>
    </row>
    <row r="186" spans="2:5" x14ac:dyDescent="0.35">
      <c r="B186" s="297">
        <v>45638</v>
      </c>
      <c r="C186" s="298">
        <v>5105.43</v>
      </c>
      <c r="D186" s="299"/>
      <c r="E186" s="299"/>
    </row>
    <row r="187" spans="2:5" x14ac:dyDescent="0.35">
      <c r="B187" s="297">
        <v>45643</v>
      </c>
      <c r="C187" s="298">
        <v>5224.58</v>
      </c>
      <c r="D187" s="299"/>
      <c r="E187" s="299"/>
    </row>
    <row r="188" spans="2:5" x14ac:dyDescent="0.35">
      <c r="B188" s="297">
        <v>45644</v>
      </c>
      <c r="C188" s="298">
        <v>5208.21</v>
      </c>
      <c r="D188" s="299"/>
      <c r="E188" s="299"/>
    </row>
    <row r="189" spans="2:5" x14ac:dyDescent="0.35">
      <c r="B189" s="297">
        <v>45645</v>
      </c>
      <c r="C189" s="298">
        <v>5221.57</v>
      </c>
      <c r="D189" s="299"/>
      <c r="E189" s="299"/>
    </row>
    <row r="190" spans="2:5" x14ac:dyDescent="0.35">
      <c r="B190" s="297">
        <v>45649</v>
      </c>
      <c r="C190" s="298">
        <v>5170.79</v>
      </c>
      <c r="D190" s="299"/>
      <c r="E190" s="299"/>
    </row>
    <row r="191" spans="2:5" x14ac:dyDescent="0.35">
      <c r="B191" s="297">
        <v>45650</v>
      </c>
      <c r="C191" s="298">
        <v>5169.32</v>
      </c>
      <c r="E191" s="299"/>
    </row>
    <row r="192" spans="2:5" x14ac:dyDescent="0.35">
      <c r="B192" s="297">
        <v>45652</v>
      </c>
      <c r="C192" s="298">
        <v>5184.45</v>
      </c>
      <c r="D192" s="282" t="s">
        <v>176</v>
      </c>
      <c r="E192" s="299"/>
    </row>
    <row r="193" spans="2:5" x14ac:dyDescent="0.35">
      <c r="B193" s="297">
        <v>45656</v>
      </c>
      <c r="C193" s="298">
        <v>5216.4399999999996</v>
      </c>
      <c r="D193" s="300">
        <f>AVERAGE(C145:C193)</f>
        <v>5243.6320408163265</v>
      </c>
      <c r="E193" s="299"/>
    </row>
    <row r="194" spans="2:5" x14ac:dyDescent="0.35">
      <c r="B194" s="297">
        <v>45658</v>
      </c>
      <c r="C194" s="298">
        <v>5218.16</v>
      </c>
      <c r="D194" s="299"/>
      <c r="E194" s="299"/>
    </row>
    <row r="195" spans="2:5" x14ac:dyDescent="0.35">
      <c r="B195" s="297">
        <v>45659</v>
      </c>
      <c r="C195" s="298">
        <v>5199.62</v>
      </c>
      <c r="D195" s="299"/>
      <c r="E195" s="299"/>
    </row>
    <row r="196" spans="2:5" x14ac:dyDescent="0.35">
      <c r="B196" s="297">
        <v>45663</v>
      </c>
      <c r="C196" s="298">
        <v>5198.84</v>
      </c>
      <c r="D196" s="299"/>
      <c r="E196" s="299"/>
    </row>
    <row r="197" spans="2:5" x14ac:dyDescent="0.35">
      <c r="B197" s="297">
        <v>45664</v>
      </c>
      <c r="C197" s="298">
        <v>5190.78</v>
      </c>
      <c r="D197" s="299"/>
      <c r="E197" s="299"/>
    </row>
    <row r="198" spans="2:5" x14ac:dyDescent="0.35">
      <c r="B198" s="297">
        <v>45665</v>
      </c>
      <c r="C198" s="298">
        <v>5185</v>
      </c>
      <c r="D198" s="299"/>
      <c r="E198" s="299"/>
    </row>
    <row r="199" spans="2:5" x14ac:dyDescent="0.35">
      <c r="B199" s="297">
        <v>45666</v>
      </c>
      <c r="C199" s="298">
        <v>5194.43</v>
      </c>
      <c r="D199" s="299"/>
      <c r="E199" s="299"/>
    </row>
    <row r="200" spans="2:5" x14ac:dyDescent="0.35">
      <c r="B200" s="297">
        <v>45670</v>
      </c>
      <c r="C200" s="298">
        <v>5151.88</v>
      </c>
      <c r="D200" s="299"/>
      <c r="E200" s="299"/>
    </row>
    <row r="201" spans="2:5" x14ac:dyDescent="0.35">
      <c r="B201" s="297">
        <v>45671</v>
      </c>
      <c r="C201" s="298">
        <v>5150.87</v>
      </c>
      <c r="D201" s="299"/>
      <c r="E201" s="299"/>
    </row>
    <row r="202" spans="2:5" x14ac:dyDescent="0.35">
      <c r="B202" s="297">
        <v>45672</v>
      </c>
      <c r="C202" s="298">
        <v>5142.5200000000004</v>
      </c>
      <c r="D202" s="299"/>
      <c r="E202" s="299"/>
    </row>
    <row r="203" spans="2:5" x14ac:dyDescent="0.35">
      <c r="B203" s="297">
        <v>45673</v>
      </c>
      <c r="C203" s="298">
        <v>5133.92</v>
      </c>
      <c r="D203" s="299"/>
      <c r="E203" s="299"/>
    </row>
    <row r="204" spans="2:5" x14ac:dyDescent="0.35">
      <c r="B204" s="297">
        <v>45677</v>
      </c>
      <c r="C204" s="298">
        <v>5195.83</v>
      </c>
      <c r="D204" s="299"/>
      <c r="E204" s="299"/>
    </row>
    <row r="205" spans="2:5" x14ac:dyDescent="0.35">
      <c r="B205" s="297">
        <v>45678</v>
      </c>
      <c r="C205" s="298">
        <v>5202.62</v>
      </c>
      <c r="D205" s="299"/>
      <c r="E205" s="299"/>
    </row>
    <row r="206" spans="2:5" x14ac:dyDescent="0.35">
      <c r="B206" s="297">
        <v>45679</v>
      </c>
      <c r="C206" s="298">
        <v>5177.24</v>
      </c>
      <c r="D206" s="299"/>
      <c r="E206" s="299"/>
    </row>
    <row r="207" spans="2:5" x14ac:dyDescent="0.35">
      <c r="B207" s="297">
        <v>45680</v>
      </c>
      <c r="C207" s="298">
        <v>5166.53</v>
      </c>
      <c r="D207" s="299"/>
      <c r="E207" s="299"/>
    </row>
    <row r="208" spans="2:5" x14ac:dyDescent="0.35">
      <c r="B208" s="297">
        <v>45684</v>
      </c>
      <c r="C208" s="298">
        <v>5130.0600000000004</v>
      </c>
      <c r="D208" s="299"/>
      <c r="E208" s="299"/>
    </row>
    <row r="209" spans="2:5" x14ac:dyDescent="0.35">
      <c r="B209" s="297">
        <v>45685</v>
      </c>
      <c r="C209" s="298">
        <v>5126.42</v>
      </c>
      <c r="D209" s="299"/>
      <c r="E209" s="299"/>
    </row>
    <row r="210" spans="2:5" x14ac:dyDescent="0.35">
      <c r="B210" s="297">
        <v>45686</v>
      </c>
      <c r="C210" s="298">
        <v>5112.51</v>
      </c>
    </row>
    <row r="211" spans="2:5" x14ac:dyDescent="0.35">
      <c r="B211" s="297">
        <v>45687</v>
      </c>
      <c r="C211" s="300">
        <v>5112.8999999999996</v>
      </c>
    </row>
    <row r="212" spans="2:5" x14ac:dyDescent="0.35">
      <c r="B212" s="297">
        <v>45690</v>
      </c>
      <c r="C212" s="298">
        <v>5126.1499999999996</v>
      </c>
      <c r="D212" s="299"/>
      <c r="E212" s="299"/>
    </row>
    <row r="213" spans="2:5" x14ac:dyDescent="0.35">
      <c r="B213" s="297">
        <v>45691</v>
      </c>
      <c r="C213" s="298">
        <v>5145.84</v>
      </c>
      <c r="D213" s="299"/>
      <c r="E213" s="299"/>
    </row>
    <row r="214" spans="2:5" x14ac:dyDescent="0.35">
      <c r="B214" s="297">
        <v>45692</v>
      </c>
      <c r="C214" s="298">
        <v>5147.34</v>
      </c>
      <c r="D214" s="299"/>
      <c r="E214" s="299"/>
    </row>
    <row r="215" spans="2:5" x14ac:dyDescent="0.35">
      <c r="B215" s="297">
        <v>45693</v>
      </c>
      <c r="C215" s="298">
        <v>5170.0600000000004</v>
      </c>
      <c r="D215" s="299"/>
      <c r="E215" s="299"/>
    </row>
    <row r="216" spans="2:5" x14ac:dyDescent="0.35">
      <c r="B216" s="297">
        <v>45694</v>
      </c>
      <c r="C216" s="298">
        <v>5179.18</v>
      </c>
      <c r="D216" s="299"/>
      <c r="E216" s="299"/>
    </row>
    <row r="217" spans="2:5" x14ac:dyDescent="0.35">
      <c r="B217" s="297">
        <v>45697</v>
      </c>
      <c r="C217" s="298">
        <v>5165.88</v>
      </c>
      <c r="D217" s="299"/>
      <c r="E217" s="299"/>
    </row>
    <row r="218" spans="2:5" x14ac:dyDescent="0.35">
      <c r="B218" s="297">
        <v>45698</v>
      </c>
      <c r="C218" s="298">
        <v>5174.28</v>
      </c>
      <c r="D218" s="299"/>
      <c r="E218" s="299"/>
    </row>
    <row r="219" spans="2:5" x14ac:dyDescent="0.35">
      <c r="B219" s="297">
        <v>45699</v>
      </c>
      <c r="C219" s="298">
        <v>5192.05</v>
      </c>
      <c r="D219" s="299"/>
      <c r="E219" s="299"/>
    </row>
    <row r="220" spans="2:5" x14ac:dyDescent="0.35">
      <c r="B220" s="297">
        <v>45700</v>
      </c>
      <c r="C220" s="298">
        <v>5189.62</v>
      </c>
      <c r="D220" s="299"/>
      <c r="E220" s="299"/>
    </row>
    <row r="221" spans="2:5" x14ac:dyDescent="0.35">
      <c r="B221" s="297">
        <v>45701</v>
      </c>
      <c r="C221" s="298">
        <v>5201.4799999999996</v>
      </c>
      <c r="D221" s="299"/>
      <c r="E221" s="299"/>
    </row>
    <row r="222" spans="2:5" x14ac:dyDescent="0.35">
      <c r="B222" s="297">
        <v>45704</v>
      </c>
      <c r="C222" s="298">
        <v>5198.78</v>
      </c>
      <c r="D222" s="299"/>
      <c r="E222" s="299"/>
    </row>
    <row r="223" spans="2:5" x14ac:dyDescent="0.35">
      <c r="B223" s="297">
        <v>45705</v>
      </c>
      <c r="C223" s="298">
        <v>5211.53</v>
      </c>
      <c r="D223" s="299"/>
      <c r="E223" s="299"/>
    </row>
    <row r="224" spans="2:5" x14ac:dyDescent="0.35">
      <c r="B224" s="297">
        <v>45706</v>
      </c>
      <c r="C224" s="298">
        <v>5203.2</v>
      </c>
      <c r="D224" s="299"/>
      <c r="E224" s="299"/>
    </row>
    <row r="225" spans="2:5" x14ac:dyDescent="0.35">
      <c r="B225" s="297">
        <v>45707</v>
      </c>
      <c r="C225" s="298">
        <v>5192.4399999999996</v>
      </c>
      <c r="D225" s="299"/>
      <c r="E225" s="299"/>
    </row>
    <row r="226" spans="2:5" x14ac:dyDescent="0.35">
      <c r="B226" s="297">
        <v>45708</v>
      </c>
      <c r="C226" s="298">
        <v>5200.37</v>
      </c>
      <c r="D226" s="299"/>
      <c r="E226" s="299"/>
    </row>
    <row r="227" spans="2:5" x14ac:dyDescent="0.35">
      <c r="B227" s="297">
        <v>45711</v>
      </c>
      <c r="C227" s="298">
        <v>5224.37</v>
      </c>
      <c r="D227" s="299"/>
      <c r="E227" s="299"/>
    </row>
    <row r="228" spans="2:5" x14ac:dyDescent="0.35">
      <c r="B228" s="297">
        <v>45712</v>
      </c>
      <c r="C228" s="298">
        <v>5234.95</v>
      </c>
      <c r="D228" s="299"/>
      <c r="E228" s="299"/>
    </row>
    <row r="229" spans="2:5" x14ac:dyDescent="0.35">
      <c r="B229" s="297">
        <v>45713</v>
      </c>
      <c r="C229" s="298">
        <v>5267.89</v>
      </c>
      <c r="D229" s="299"/>
      <c r="E229" s="299"/>
    </row>
    <row r="230" spans="2:5" x14ac:dyDescent="0.35">
      <c r="B230" s="297">
        <v>45714</v>
      </c>
      <c r="C230" s="298">
        <v>5253.79</v>
      </c>
      <c r="D230" s="299"/>
      <c r="E230" s="299"/>
    </row>
    <row r="231" spans="2:5" x14ac:dyDescent="0.35">
      <c r="B231" s="297">
        <v>45715</v>
      </c>
      <c r="C231" s="298">
        <v>5247.3</v>
      </c>
      <c r="D231" s="299"/>
      <c r="E231" s="299"/>
    </row>
    <row r="232" spans="2:5" x14ac:dyDescent="0.35">
      <c r="B232" s="297">
        <v>45718</v>
      </c>
      <c r="C232" s="298">
        <v>5236.8500000000004</v>
      </c>
      <c r="D232" s="299"/>
      <c r="E232" s="299"/>
    </row>
    <row r="233" spans="2:5" x14ac:dyDescent="0.35">
      <c r="B233" s="297">
        <v>45719</v>
      </c>
      <c r="C233" s="298">
        <v>5220.67</v>
      </c>
      <c r="D233" s="299"/>
      <c r="E233" s="299"/>
    </row>
    <row r="234" spans="2:5" x14ac:dyDescent="0.35">
      <c r="B234" s="297">
        <v>45720</v>
      </c>
      <c r="C234" s="298">
        <v>5194.1099999999997</v>
      </c>
      <c r="D234" s="299"/>
      <c r="E234" s="299"/>
    </row>
    <row r="235" spans="2:5" x14ac:dyDescent="0.35">
      <c r="B235" s="297">
        <v>45721</v>
      </c>
      <c r="C235" s="298">
        <v>5196.66</v>
      </c>
      <c r="D235" s="299"/>
      <c r="E235" s="299"/>
    </row>
    <row r="236" spans="2:5" x14ac:dyDescent="0.35">
      <c r="B236" s="297">
        <v>45722</v>
      </c>
      <c r="C236" s="298">
        <v>5203.96</v>
      </c>
      <c r="D236" s="299"/>
      <c r="E236" s="299"/>
    </row>
    <row r="237" spans="2:5" x14ac:dyDescent="0.35">
      <c r="B237" s="297">
        <v>45725</v>
      </c>
      <c r="C237" s="298">
        <v>5174.4399999999996</v>
      </c>
      <c r="D237" s="299"/>
      <c r="E237" s="299"/>
    </row>
    <row r="238" spans="2:5" x14ac:dyDescent="0.35">
      <c r="B238" s="297">
        <v>45726</v>
      </c>
      <c r="C238" s="298">
        <v>5190.95</v>
      </c>
      <c r="D238" s="299"/>
      <c r="E238" s="299"/>
    </row>
    <row r="239" spans="2:5" x14ac:dyDescent="0.35">
      <c r="B239" s="297">
        <v>45727</v>
      </c>
      <c r="C239" s="298">
        <v>5199.3</v>
      </c>
      <c r="D239" s="299"/>
      <c r="E239" s="299"/>
    </row>
    <row r="240" spans="2:5" x14ac:dyDescent="0.35">
      <c r="B240" s="297">
        <v>45728</v>
      </c>
      <c r="C240" s="298">
        <v>5216.07</v>
      </c>
      <c r="D240" s="299"/>
      <c r="E240" s="299"/>
    </row>
    <row r="241" spans="2:5" x14ac:dyDescent="0.35">
      <c r="B241" s="297">
        <v>45729</v>
      </c>
      <c r="C241" s="299">
        <v>5225.6099999999997</v>
      </c>
      <c r="D241" s="299"/>
      <c r="E241" s="299"/>
    </row>
    <row r="242" spans="2:5" x14ac:dyDescent="0.35">
      <c r="B242" s="297">
        <v>45732</v>
      </c>
      <c r="C242" s="299">
        <v>5221.95</v>
      </c>
      <c r="D242" s="299"/>
      <c r="E242" s="299"/>
    </row>
    <row r="243" spans="2:5" x14ac:dyDescent="0.35">
      <c r="B243" s="297">
        <v>45733</v>
      </c>
      <c r="C243" s="299">
        <v>5205.4399999999996</v>
      </c>
      <c r="D243" s="299"/>
      <c r="E243" s="299"/>
    </row>
    <row r="244" spans="2:5" x14ac:dyDescent="0.35">
      <c r="B244" s="297">
        <v>45734</v>
      </c>
      <c r="C244" s="299">
        <v>5210.29</v>
      </c>
      <c r="D244" s="299"/>
      <c r="E244" s="299"/>
    </row>
    <row r="245" spans="2:5" x14ac:dyDescent="0.35">
      <c r="B245" s="297">
        <v>45735</v>
      </c>
      <c r="C245" s="299">
        <v>5207.3599999999997</v>
      </c>
      <c r="D245" s="299"/>
      <c r="E245" s="299"/>
    </row>
    <row r="246" spans="2:5" x14ac:dyDescent="0.35">
      <c r="B246" s="297">
        <v>45736</v>
      </c>
      <c r="C246" s="299">
        <v>5201.7</v>
      </c>
      <c r="D246" s="299"/>
      <c r="E246" s="299"/>
    </row>
    <row r="247" spans="2:5" x14ac:dyDescent="0.35">
      <c r="B247" s="297">
        <v>45739</v>
      </c>
      <c r="C247" s="299">
        <v>5183.3599999999997</v>
      </c>
      <c r="D247" s="299"/>
      <c r="E247" s="299"/>
    </row>
    <row r="248" spans="2:5" x14ac:dyDescent="0.35">
      <c r="B248" s="297">
        <v>45740</v>
      </c>
      <c r="C248" s="299">
        <v>5196.8900000000003</v>
      </c>
      <c r="D248" s="299"/>
      <c r="E248" s="299"/>
    </row>
    <row r="249" spans="2:5" x14ac:dyDescent="0.35">
      <c r="B249" s="297">
        <v>45741</v>
      </c>
      <c r="C249" s="299">
        <v>5214.21</v>
      </c>
      <c r="D249" s="282" t="s">
        <v>79</v>
      </c>
      <c r="E249" s="299"/>
    </row>
    <row r="250" spans="2:5" x14ac:dyDescent="0.35">
      <c r="B250" s="297">
        <v>45743</v>
      </c>
      <c r="C250" s="299">
        <v>5219.16</v>
      </c>
      <c r="D250" s="300">
        <f>AVERAGE(C194:C250)</f>
        <v>5190.0984210526312</v>
      </c>
      <c r="E250" s="300">
        <f>D250-D193</f>
        <v>-53.533619763695242</v>
      </c>
    </row>
    <row r="251" spans="2:5" x14ac:dyDescent="0.35">
      <c r="B251" s="297">
        <v>45753</v>
      </c>
      <c r="C251" s="299">
        <v>5205.1899999999996</v>
      </c>
      <c r="D251" s="299"/>
      <c r="E251" s="299"/>
    </row>
    <row r="252" spans="2:5" x14ac:dyDescent="0.35">
      <c r="B252" s="297">
        <v>45754</v>
      </c>
      <c r="C252" s="299">
        <v>5196.7</v>
      </c>
      <c r="D252" s="299"/>
      <c r="E252" s="299"/>
    </row>
    <row r="253" spans="2:5" x14ac:dyDescent="0.35">
      <c r="B253" s="297">
        <v>45755</v>
      </c>
      <c r="C253" s="299">
        <v>5185.83</v>
      </c>
      <c r="D253" s="299"/>
      <c r="E253" s="299"/>
    </row>
    <row r="254" spans="2:5" x14ac:dyDescent="0.35">
      <c r="B254" s="297">
        <v>45756</v>
      </c>
      <c r="C254" s="299">
        <v>5196.05</v>
      </c>
      <c r="D254" s="299"/>
      <c r="E254" s="299"/>
    </row>
    <row r="255" spans="2:5" x14ac:dyDescent="0.35">
      <c r="B255" s="297">
        <v>45757</v>
      </c>
      <c r="C255" s="299">
        <v>5205.2299999999996</v>
      </c>
      <c r="D255" s="299"/>
      <c r="E255" s="299"/>
    </row>
    <row r="256" spans="2:5" x14ac:dyDescent="0.35">
      <c r="B256" s="297">
        <v>45760</v>
      </c>
      <c r="C256" s="299">
        <v>5169.68</v>
      </c>
      <c r="D256" s="299"/>
      <c r="E256" s="299"/>
    </row>
    <row r="257" spans="2:5" x14ac:dyDescent="0.35">
      <c r="B257" s="297">
        <v>45762</v>
      </c>
      <c r="C257" s="299">
        <v>5132.0200000000004</v>
      </c>
      <c r="D257" s="299"/>
      <c r="E257" s="299"/>
    </row>
    <row r="258" spans="2:5" x14ac:dyDescent="0.35">
      <c r="B258" s="297">
        <v>45763</v>
      </c>
      <c r="C258" s="299">
        <v>5105.6899999999996</v>
      </c>
      <c r="D258" s="299"/>
      <c r="E258" s="299"/>
    </row>
    <row r="259" spans="2:5" x14ac:dyDescent="0.35">
      <c r="B259" s="297">
        <v>45764</v>
      </c>
      <c r="C259" s="299">
        <v>5097.33</v>
      </c>
      <c r="D259" s="299"/>
      <c r="E259" s="299"/>
    </row>
    <row r="260" spans="2:5" x14ac:dyDescent="0.35">
      <c r="B260" s="297">
        <v>45767</v>
      </c>
      <c r="C260" s="299">
        <v>5074.38</v>
      </c>
      <c r="D260" s="299"/>
      <c r="E260" s="299"/>
    </row>
    <row r="261" spans="2:5" x14ac:dyDescent="0.35">
      <c r="B261" s="297">
        <v>45768</v>
      </c>
      <c r="C261" s="299">
        <v>5044.8500000000004</v>
      </c>
      <c r="D261" s="299"/>
      <c r="E261" s="299"/>
    </row>
    <row r="262" spans="2:5" x14ac:dyDescent="0.35">
      <c r="B262" s="297">
        <v>45769</v>
      </c>
      <c r="C262" s="299">
        <v>5026.57</v>
      </c>
      <c r="D262" s="299"/>
      <c r="E262" s="299"/>
    </row>
    <row r="263" spans="2:5" x14ac:dyDescent="0.35">
      <c r="B263" s="297">
        <v>45770</v>
      </c>
      <c r="C263" s="299">
        <v>5022.47</v>
      </c>
      <c r="D263" s="299"/>
      <c r="E263" s="299"/>
    </row>
    <row r="264" spans="2:5" x14ac:dyDescent="0.35">
      <c r="B264" s="297">
        <v>45771</v>
      </c>
      <c r="C264" s="299">
        <v>4972.6000000000004</v>
      </c>
      <c r="D264" s="299"/>
      <c r="E264" s="299"/>
    </row>
    <row r="265" spans="2:5" x14ac:dyDescent="0.35">
      <c r="B265" s="297">
        <v>45774</v>
      </c>
      <c r="C265" s="299">
        <v>4995.47</v>
      </c>
      <c r="D265" s="299"/>
      <c r="E265" s="299"/>
    </row>
    <row r="266" spans="2:5" x14ac:dyDescent="0.35">
      <c r="B266" s="297">
        <v>45775</v>
      </c>
      <c r="C266" s="299">
        <v>4952.79</v>
      </c>
      <c r="D266" s="299"/>
      <c r="E266" s="299"/>
    </row>
    <row r="267" spans="2:5" x14ac:dyDescent="0.35">
      <c r="B267" s="297">
        <v>45776</v>
      </c>
      <c r="C267" s="299">
        <v>4935.62</v>
      </c>
      <c r="D267" s="299"/>
      <c r="E267" s="299"/>
    </row>
    <row r="268" spans="2:5" x14ac:dyDescent="0.35">
      <c r="B268" s="297">
        <v>45777</v>
      </c>
      <c r="C268" s="299">
        <v>4917.92</v>
      </c>
      <c r="D268" s="299"/>
      <c r="E268" s="299"/>
    </row>
    <row r="269" spans="2:5" x14ac:dyDescent="0.35">
      <c r="B269" s="297">
        <v>45781</v>
      </c>
      <c r="C269" s="299">
        <v>4956.25</v>
      </c>
      <c r="D269" s="299"/>
      <c r="E269" s="299"/>
    </row>
    <row r="270" spans="2:5" x14ac:dyDescent="0.35">
      <c r="B270" s="297">
        <v>45782</v>
      </c>
      <c r="C270" s="299">
        <v>4964.67</v>
      </c>
      <c r="D270" s="299"/>
      <c r="E270" s="299"/>
    </row>
    <row r="271" spans="2:5" x14ac:dyDescent="0.35">
      <c r="B271" s="297">
        <v>45783</v>
      </c>
      <c r="C271" s="299">
        <v>4951.7299999999996</v>
      </c>
      <c r="D271" s="299"/>
      <c r="E271" s="299"/>
    </row>
    <row r="272" spans="2:5" x14ac:dyDescent="0.35">
      <c r="B272" s="297">
        <v>45784</v>
      </c>
      <c r="C272" s="299">
        <v>4802.42</v>
      </c>
      <c r="D272" s="299"/>
      <c r="E272" s="299"/>
    </row>
    <row r="273" spans="2:5" x14ac:dyDescent="0.35">
      <c r="B273" s="297">
        <v>45785</v>
      </c>
      <c r="C273" s="299">
        <v>4902.28</v>
      </c>
      <c r="D273" s="299"/>
      <c r="E273" s="299"/>
    </row>
    <row r="274" spans="2:5" x14ac:dyDescent="0.35">
      <c r="B274" s="297">
        <v>45789</v>
      </c>
      <c r="C274" s="299">
        <v>4921.5600000000004</v>
      </c>
      <c r="D274" s="299"/>
      <c r="E274" s="299"/>
    </row>
    <row r="275" spans="2:5" x14ac:dyDescent="0.35">
      <c r="B275" s="297">
        <v>45790</v>
      </c>
      <c r="C275" s="299">
        <v>4874.58</v>
      </c>
      <c r="D275" s="299"/>
      <c r="E275" s="299"/>
    </row>
    <row r="276" spans="2:5" x14ac:dyDescent="0.35">
      <c r="B276" s="297">
        <v>45791</v>
      </c>
      <c r="C276" s="299">
        <v>4835.6000000000004</v>
      </c>
      <c r="D276" s="299"/>
      <c r="E276" s="299"/>
    </row>
    <row r="277" spans="2:5" x14ac:dyDescent="0.35">
      <c r="B277" s="297">
        <v>45792</v>
      </c>
      <c r="C277" s="299">
        <v>4781.0200000000004</v>
      </c>
      <c r="D277" s="299"/>
      <c r="E277" s="299"/>
    </row>
    <row r="278" spans="2:5" x14ac:dyDescent="0.35">
      <c r="B278" s="297">
        <v>45794</v>
      </c>
      <c r="C278" s="299">
        <v>4820.47</v>
      </c>
      <c r="D278" s="299"/>
      <c r="E278" s="299"/>
    </row>
    <row r="279" spans="2:5" x14ac:dyDescent="0.35">
      <c r="B279" s="297">
        <v>45795</v>
      </c>
      <c r="C279" s="299">
        <v>4791.09</v>
      </c>
      <c r="D279" s="299"/>
      <c r="E279" s="299"/>
    </row>
    <row r="280" spans="2:5" x14ac:dyDescent="0.35">
      <c r="B280" s="297">
        <v>45796</v>
      </c>
      <c r="C280" s="299">
        <v>4776.33</v>
      </c>
      <c r="D280" s="299"/>
      <c r="E280" s="299"/>
    </row>
    <row r="281" spans="2:5" x14ac:dyDescent="0.35">
      <c r="B281" s="297">
        <v>45797</v>
      </c>
      <c r="C281" s="299">
        <v>4795.05</v>
      </c>
      <c r="D281" s="299"/>
      <c r="E281" s="299"/>
    </row>
    <row r="282" spans="2:5" x14ac:dyDescent="0.35">
      <c r="B282" s="297">
        <v>45798</v>
      </c>
      <c r="C282" s="299">
        <v>4801.32</v>
      </c>
      <c r="D282" s="299"/>
      <c r="E282" s="299"/>
    </row>
    <row r="283" spans="2:5" x14ac:dyDescent="0.35">
      <c r="B283" s="297">
        <v>45799</v>
      </c>
      <c r="C283" s="299">
        <v>4785.12</v>
      </c>
      <c r="D283" s="299"/>
      <c r="E283" s="299"/>
    </row>
    <row r="284" spans="2:5" x14ac:dyDescent="0.35">
      <c r="B284" s="297">
        <v>45802</v>
      </c>
      <c r="C284" s="299">
        <v>4736.34</v>
      </c>
      <c r="D284" s="299"/>
      <c r="E284" s="299"/>
    </row>
    <row r="285" spans="2:5" x14ac:dyDescent="0.35">
      <c r="B285" s="297">
        <v>45803</v>
      </c>
      <c r="C285" s="299">
        <v>4719.3900000000003</v>
      </c>
      <c r="D285" s="299"/>
      <c r="E285" s="299"/>
    </row>
    <row r="286" spans="2:5" x14ac:dyDescent="0.35">
      <c r="B286" s="297">
        <v>45804</v>
      </c>
      <c r="C286" s="299">
        <v>4678.13</v>
      </c>
      <c r="D286" s="299"/>
      <c r="E286" s="299"/>
    </row>
    <row r="287" spans="2:5" x14ac:dyDescent="0.35">
      <c r="B287" s="297">
        <v>45805</v>
      </c>
      <c r="C287" s="299">
        <v>4615.41</v>
      </c>
      <c r="D287" s="299"/>
      <c r="E287" s="299"/>
    </row>
    <row r="288" spans="2:5" x14ac:dyDescent="0.35">
      <c r="B288" s="297">
        <v>45806</v>
      </c>
      <c r="C288" s="299">
        <v>4637.92</v>
      </c>
      <c r="D288" s="299"/>
      <c r="E288" s="299"/>
    </row>
    <row r="289" spans="2:5" x14ac:dyDescent="0.35">
      <c r="B289" s="297">
        <v>45809</v>
      </c>
      <c r="C289" s="299">
        <v>4668.41</v>
      </c>
      <c r="D289" s="299"/>
      <c r="E289" s="299"/>
    </row>
    <row r="290" spans="2:5" x14ac:dyDescent="0.35">
      <c r="B290" s="297">
        <v>45810</v>
      </c>
      <c r="C290" s="299">
        <v>4689.5200000000004</v>
      </c>
      <c r="D290" s="299"/>
      <c r="E290" s="299"/>
    </row>
    <row r="291" spans="2:5" x14ac:dyDescent="0.35">
      <c r="B291" s="297">
        <v>45811</v>
      </c>
      <c r="C291" s="299">
        <v>4664.79</v>
      </c>
      <c r="D291" s="299"/>
      <c r="E291" s="299"/>
    </row>
    <row r="292" spans="2:5" x14ac:dyDescent="0.35">
      <c r="B292" s="297">
        <v>45812</v>
      </c>
      <c r="C292" s="299">
        <v>4709.09</v>
      </c>
      <c r="D292" s="299"/>
      <c r="E292" s="299"/>
    </row>
    <row r="293" spans="2:5" x14ac:dyDescent="0.35">
      <c r="B293" s="297">
        <v>45823</v>
      </c>
      <c r="C293" s="299">
        <v>4724</v>
      </c>
      <c r="D293" s="299"/>
      <c r="E293" s="299"/>
    </row>
    <row r="294" spans="2:5" x14ac:dyDescent="0.35">
      <c r="B294" s="297">
        <v>45824</v>
      </c>
      <c r="C294" s="299">
        <v>4783.66</v>
      </c>
      <c r="D294" s="299"/>
      <c r="E294" s="299"/>
    </row>
    <row r="295" spans="2:5" x14ac:dyDescent="0.35">
      <c r="B295" s="297">
        <v>45825</v>
      </c>
      <c r="C295" s="299">
        <v>4739.6899999999996</v>
      </c>
      <c r="D295" s="299"/>
      <c r="E295" s="299"/>
    </row>
    <row r="296" spans="2:5" x14ac:dyDescent="0.35">
      <c r="B296" s="297">
        <v>45826</v>
      </c>
      <c r="C296" s="299">
        <v>4776.83</v>
      </c>
      <c r="D296" s="299"/>
      <c r="E296" s="299"/>
    </row>
    <row r="297" spans="2:5" x14ac:dyDescent="0.35">
      <c r="B297" s="297">
        <v>45827</v>
      </c>
      <c r="C297" s="299">
        <v>4754.41</v>
      </c>
      <c r="D297" s="299"/>
      <c r="E297" s="299"/>
    </row>
    <row r="298" spans="2:5" x14ac:dyDescent="0.35">
      <c r="B298" s="297">
        <v>45830</v>
      </c>
      <c r="C298" s="299">
        <v>4677.6000000000004</v>
      </c>
      <c r="D298" s="299"/>
      <c r="E298" s="299"/>
    </row>
    <row r="299" spans="2:5" x14ac:dyDescent="0.35">
      <c r="B299" s="297">
        <v>45831</v>
      </c>
      <c r="C299" s="299">
        <v>4695.03</v>
      </c>
      <c r="D299" s="299"/>
      <c r="E299" s="299"/>
    </row>
    <row r="300" spans="2:5" x14ac:dyDescent="0.35">
      <c r="B300" s="297">
        <v>45832</v>
      </c>
      <c r="C300" s="299">
        <v>4717.66</v>
      </c>
      <c r="D300" s="299"/>
      <c r="E300" s="299"/>
    </row>
    <row r="301" spans="2:5" x14ac:dyDescent="0.35">
      <c r="B301" s="297">
        <v>45833</v>
      </c>
      <c r="C301" s="299">
        <v>4767.6400000000003</v>
      </c>
      <c r="D301" s="299"/>
      <c r="E301" s="299"/>
    </row>
    <row r="302" spans="2:5" x14ac:dyDescent="0.35">
      <c r="B302" s="297">
        <v>45834</v>
      </c>
      <c r="C302" s="299">
        <v>4832.83</v>
      </c>
      <c r="D302" s="299"/>
      <c r="E302" s="299"/>
    </row>
    <row r="303" spans="2:5" x14ac:dyDescent="0.35">
      <c r="B303" s="297">
        <v>45837</v>
      </c>
      <c r="C303" s="299">
        <v>4839.78</v>
      </c>
      <c r="D303" s="282" t="s">
        <v>81</v>
      </c>
      <c r="E303" s="299"/>
    </row>
    <row r="304" spans="2:5" x14ac:dyDescent="0.35">
      <c r="B304" s="297">
        <v>45838</v>
      </c>
      <c r="C304" s="299">
        <v>4838.3900000000003</v>
      </c>
      <c r="D304" s="300">
        <f>AVERAGE(C251:C304)</f>
        <v>4878.9333333333325</v>
      </c>
      <c r="E304" s="300">
        <f>D304-D366</f>
        <v>-478.40424731182793</v>
      </c>
    </row>
    <row r="305" spans="2:5" x14ac:dyDescent="0.35">
      <c r="B305" s="297">
        <v>45840</v>
      </c>
      <c r="C305" s="299">
        <v>4865.33</v>
      </c>
      <c r="D305" s="299"/>
      <c r="E305" s="299"/>
    </row>
    <row r="306" spans="2:5" x14ac:dyDescent="0.35">
      <c r="B306" s="297">
        <v>45841</v>
      </c>
      <c r="C306" s="299">
        <v>4894.07</v>
      </c>
      <c r="D306" s="299"/>
      <c r="E306" s="299"/>
    </row>
    <row r="307" spans="2:5" x14ac:dyDescent="0.35">
      <c r="B307" s="297">
        <v>45845</v>
      </c>
      <c r="C307" s="299">
        <v>4976.16</v>
      </c>
      <c r="D307" s="299"/>
      <c r="E307" s="299"/>
    </row>
    <row r="308" spans="2:5" x14ac:dyDescent="0.35">
      <c r="B308" s="297">
        <v>45846</v>
      </c>
      <c r="C308" s="299">
        <v>4981.6400000000003</v>
      </c>
      <c r="D308" s="299"/>
      <c r="E308" s="299"/>
    </row>
    <row r="309" spans="2:5" x14ac:dyDescent="0.35">
      <c r="B309" s="297">
        <v>45847</v>
      </c>
      <c r="C309" s="299">
        <v>5035.47</v>
      </c>
      <c r="D309" s="299"/>
      <c r="E309" s="299"/>
    </row>
    <row r="310" spans="2:5" x14ac:dyDescent="0.35">
      <c r="B310" s="297">
        <v>45848</v>
      </c>
      <c r="C310" s="299">
        <v>5068.04</v>
      </c>
      <c r="D310" s="299"/>
      <c r="E310" s="299"/>
    </row>
    <row r="311" spans="2:5" x14ac:dyDescent="0.35">
      <c r="B311" s="297">
        <v>45851</v>
      </c>
      <c r="C311" s="299">
        <v>5066.4399999999996</v>
      </c>
      <c r="D311" s="299"/>
      <c r="E311" s="299"/>
    </row>
    <row r="312" spans="2:5" x14ac:dyDescent="0.35">
      <c r="B312" s="297">
        <v>45852</v>
      </c>
      <c r="C312" s="299">
        <v>5061.83</v>
      </c>
      <c r="D312" s="299"/>
      <c r="E312" s="299"/>
    </row>
    <row r="313" spans="2:5" x14ac:dyDescent="0.35">
      <c r="B313" s="297">
        <v>45853</v>
      </c>
      <c r="C313" s="299">
        <v>5062.2</v>
      </c>
      <c r="D313" s="299"/>
      <c r="E313" s="299"/>
    </row>
    <row r="314" spans="2:5" x14ac:dyDescent="0.35">
      <c r="B314" s="297">
        <v>45854</v>
      </c>
      <c r="C314" s="299">
        <v>5116.8999999999996</v>
      </c>
      <c r="D314" s="299"/>
      <c r="E314" s="299"/>
    </row>
    <row r="315" spans="2:5" x14ac:dyDescent="0.35">
      <c r="B315" s="297">
        <v>45855</v>
      </c>
      <c r="C315" s="299">
        <v>5132.4799999999996</v>
      </c>
      <c r="D315" s="299"/>
      <c r="E315" s="299"/>
    </row>
    <row r="316" spans="2:5" x14ac:dyDescent="0.35">
      <c r="B316" s="297">
        <v>45858</v>
      </c>
      <c r="C316" s="299">
        <v>5194.03</v>
      </c>
      <c r="D316" s="299"/>
      <c r="E316" s="299"/>
    </row>
    <row r="317" spans="2:5" x14ac:dyDescent="0.35">
      <c r="B317" s="297">
        <v>45859</v>
      </c>
      <c r="C317" s="299">
        <v>5219.62</v>
      </c>
      <c r="D317" s="299"/>
      <c r="E317" s="299"/>
    </row>
    <row r="318" spans="2:5" x14ac:dyDescent="0.35">
      <c r="B318" s="297">
        <v>45860</v>
      </c>
      <c r="C318" s="299">
        <v>5270.57</v>
      </c>
      <c r="D318" s="299"/>
      <c r="E318" s="299"/>
    </row>
    <row r="319" spans="2:5" x14ac:dyDescent="0.35">
      <c r="B319" s="297">
        <v>45861</v>
      </c>
      <c r="C319" s="299">
        <v>5363.95</v>
      </c>
      <c r="D319" s="299"/>
      <c r="E319" s="299"/>
    </row>
    <row r="320" spans="2:5" x14ac:dyDescent="0.35">
      <c r="B320" s="297">
        <v>45862</v>
      </c>
      <c r="C320" s="299">
        <v>5392.04</v>
      </c>
      <c r="D320" s="299"/>
      <c r="E320" s="299"/>
    </row>
    <row r="321" spans="2:5" x14ac:dyDescent="0.35">
      <c r="B321" s="297">
        <v>45865</v>
      </c>
      <c r="C321" s="299">
        <v>5354.83</v>
      </c>
      <c r="D321" s="299"/>
      <c r="E321" s="299"/>
    </row>
    <row r="322" spans="2:5" x14ac:dyDescent="0.35">
      <c r="B322" s="297">
        <v>45866</v>
      </c>
      <c r="C322" s="299">
        <v>5332.07</v>
      </c>
      <c r="D322" s="299"/>
      <c r="E322" s="299"/>
    </row>
    <row r="323" spans="2:5" x14ac:dyDescent="0.35">
      <c r="B323" s="297">
        <v>45867</v>
      </c>
      <c r="C323" s="299">
        <v>5298.47</v>
      </c>
      <c r="D323" s="299"/>
      <c r="E323" s="299"/>
    </row>
    <row r="324" spans="2:5" x14ac:dyDescent="0.35">
      <c r="B324" s="297">
        <v>45868</v>
      </c>
      <c r="C324" s="299">
        <v>5352.2</v>
      </c>
      <c r="D324" s="299"/>
      <c r="E324" s="299"/>
    </row>
    <row r="325" spans="2:5" x14ac:dyDescent="0.35">
      <c r="B325" s="297">
        <v>45869</v>
      </c>
      <c r="C325" s="299">
        <v>5443.42</v>
      </c>
      <c r="D325" s="299"/>
      <c r="E325" s="299"/>
    </row>
    <row r="326" spans="2:5" x14ac:dyDescent="0.35">
      <c r="B326" s="297">
        <v>45872</v>
      </c>
      <c r="C326" s="299">
        <v>5536.14</v>
      </c>
      <c r="D326" s="299"/>
      <c r="E326" s="299"/>
    </row>
    <row r="327" spans="2:5" x14ac:dyDescent="0.35">
      <c r="B327" s="297">
        <v>45873</v>
      </c>
      <c r="C327" s="299">
        <v>5485.91</v>
      </c>
      <c r="D327" s="299"/>
      <c r="E327" s="299"/>
    </row>
    <row r="328" spans="2:5" x14ac:dyDescent="0.35">
      <c r="B328" s="297">
        <v>45875</v>
      </c>
      <c r="C328" s="299">
        <v>5471.16</v>
      </c>
      <c r="D328" s="299"/>
      <c r="E328" s="299"/>
    </row>
    <row r="329" spans="2:5" x14ac:dyDescent="0.35">
      <c r="B329" s="297">
        <v>45876</v>
      </c>
      <c r="C329" s="299">
        <v>5408.07</v>
      </c>
      <c r="D329" s="299"/>
      <c r="E329" s="299"/>
    </row>
    <row r="330" spans="2:5" x14ac:dyDescent="0.35">
      <c r="B330" s="297">
        <v>45879</v>
      </c>
      <c r="C330" s="299">
        <v>5351.03</v>
      </c>
      <c r="D330" s="299"/>
      <c r="E330" s="299"/>
    </row>
    <row r="331" spans="2:5" x14ac:dyDescent="0.35">
      <c r="B331" s="297">
        <v>45880</v>
      </c>
      <c r="C331" s="299">
        <v>5344.05</v>
      </c>
      <c r="D331" s="299"/>
      <c r="E331" s="299"/>
    </row>
    <row r="332" spans="2:5" x14ac:dyDescent="0.35">
      <c r="B332" s="297">
        <v>45881</v>
      </c>
      <c r="C332" s="299">
        <v>5315.45</v>
      </c>
      <c r="D332" s="299"/>
      <c r="E332" s="299"/>
    </row>
    <row r="333" spans="2:5" x14ac:dyDescent="0.35">
      <c r="B333" s="297">
        <v>45882</v>
      </c>
      <c r="C333" s="299">
        <v>5314.33</v>
      </c>
      <c r="D333" s="299"/>
      <c r="E333" s="299"/>
    </row>
    <row r="334" spans="2:5" x14ac:dyDescent="0.35">
      <c r="B334" s="297">
        <v>45883</v>
      </c>
      <c r="C334" s="299">
        <v>5350.25</v>
      </c>
      <c r="D334" s="299"/>
      <c r="E334" s="299"/>
    </row>
    <row r="335" spans="2:5" x14ac:dyDescent="0.35">
      <c r="B335" s="297">
        <v>45886</v>
      </c>
      <c r="C335" s="299">
        <v>5401.49</v>
      </c>
      <c r="D335" s="299"/>
      <c r="E335" s="299"/>
    </row>
    <row r="336" spans="2:5" x14ac:dyDescent="0.35">
      <c r="B336" s="297">
        <v>45887</v>
      </c>
      <c r="C336" s="299">
        <v>5419.91</v>
      </c>
      <c r="D336" s="299"/>
      <c r="E336" s="299"/>
    </row>
    <row r="337" spans="2:5" x14ac:dyDescent="0.35">
      <c r="B337" s="297">
        <v>45888</v>
      </c>
      <c r="C337" s="299">
        <v>5410.9</v>
      </c>
      <c r="D337" s="299"/>
      <c r="E337" s="299"/>
    </row>
    <row r="338" spans="2:5" x14ac:dyDescent="0.35">
      <c r="B338" s="297">
        <v>45889</v>
      </c>
      <c r="C338" s="299">
        <v>5379.41</v>
      </c>
      <c r="D338" s="299"/>
      <c r="E338" s="299"/>
    </row>
    <row r="339" spans="2:5" x14ac:dyDescent="0.35">
      <c r="B339" s="297">
        <v>45890</v>
      </c>
      <c r="C339" s="299">
        <v>5374.96</v>
      </c>
      <c r="D339" s="299"/>
      <c r="E339" s="299"/>
    </row>
    <row r="340" spans="2:5" x14ac:dyDescent="0.35">
      <c r="B340" s="297">
        <v>45893</v>
      </c>
      <c r="C340" s="299">
        <v>5389.17</v>
      </c>
      <c r="D340" s="299"/>
      <c r="E340" s="299"/>
    </row>
    <row r="341" spans="2:5" x14ac:dyDescent="0.35">
      <c r="B341" s="297">
        <v>45894</v>
      </c>
      <c r="C341" s="299">
        <v>5455.4</v>
      </c>
      <c r="D341" s="299"/>
      <c r="E341" s="299"/>
    </row>
    <row r="342" spans="2:5" x14ac:dyDescent="0.35">
      <c r="B342" s="297">
        <v>45895</v>
      </c>
      <c r="C342" s="299">
        <v>5448.83</v>
      </c>
      <c r="D342" s="299"/>
      <c r="E342" s="299"/>
    </row>
    <row r="343" spans="2:5" x14ac:dyDescent="0.35">
      <c r="B343" s="297">
        <v>45897</v>
      </c>
      <c r="C343" s="299">
        <v>5517.95</v>
      </c>
      <c r="D343" s="299"/>
      <c r="E343" s="299"/>
    </row>
    <row r="344" spans="2:5" x14ac:dyDescent="0.35">
      <c r="B344" s="297">
        <v>45900</v>
      </c>
      <c r="C344" s="299">
        <v>5594.39</v>
      </c>
      <c r="D344" s="299"/>
      <c r="E344" s="299"/>
    </row>
    <row r="345" spans="2:5" x14ac:dyDescent="0.35">
      <c r="B345" s="297">
        <v>45901</v>
      </c>
      <c r="C345" s="299">
        <v>5583.79</v>
      </c>
      <c r="D345" s="299"/>
      <c r="E345" s="299"/>
    </row>
    <row r="346" spans="2:5" x14ac:dyDescent="0.35">
      <c r="B346" s="297">
        <v>45902</v>
      </c>
      <c r="C346" s="299">
        <v>5620.92</v>
      </c>
      <c r="D346" s="299"/>
      <c r="E346" s="299"/>
    </row>
    <row r="347" spans="2:5" x14ac:dyDescent="0.35">
      <c r="B347" s="297">
        <v>45903</v>
      </c>
      <c r="C347" s="299">
        <v>5631.62</v>
      </c>
      <c r="D347" s="299"/>
      <c r="E347" s="299"/>
    </row>
    <row r="348" spans="2:5" x14ac:dyDescent="0.35">
      <c r="B348" s="297">
        <v>45904</v>
      </c>
      <c r="C348" s="299">
        <v>5614.28</v>
      </c>
      <c r="D348" s="299"/>
      <c r="E348" s="299"/>
    </row>
    <row r="349" spans="2:5" x14ac:dyDescent="0.35">
      <c r="B349" s="297">
        <v>45907</v>
      </c>
      <c r="C349" s="299">
        <v>5636.15</v>
      </c>
      <c r="D349" s="299"/>
      <c r="E349" s="299"/>
    </row>
    <row r="350" spans="2:5" x14ac:dyDescent="0.35">
      <c r="B350" s="297">
        <v>45908</v>
      </c>
      <c r="C350" s="299">
        <v>5627.59</v>
      </c>
      <c r="D350" s="299"/>
      <c r="E350" s="299"/>
    </row>
    <row r="351" spans="2:5" x14ac:dyDescent="0.35">
      <c r="B351" s="297">
        <v>45909</v>
      </c>
      <c r="C351" s="299">
        <v>5538.25</v>
      </c>
      <c r="D351" s="299"/>
      <c r="E351" s="299"/>
    </row>
    <row r="352" spans="2:5" x14ac:dyDescent="0.35">
      <c r="B352" s="297">
        <v>45910</v>
      </c>
      <c r="C352" s="299">
        <v>5473.15</v>
      </c>
      <c r="D352" s="299"/>
      <c r="E352" s="299"/>
    </row>
    <row r="353" spans="2:5" x14ac:dyDescent="0.35">
      <c r="B353" s="297">
        <v>45911</v>
      </c>
      <c r="C353" s="299">
        <v>5523.78</v>
      </c>
      <c r="D353" s="299"/>
      <c r="E353" s="299"/>
    </row>
    <row r="354" spans="2:5" x14ac:dyDescent="0.35">
      <c r="B354" s="297">
        <v>45914</v>
      </c>
      <c r="C354" s="299">
        <v>5468.35</v>
      </c>
      <c r="D354" s="299"/>
      <c r="E354" s="299"/>
    </row>
    <row r="355" spans="2:5" x14ac:dyDescent="0.35">
      <c r="B355" s="297">
        <v>45915</v>
      </c>
      <c r="C355" s="299">
        <v>5474.72</v>
      </c>
      <c r="D355" s="299"/>
      <c r="E355" s="299"/>
    </row>
    <row r="356" spans="2:5" x14ac:dyDescent="0.35">
      <c r="B356" s="297">
        <v>45916</v>
      </c>
      <c r="C356" s="299">
        <v>5509.61</v>
      </c>
      <c r="D356" s="299"/>
      <c r="E356" s="299"/>
    </row>
    <row r="357" spans="2:5" x14ac:dyDescent="0.35">
      <c r="B357" s="297">
        <v>45917</v>
      </c>
      <c r="C357" s="299">
        <v>5492.34</v>
      </c>
      <c r="D357" s="299"/>
      <c r="E357" s="299"/>
    </row>
    <row r="358" spans="2:5" x14ac:dyDescent="0.35">
      <c r="B358" s="297">
        <v>45918</v>
      </c>
      <c r="C358" s="299">
        <v>5449.93</v>
      </c>
      <c r="D358" s="299"/>
      <c r="E358" s="299"/>
    </row>
    <row r="359" spans="2:5" x14ac:dyDescent="0.35">
      <c r="B359" s="297">
        <v>45921</v>
      </c>
      <c r="C359" s="299">
        <v>5381.85</v>
      </c>
      <c r="D359" s="299"/>
      <c r="E359" s="299"/>
    </row>
    <row r="360" spans="2:5" x14ac:dyDescent="0.35">
      <c r="B360" s="297">
        <v>45922</v>
      </c>
      <c r="C360" s="299">
        <v>5337.14</v>
      </c>
      <c r="D360" s="299"/>
      <c r="E360" s="299"/>
    </row>
    <row r="361" spans="2:5" x14ac:dyDescent="0.35">
      <c r="B361" s="297">
        <v>45923</v>
      </c>
      <c r="C361" s="299">
        <v>5347.47</v>
      </c>
      <c r="D361" s="299"/>
      <c r="E361" s="299"/>
    </row>
    <row r="362" spans="2:5" x14ac:dyDescent="0.35">
      <c r="B362" s="297">
        <v>45924</v>
      </c>
      <c r="C362" s="299">
        <v>5392.65</v>
      </c>
      <c r="D362" s="299"/>
      <c r="E362" s="299"/>
    </row>
    <row r="363" spans="2:5" x14ac:dyDescent="0.35">
      <c r="B363" s="297">
        <v>45925</v>
      </c>
      <c r="C363" s="299">
        <v>5415.13</v>
      </c>
      <c r="D363" s="299"/>
      <c r="E363" s="299"/>
    </row>
    <row r="364" spans="2:5" x14ac:dyDescent="0.35">
      <c r="B364" s="297">
        <v>45928</v>
      </c>
      <c r="C364" s="299">
        <v>5380.08</v>
      </c>
      <c r="D364" s="299"/>
      <c r="E364" s="299"/>
    </row>
    <row r="365" spans="2:5" x14ac:dyDescent="0.35">
      <c r="B365" s="297">
        <v>45929</v>
      </c>
      <c r="C365" s="299">
        <v>5389.78</v>
      </c>
      <c r="D365" s="282" t="s">
        <v>77</v>
      </c>
      <c r="E365" s="299"/>
    </row>
    <row r="366" spans="2:5" x14ac:dyDescent="0.35">
      <c r="B366" s="297">
        <v>45930</v>
      </c>
      <c r="C366" s="299">
        <v>5415.79</v>
      </c>
      <c r="D366" s="300">
        <f>AVERAGE(C305:C366)</f>
        <v>5357.3375806451604</v>
      </c>
      <c r="E366" s="300">
        <f>D366-D250</f>
        <v>167.23915959252918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DF8F-F356-4597-AF9E-1383506BE162}">
  <dimension ref="B1:V428"/>
  <sheetViews>
    <sheetView showGridLines="0" zoomScale="92" workbookViewId="0">
      <selection activeCell="O4" sqref="O4"/>
    </sheetView>
  </sheetViews>
  <sheetFormatPr defaultColWidth="9.08984375" defaultRowHeight="15.5" x14ac:dyDescent="0.35"/>
  <cols>
    <col min="1" max="1" width="2.1796875" style="23" customWidth="1"/>
    <col min="2" max="2" width="10.453125" style="37" customWidth="1"/>
    <col min="3" max="3" width="11.6328125" style="82" customWidth="1"/>
    <col min="4" max="11" width="13.453125" style="80" customWidth="1"/>
    <col min="12" max="12" width="23" style="37" customWidth="1"/>
    <col min="13" max="13" width="4.81640625" style="23" customWidth="1"/>
    <col min="14" max="16384" width="9.08984375" style="23"/>
  </cols>
  <sheetData>
    <row r="1" spans="2:22" ht="16" thickBot="1" x14ac:dyDescent="0.4">
      <c r="B1" s="23"/>
      <c r="C1" s="58"/>
      <c r="D1" s="59"/>
      <c r="E1" s="59"/>
      <c r="F1" s="59"/>
      <c r="G1" s="59"/>
      <c r="H1" s="59"/>
      <c r="I1" s="59"/>
      <c r="J1" s="59"/>
      <c r="K1" s="59"/>
      <c r="L1" s="23"/>
    </row>
    <row r="2" spans="2:22" ht="24.5" thickTop="1" thickBot="1" x14ac:dyDescent="0.6">
      <c r="B2" s="678" t="s">
        <v>36</v>
      </c>
      <c r="C2" s="678"/>
      <c r="D2" s="678"/>
      <c r="E2" s="678"/>
      <c r="F2" s="678"/>
      <c r="G2" s="678"/>
      <c r="H2" s="678"/>
      <c r="I2" s="678"/>
      <c r="J2" s="678"/>
      <c r="K2" s="678"/>
      <c r="L2" s="678"/>
    </row>
    <row r="3" spans="2:22" ht="16" thickTop="1" x14ac:dyDescent="0.35">
      <c r="B3" s="23"/>
      <c r="C3" s="24"/>
      <c r="D3" s="25"/>
      <c r="E3" s="26"/>
      <c r="F3" s="26"/>
      <c r="G3" s="26"/>
      <c r="H3" s="26"/>
      <c r="I3" s="26"/>
      <c r="J3" s="26"/>
      <c r="K3" s="26"/>
      <c r="L3" s="23"/>
    </row>
    <row r="4" spans="2:22" s="27" customFormat="1" x14ac:dyDescent="0.35">
      <c r="B4" s="28" t="s">
        <v>72</v>
      </c>
      <c r="C4" s="28" t="s">
        <v>17</v>
      </c>
      <c r="D4" s="29" t="s">
        <v>5</v>
      </c>
      <c r="E4" s="29" t="s">
        <v>0</v>
      </c>
      <c r="F4" s="29" t="s">
        <v>2</v>
      </c>
      <c r="G4" s="29" t="s">
        <v>31</v>
      </c>
      <c r="H4" s="29" t="s">
        <v>4</v>
      </c>
      <c r="I4" s="29" t="s">
        <v>3</v>
      </c>
      <c r="J4" s="29" t="s">
        <v>180</v>
      </c>
      <c r="K4" s="29" t="s">
        <v>1</v>
      </c>
      <c r="L4" s="29" t="s">
        <v>74</v>
      </c>
    </row>
    <row r="5" spans="2:22" ht="16" customHeight="1" x14ac:dyDescent="0.35">
      <c r="B5" s="675" t="s">
        <v>65</v>
      </c>
      <c r="C5" s="30">
        <v>45292</v>
      </c>
      <c r="D5" s="77"/>
      <c r="E5" s="77"/>
      <c r="F5" s="77"/>
      <c r="G5" s="77"/>
      <c r="H5" s="77"/>
      <c r="I5" s="77"/>
      <c r="J5" s="77"/>
      <c r="K5" s="77"/>
      <c r="L5" s="675">
        <v>60</v>
      </c>
      <c r="O5"/>
      <c r="P5"/>
      <c r="Q5"/>
      <c r="R5"/>
      <c r="S5"/>
      <c r="T5"/>
      <c r="U5"/>
      <c r="V5"/>
    </row>
    <row r="6" spans="2:22" x14ac:dyDescent="0.35">
      <c r="B6" s="675"/>
      <c r="C6" s="30">
        <v>45293</v>
      </c>
      <c r="D6" s="77">
        <f>Data!I4</f>
        <v>0</v>
      </c>
      <c r="E6" s="77">
        <f>Data!Q4</f>
        <v>0</v>
      </c>
      <c r="F6" s="77">
        <f>Data!Y4</f>
        <v>0</v>
      </c>
      <c r="G6" s="77">
        <f>Data!AG4</f>
        <v>-5.4982243392132576E-3</v>
      </c>
      <c r="H6" s="77">
        <f>Data!AO4</f>
        <v>0</v>
      </c>
      <c r="I6" s="77">
        <f>Data!AW4</f>
        <v>0</v>
      </c>
      <c r="J6" s="77">
        <f>Data!BE4</f>
        <v>0</v>
      </c>
      <c r="K6" s="77">
        <f>Data!BM4</f>
        <v>5.2770571008438193E-3</v>
      </c>
      <c r="L6" s="675"/>
    </row>
    <row r="7" spans="2:22" x14ac:dyDescent="0.35">
      <c r="B7" s="675"/>
      <c r="C7" s="30">
        <v>45294</v>
      </c>
      <c r="D7" s="77">
        <f>Data!I5</f>
        <v>0</v>
      </c>
      <c r="E7" s="77">
        <f>Data!Q5</f>
        <v>0</v>
      </c>
      <c r="F7" s="77">
        <f>Data!Y5</f>
        <v>0</v>
      </c>
      <c r="G7" s="77">
        <f>Data!AG5</f>
        <v>-1.0403120945648462E-4</v>
      </c>
      <c r="H7" s="77">
        <f>Data!AO5</f>
        <v>0</v>
      </c>
      <c r="I7" s="77">
        <f>Data!AW5</f>
        <v>0</v>
      </c>
      <c r="J7" s="77">
        <f>Data!BE5</f>
        <v>0</v>
      </c>
      <c r="K7" s="77">
        <f>Data!BM5</f>
        <v>1.5018238522838841E-2</v>
      </c>
      <c r="L7" s="675"/>
      <c r="N7" s="7"/>
      <c r="O7" s="36"/>
      <c r="P7" s="27"/>
    </row>
    <row r="8" spans="2:22" x14ac:dyDescent="0.35">
      <c r="B8" s="675"/>
      <c r="C8" s="30">
        <v>45295</v>
      </c>
      <c r="D8" s="77">
        <f>Data!I6</f>
        <v>0</v>
      </c>
      <c r="E8" s="77">
        <f>Data!Q6</f>
        <v>0</v>
      </c>
      <c r="F8" s="77">
        <f>Data!Y6</f>
        <v>0</v>
      </c>
      <c r="G8" s="77">
        <f>Data!AG6</f>
        <v>7.6692261068148941E-3</v>
      </c>
      <c r="H8" s="77">
        <f>Data!AO6</f>
        <v>0</v>
      </c>
      <c r="I8" s="77">
        <f>Data!AW6</f>
        <v>0</v>
      </c>
      <c r="J8" s="77">
        <f>Data!BE6</f>
        <v>0</v>
      </c>
      <c r="K8" s="77">
        <f>Data!BM6</f>
        <v>1.2878478058315712E-2</v>
      </c>
      <c r="L8" s="675"/>
      <c r="N8" s="7"/>
      <c r="O8" s="37"/>
    </row>
    <row r="9" spans="2:22" x14ac:dyDescent="0.35">
      <c r="B9" s="675"/>
      <c r="C9" s="30">
        <v>45299</v>
      </c>
      <c r="D9" s="77">
        <f>Data!I7</f>
        <v>0</v>
      </c>
      <c r="E9" s="77">
        <f>Data!Q7</f>
        <v>0</v>
      </c>
      <c r="F9" s="77">
        <f>Data!Y7</f>
        <v>0</v>
      </c>
      <c r="G9" s="77">
        <f>Data!AG7</f>
        <v>8.2559344214672289E-4</v>
      </c>
      <c r="H9" s="77">
        <f>Data!AO7</f>
        <v>0</v>
      </c>
      <c r="I9" s="77">
        <f>Data!AW7</f>
        <v>0</v>
      </c>
      <c r="J9" s="77">
        <f>Data!BE7</f>
        <v>0</v>
      </c>
      <c r="K9" s="77">
        <f>Data!BM7</f>
        <v>-5.131505808142132E-3</v>
      </c>
      <c r="L9" s="675"/>
      <c r="N9" s="7"/>
      <c r="O9" s="37"/>
    </row>
    <row r="10" spans="2:22" x14ac:dyDescent="0.35">
      <c r="B10" s="675"/>
      <c r="C10" s="30">
        <v>45300</v>
      </c>
      <c r="D10" s="77">
        <f>Data!I8</f>
        <v>0</v>
      </c>
      <c r="E10" s="77">
        <f>Data!Q8</f>
        <v>0</v>
      </c>
      <c r="F10" s="77">
        <f>Data!Y8</f>
        <v>0</v>
      </c>
      <c r="G10" s="77">
        <f>Data!AG8</f>
        <v>-6.623911613150066E-3</v>
      </c>
      <c r="H10" s="77">
        <f>Data!AO8</f>
        <v>0</v>
      </c>
      <c r="I10" s="77">
        <f>Data!AW8</f>
        <v>0</v>
      </c>
      <c r="J10" s="77">
        <f>Data!BE8</f>
        <v>0</v>
      </c>
      <c r="K10" s="77">
        <f>Data!BM8</f>
        <v>-1.9311238701705186E-3</v>
      </c>
      <c r="L10" s="675"/>
      <c r="N10" s="7"/>
      <c r="O10" s="37"/>
    </row>
    <row r="11" spans="2:22" x14ac:dyDescent="0.35">
      <c r="B11" s="675"/>
      <c r="C11" s="30">
        <v>45301</v>
      </c>
      <c r="D11" s="77">
        <f>Data!I9</f>
        <v>0</v>
      </c>
      <c r="E11" s="77">
        <f>Data!Q9</f>
        <v>0</v>
      </c>
      <c r="F11" s="77">
        <f>Data!Y9</f>
        <v>0</v>
      </c>
      <c r="G11" s="77">
        <f>Data!AG9</f>
        <v>1.2384059199721622E-2</v>
      </c>
      <c r="H11" s="77">
        <f>Data!AO9</f>
        <v>0</v>
      </c>
      <c r="I11" s="77">
        <f>Data!AW9</f>
        <v>0</v>
      </c>
      <c r="J11" s="77">
        <f>Data!BE9</f>
        <v>0</v>
      </c>
      <c r="K11" s="77">
        <f>Data!BM9</f>
        <v>1.2878301844289077E-3</v>
      </c>
      <c r="L11" s="675"/>
      <c r="N11" s="7"/>
      <c r="O11" s="37"/>
    </row>
    <row r="12" spans="2:22" x14ac:dyDescent="0.35">
      <c r="B12" s="675"/>
      <c r="C12" s="30">
        <v>45302</v>
      </c>
      <c r="D12" s="77">
        <f>Data!I10</f>
        <v>0</v>
      </c>
      <c r="E12" s="77">
        <f>Data!Q10</f>
        <v>0</v>
      </c>
      <c r="F12" s="77">
        <f>Data!Y10</f>
        <v>0</v>
      </c>
      <c r="G12" s="77">
        <f>Data!AG10</f>
        <v>-6.0696652573427818E-3</v>
      </c>
      <c r="H12" s="77">
        <f>Data!AO10</f>
        <v>0</v>
      </c>
      <c r="I12" s="77">
        <f>Data!AW10</f>
        <v>0</v>
      </c>
      <c r="J12" s="77">
        <f>Data!BE10</f>
        <v>0</v>
      </c>
      <c r="K12" s="77">
        <f>Data!BM10</f>
        <v>-3.8684767779203176E-3</v>
      </c>
      <c r="L12" s="675"/>
      <c r="N12" s="7"/>
      <c r="O12" s="37"/>
    </row>
    <row r="13" spans="2:22" x14ac:dyDescent="0.35">
      <c r="B13" s="675"/>
      <c r="C13" s="30">
        <v>45305</v>
      </c>
      <c r="D13" s="77">
        <f>Data!I11</f>
        <v>0</v>
      </c>
      <c r="E13" s="77">
        <f>Data!Q11</f>
        <v>0</v>
      </c>
      <c r="F13" s="77">
        <f>Data!Y11</f>
        <v>0</v>
      </c>
      <c r="G13" s="77">
        <f>Data!AG11</f>
        <v>9.9595258280121904E-3</v>
      </c>
      <c r="H13" s="77">
        <f>Data!AO11</f>
        <v>0</v>
      </c>
      <c r="I13" s="77">
        <f>Data!AW11</f>
        <v>0</v>
      </c>
      <c r="J13" s="77">
        <f>Data!BE11</f>
        <v>0</v>
      </c>
      <c r="K13" s="77">
        <f>Data!BM11</f>
        <v>2.5806465934914914E-3</v>
      </c>
      <c r="L13" s="675"/>
      <c r="N13" s="7"/>
      <c r="O13" s="37"/>
    </row>
    <row r="14" spans="2:22" x14ac:dyDescent="0.35">
      <c r="B14" s="675"/>
      <c r="C14" s="30">
        <v>45306</v>
      </c>
      <c r="D14" s="77">
        <f>Data!I12</f>
        <v>0</v>
      </c>
      <c r="E14" s="77">
        <f>Data!Q12</f>
        <v>0</v>
      </c>
      <c r="F14" s="77">
        <f>Data!Y12</f>
        <v>0</v>
      </c>
      <c r="G14" s="77">
        <f>Data!AG12</f>
        <v>4.790306260597183E-3</v>
      </c>
      <c r="H14" s="77">
        <f>Data!AO12</f>
        <v>0</v>
      </c>
      <c r="I14" s="77">
        <f>Data!AW12</f>
        <v>0</v>
      </c>
      <c r="J14" s="77">
        <f>Data!BE12</f>
        <v>0</v>
      </c>
      <c r="K14" s="77">
        <f>Data!BM12</f>
        <v>1.0256500167189282E-2</v>
      </c>
      <c r="L14" s="675"/>
      <c r="N14" s="7"/>
      <c r="O14" s="37"/>
    </row>
    <row r="15" spans="2:22" x14ac:dyDescent="0.35">
      <c r="B15" s="675"/>
      <c r="C15" s="30">
        <v>45307</v>
      </c>
      <c r="D15" s="77">
        <f>Data!I13</f>
        <v>0</v>
      </c>
      <c r="E15" s="77">
        <f>Data!Q13</f>
        <v>0</v>
      </c>
      <c r="F15" s="77">
        <f>Data!Y13</f>
        <v>0</v>
      </c>
      <c r="G15" s="77">
        <f>Data!AG13</f>
        <v>-5.0851768194715955E-4</v>
      </c>
      <c r="H15" s="77">
        <f>Data!AO13</f>
        <v>0</v>
      </c>
      <c r="I15" s="77">
        <f>Data!AW13</f>
        <v>0</v>
      </c>
      <c r="J15" s="77">
        <f>Data!BE13</f>
        <v>0</v>
      </c>
      <c r="K15" s="77">
        <f>Data!BM13</f>
        <v>-3.1938704888765999E-3</v>
      </c>
      <c r="L15" s="675"/>
    </row>
    <row r="16" spans="2:22" x14ac:dyDescent="0.35">
      <c r="B16" s="675"/>
      <c r="C16" s="30">
        <v>45308</v>
      </c>
      <c r="D16" s="77">
        <f>Data!I14</f>
        <v>0</v>
      </c>
      <c r="E16" s="77">
        <f>Data!Q14</f>
        <v>0</v>
      </c>
      <c r="F16" s="77">
        <f>Data!Y14</f>
        <v>0</v>
      </c>
      <c r="G16" s="77">
        <f>Data!AG14</f>
        <v>1.1932591782082915E-2</v>
      </c>
      <c r="H16" s="77">
        <f>Data!AO14</f>
        <v>0</v>
      </c>
      <c r="I16" s="77">
        <f>Data!AW14</f>
        <v>0</v>
      </c>
      <c r="J16" s="77">
        <f>Data!BE14</f>
        <v>0</v>
      </c>
      <c r="K16" s="77">
        <f>Data!BM14</f>
        <v>-7.0626296783127462E-3</v>
      </c>
      <c r="L16" s="675"/>
    </row>
    <row r="17" spans="2:12" x14ac:dyDescent="0.35">
      <c r="B17" s="675"/>
      <c r="C17" s="30">
        <v>45309</v>
      </c>
      <c r="D17" s="77">
        <f>Data!I15</f>
        <v>0</v>
      </c>
      <c r="E17" s="77">
        <f>Data!Q15</f>
        <v>0</v>
      </c>
      <c r="F17" s="77">
        <f>Data!Y15</f>
        <v>0</v>
      </c>
      <c r="G17" s="77">
        <f>Data!AG15</f>
        <v>-7.2639544582250573E-3</v>
      </c>
      <c r="H17" s="77">
        <f>Data!AO15</f>
        <v>0</v>
      </c>
      <c r="I17" s="77">
        <f>Data!AW15</f>
        <v>0</v>
      </c>
      <c r="J17" s="77">
        <f>Data!BE15</f>
        <v>0</v>
      </c>
      <c r="K17" s="77">
        <f>Data!BM15</f>
        <v>-6.4641466198892376E-3</v>
      </c>
      <c r="L17" s="675"/>
    </row>
    <row r="18" spans="2:12" x14ac:dyDescent="0.35">
      <c r="B18" s="675"/>
      <c r="C18" s="30">
        <v>45312</v>
      </c>
      <c r="D18" s="77">
        <f>Data!I16</f>
        <v>-9.2893746892696208E-2</v>
      </c>
      <c r="E18" s="77">
        <f>Data!Q16</f>
        <v>0</v>
      </c>
      <c r="F18" s="77">
        <f>Data!Y16</f>
        <v>0</v>
      </c>
      <c r="G18" s="77">
        <f>Data!AG16</f>
        <v>3.4367768589634467E-3</v>
      </c>
      <c r="H18" s="77">
        <f>Data!AO16</f>
        <v>0</v>
      </c>
      <c r="I18" s="77">
        <f>Data!AW16</f>
        <v>-6.4455803678095475E-2</v>
      </c>
      <c r="J18" s="77">
        <f>Data!BE16</f>
        <v>-0.10303222589823506</v>
      </c>
      <c r="K18" s="77">
        <f>Data!BM16</f>
        <v>2.5906750240924626E-3</v>
      </c>
      <c r="L18" s="675"/>
    </row>
    <row r="19" spans="2:12" x14ac:dyDescent="0.35">
      <c r="B19" s="675"/>
      <c r="C19" s="30">
        <v>45313</v>
      </c>
      <c r="D19" s="77">
        <f>Data!I17</f>
        <v>2.6202372394023902E-2</v>
      </c>
      <c r="E19" s="77">
        <f>Data!Q17</f>
        <v>0</v>
      </c>
      <c r="F19" s="77">
        <f>Data!Y17</f>
        <v>0</v>
      </c>
      <c r="G19" s="77">
        <f>Data!AG17</f>
        <v>8.2404244813800674E-3</v>
      </c>
      <c r="H19" s="77">
        <f>Data!AO17</f>
        <v>0</v>
      </c>
      <c r="I19" s="77">
        <f>Data!AW17</f>
        <v>-7.7881753979522558E-2</v>
      </c>
      <c r="J19" s="77">
        <f>Data!BE17</f>
        <v>-5.5791359628415541E-2</v>
      </c>
      <c r="K19" s="77">
        <f>Data!BM17</f>
        <v>5.1681317415118375E-2</v>
      </c>
      <c r="L19" s="675"/>
    </row>
    <row r="20" spans="2:12" x14ac:dyDescent="0.35">
      <c r="B20" s="675"/>
      <c r="C20" s="30">
        <v>45314</v>
      </c>
      <c r="D20" s="77">
        <f>Data!I18</f>
        <v>6.6691374498672351E-2</v>
      </c>
      <c r="E20" s="77">
        <f>Data!Q18</f>
        <v>-5.7537992512184957E-2</v>
      </c>
      <c r="F20" s="77">
        <f>Data!Y18</f>
        <v>0</v>
      </c>
      <c r="G20" s="77">
        <f>Data!AG18</f>
        <v>1.0354532975580798E-2</v>
      </c>
      <c r="H20" s="77">
        <f>Data!AO18</f>
        <v>0</v>
      </c>
      <c r="I20" s="77">
        <f>Data!AW18</f>
        <v>-7.789908413028504E-2</v>
      </c>
      <c r="J20" s="77">
        <f>Data!BE18</f>
        <v>0</v>
      </c>
      <c r="K20" s="77">
        <f>Data!BM18</f>
        <v>-9.612377761666133E-3</v>
      </c>
      <c r="L20" s="675"/>
    </row>
    <row r="21" spans="2:12" x14ac:dyDescent="0.35">
      <c r="B21" s="675"/>
      <c r="C21" s="30">
        <v>45315</v>
      </c>
      <c r="D21" s="77">
        <f>Data!I19</f>
        <v>-1.6260520871780405E-2</v>
      </c>
      <c r="E21" s="77">
        <f>Data!Q19</f>
        <v>-3.4765957843213555E-2</v>
      </c>
      <c r="F21" s="77">
        <f>Data!Y19</f>
        <v>0</v>
      </c>
      <c r="G21" s="77">
        <f>Data!AG19</f>
        <v>-1.9811788078669891E-4</v>
      </c>
      <c r="H21" s="77">
        <f>Data!AO19</f>
        <v>0</v>
      </c>
      <c r="I21" s="77">
        <f>Data!AW19</f>
        <v>-7.2772821842443283E-2</v>
      </c>
      <c r="J21" s="77">
        <f>Data!BE19</f>
        <v>-4.184710993550049E-2</v>
      </c>
      <c r="K21" s="77">
        <f>Data!BM19</f>
        <v>-1.9336132353947985E-3</v>
      </c>
      <c r="L21" s="675"/>
    </row>
    <row r="22" spans="2:12" x14ac:dyDescent="0.35">
      <c r="B22" s="675"/>
      <c r="C22" s="30">
        <v>45316</v>
      </c>
      <c r="D22" s="77">
        <f>Data!I20</f>
        <v>-2.4897551621727087E-2</v>
      </c>
      <c r="E22" s="77">
        <f>Data!Q20</f>
        <v>-4.3380295630225052E-2</v>
      </c>
      <c r="F22" s="77">
        <f>Data!Y20</f>
        <v>0</v>
      </c>
      <c r="G22" s="77">
        <f>Data!AG20</f>
        <v>-1.6855886198051736E-3</v>
      </c>
      <c r="H22" s="77">
        <f>Data!AO20</f>
        <v>0</v>
      </c>
      <c r="I22" s="77">
        <f>Data!AW20</f>
        <v>-2.1597994400752711E-2</v>
      </c>
      <c r="J22" s="77">
        <f>Data!BE20</f>
        <v>0</v>
      </c>
      <c r="K22" s="77">
        <f>Data!BM20</f>
        <v>-1.9373593402263105E-3</v>
      </c>
      <c r="L22" s="675"/>
    </row>
    <row r="23" spans="2:12" x14ac:dyDescent="0.35">
      <c r="B23" s="675"/>
      <c r="C23" s="30">
        <v>45319</v>
      </c>
      <c r="D23" s="77">
        <f>Data!I21</f>
        <v>0</v>
      </c>
      <c r="E23" s="77">
        <f>Data!Q21</f>
        <v>-5.5710607014005833E-2</v>
      </c>
      <c r="F23" s="77">
        <f>Data!Y21</f>
        <v>0</v>
      </c>
      <c r="G23" s="77">
        <f>Data!AG21</f>
        <v>-7.2705862828928609E-3</v>
      </c>
      <c r="H23" s="77">
        <f>Data!AO21</f>
        <v>0</v>
      </c>
      <c r="I23" s="77">
        <f>Data!AW21</f>
        <v>-6.9843017043828004E-2</v>
      </c>
      <c r="J23" s="77">
        <f>Data!BE21</f>
        <v>-7.388884209915822E-2</v>
      </c>
      <c r="K23" s="77">
        <f>Data!BM21</f>
        <v>2.5823126034726918E-3</v>
      </c>
      <c r="L23" s="675"/>
    </row>
    <row r="24" spans="2:12" x14ac:dyDescent="0.35">
      <c r="B24" s="675"/>
      <c r="C24" s="30">
        <v>45320</v>
      </c>
      <c r="D24" s="77">
        <f>Data!I22</f>
        <v>1.6667052485211643E-2</v>
      </c>
      <c r="E24" s="77">
        <f>Data!Q22</f>
        <v>-1.0471299867295366E-2</v>
      </c>
      <c r="F24" s="77">
        <f>Data!Y22</f>
        <v>0</v>
      </c>
      <c r="G24" s="77">
        <f>Data!AG22</f>
        <v>0</v>
      </c>
      <c r="H24" s="77">
        <f>Data!AO22</f>
        <v>0</v>
      </c>
      <c r="I24" s="77">
        <f>Data!AW22</f>
        <v>-1.5683825549660482E-2</v>
      </c>
      <c r="J24" s="77">
        <f>Data!BE22</f>
        <v>1.2195273093818206E-2</v>
      </c>
      <c r="K24" s="77">
        <f>Data!BM22</f>
        <v>-8.4170131109494277E-3</v>
      </c>
      <c r="L24" s="675"/>
    </row>
    <row r="25" spans="2:12" x14ac:dyDescent="0.35">
      <c r="B25" s="675"/>
      <c r="C25" s="30">
        <v>45321</v>
      </c>
      <c r="D25" s="77">
        <f>Data!I23</f>
        <v>-8.2988028146950658E-3</v>
      </c>
      <c r="E25" s="77">
        <f>Data!Q23</f>
        <v>2.3408090898014804E-2</v>
      </c>
      <c r="F25" s="77">
        <f>Data!Y23</f>
        <v>0</v>
      </c>
      <c r="G25" s="77">
        <f>Data!AG23</f>
        <v>-8.43209171859121E-3</v>
      </c>
      <c r="H25" s="77">
        <f>Data!AO23</f>
        <v>0</v>
      </c>
      <c r="I25" s="77">
        <f>Data!AW23</f>
        <v>7.2234549760063202E-2</v>
      </c>
      <c r="J25" s="77">
        <f>Data!BE23</f>
        <v>3.278982282299097E-2</v>
      </c>
      <c r="K25" s="77">
        <f>Data!BM23</f>
        <v>1.2995453420854258E-3</v>
      </c>
      <c r="L25" s="675"/>
    </row>
    <row r="26" spans="2:12" x14ac:dyDescent="0.35">
      <c r="B26" s="675"/>
      <c r="C26" s="30">
        <v>45322</v>
      </c>
      <c r="D26" s="77">
        <f>Data!I24</f>
        <v>-8.3682496705165792E-3</v>
      </c>
      <c r="E26" s="77">
        <f>Data!Q24</f>
        <v>-5.1546505886644264E-3</v>
      </c>
      <c r="F26" s="77">
        <f>Data!Y24</f>
        <v>0</v>
      </c>
      <c r="G26" s="77">
        <f>Data!AG24</f>
        <v>-5.8639334948469568E-3</v>
      </c>
      <c r="H26" s="77">
        <f>Data!AO24</f>
        <v>0</v>
      </c>
      <c r="I26" s="77">
        <f>Data!AW24</f>
        <v>-2.6532252232252772E-3</v>
      </c>
      <c r="J26" s="77">
        <f>Data!BE24</f>
        <v>-1.7751945458450453E-2</v>
      </c>
      <c r="K26" s="77">
        <f>Data!BM24</f>
        <v>-8.4773901890424393E-3</v>
      </c>
      <c r="L26" s="675"/>
    </row>
    <row r="27" spans="2:12" x14ac:dyDescent="0.35">
      <c r="B27" s="675"/>
      <c r="C27" s="30">
        <v>45323</v>
      </c>
      <c r="D27" s="77">
        <f>Data!I25</f>
        <v>8.3682496705165792E-3</v>
      </c>
      <c r="E27" s="77">
        <f>Data!Q25</f>
        <v>6.7441280795532479E-2</v>
      </c>
      <c r="F27" s="77">
        <f>Data!Y25</f>
        <v>0</v>
      </c>
      <c r="G27" s="77">
        <f>Data!AG25</f>
        <v>5.763121961922156E-3</v>
      </c>
      <c r="H27" s="77">
        <f>Data!AO25</f>
        <v>0</v>
      </c>
      <c r="I27" s="77">
        <f>Data!AW25</f>
        <v>5.9598878486071981E-3</v>
      </c>
      <c r="J27" s="77">
        <f>Data!BE25</f>
        <v>4.094139037736072E-2</v>
      </c>
      <c r="K27" s="77">
        <f>Data!BM25</f>
        <v>-4.5946913783103055E-3</v>
      </c>
      <c r="L27" s="675"/>
    </row>
    <row r="28" spans="2:12" x14ac:dyDescent="0.35">
      <c r="B28" s="675"/>
      <c r="C28" s="30">
        <v>45326</v>
      </c>
      <c r="D28" s="77">
        <f>Data!I26</f>
        <v>8.2988028146950641E-3</v>
      </c>
      <c r="E28" s="77">
        <f>Data!Q26</f>
        <v>2.1506205220963463E-2</v>
      </c>
      <c r="F28" s="77">
        <f>Data!Y26</f>
        <v>0</v>
      </c>
      <c r="G28" s="77">
        <f>Data!AG26</f>
        <v>7.6328581885066653E-3</v>
      </c>
      <c r="H28" s="77">
        <f>Data!AO26</f>
        <v>0</v>
      </c>
      <c r="I28" s="77">
        <f>Data!AW26</f>
        <v>5.6600722082267317E-2</v>
      </c>
      <c r="J28" s="77">
        <f>Data!BE26</f>
        <v>5.3011015966503663E-2</v>
      </c>
      <c r="K28" s="77">
        <f>Data!BM26</f>
        <v>5.249355886143745E-3</v>
      </c>
      <c r="L28" s="675"/>
    </row>
    <row r="29" spans="2:12" x14ac:dyDescent="0.35">
      <c r="B29" s="675"/>
      <c r="C29" s="30">
        <v>45327</v>
      </c>
      <c r="D29" s="77">
        <f>Data!I27</f>
        <v>2.4491020008295911E-2</v>
      </c>
      <c r="E29" s="77">
        <f>Data!Q27</f>
        <v>2.7973852042406162E-2</v>
      </c>
      <c r="F29" s="77">
        <f>Data!Y27</f>
        <v>0</v>
      </c>
      <c r="G29" s="77">
        <f>Data!AG27</f>
        <v>2.1986816772637525E-3</v>
      </c>
      <c r="H29" s="77">
        <f>Data!AO27</f>
        <v>0</v>
      </c>
      <c r="I29" s="77">
        <f>Data!AW27</f>
        <v>5.2858078956754838E-2</v>
      </c>
      <c r="J29" s="77">
        <f>Data!BE27</f>
        <v>-2.7210901143605018E-3</v>
      </c>
      <c r="K29" s="77">
        <f>Data!BM27</f>
        <v>3.9190122007356021E-3</v>
      </c>
      <c r="L29" s="675"/>
    </row>
    <row r="30" spans="2:12" x14ac:dyDescent="0.35">
      <c r="B30" s="675"/>
      <c r="C30" s="30">
        <v>45328</v>
      </c>
      <c r="D30" s="77">
        <f>Data!I28</f>
        <v>-1.6260520871780405E-2</v>
      </c>
      <c r="E30" s="77">
        <f>Data!Q28</f>
        <v>-1.8562017860059427E-2</v>
      </c>
      <c r="F30" s="77">
        <f>Data!Y28</f>
        <v>0</v>
      </c>
      <c r="G30" s="77">
        <f>Data!AG28</f>
        <v>-1.8985766382486142E-3</v>
      </c>
      <c r="H30" s="77">
        <f>Data!AO28</f>
        <v>0</v>
      </c>
      <c r="I30" s="77">
        <f>Data!AW28</f>
        <v>-1.6583751727761162E-3</v>
      </c>
      <c r="J30" s="77">
        <f>Data!BE28</f>
        <v>1.6216571589245072E-2</v>
      </c>
      <c r="K30" s="77">
        <f>Data!BM28</f>
        <v>-6.5402456806098784E-3</v>
      </c>
      <c r="L30" s="675"/>
    </row>
    <row r="31" spans="2:12" x14ac:dyDescent="0.35">
      <c r="B31" s="675"/>
      <c r="C31" s="30">
        <v>45329</v>
      </c>
      <c r="D31" s="77">
        <f>Data!I29</f>
        <v>0</v>
      </c>
      <c r="E31" s="77">
        <f>Data!Q29</f>
        <v>-2.3446669592541345E-3</v>
      </c>
      <c r="F31" s="77">
        <f>Data!Y29</f>
        <v>0</v>
      </c>
      <c r="G31" s="77">
        <f>Data!AG29</f>
        <v>-1.0052356461684319E-2</v>
      </c>
      <c r="H31" s="77">
        <f>Data!AO29</f>
        <v>-6.4522099562906068E-2</v>
      </c>
      <c r="I31" s="77">
        <f>Data!AW29</f>
        <v>-2.5211419346496056E-2</v>
      </c>
      <c r="J31" s="77">
        <f>Data!BE29</f>
        <v>9.4578740054538007E-2</v>
      </c>
      <c r="K31" s="77">
        <f>Data!BM29</f>
        <v>-2.6281224062695806E-3</v>
      </c>
      <c r="L31" s="675"/>
    </row>
    <row r="32" spans="2:12" x14ac:dyDescent="0.35">
      <c r="B32" s="675"/>
      <c r="C32" s="30">
        <v>45330</v>
      </c>
      <c r="D32" s="77">
        <f>Data!I30</f>
        <v>2.4292692569044701E-2</v>
      </c>
      <c r="E32" s="77">
        <f>Data!Q30</f>
        <v>-7.0671672230925549E-3</v>
      </c>
      <c r="F32" s="77">
        <f>Data!Y30</f>
        <v>0</v>
      </c>
      <c r="G32" s="77">
        <f>Data!AG30</f>
        <v>3.227761527386859E-3</v>
      </c>
      <c r="H32" s="77">
        <f>Data!AO30</f>
        <v>-6.4480135500421226E-2</v>
      </c>
      <c r="I32" s="77">
        <f>Data!AW30</f>
        <v>2.3073663767768952E-3</v>
      </c>
      <c r="J32" s="77">
        <f>Data!BE30</f>
        <v>-2.7195742808490055E-2</v>
      </c>
      <c r="K32" s="77">
        <f>Data!BM30</f>
        <v>-1.3912115737724384E-2</v>
      </c>
      <c r="L32" s="675"/>
    </row>
    <row r="33" spans="2:12" x14ac:dyDescent="0.35">
      <c r="B33" s="675"/>
      <c r="C33" s="30">
        <v>45333</v>
      </c>
      <c r="D33" s="77">
        <f>Data!I31</f>
        <v>6.2035390919452697E-2</v>
      </c>
      <c r="E33" s="77">
        <f>Data!Q31</f>
        <v>3.48467313301681E-2</v>
      </c>
      <c r="F33" s="77">
        <f>Data!Y31</f>
        <v>0</v>
      </c>
      <c r="G33" s="77">
        <f>Data!AG31</f>
        <v>1.5984356308436379E-2</v>
      </c>
      <c r="H33" s="77">
        <f>Data!AO31</f>
        <v>-5.5604548493928714E-2</v>
      </c>
      <c r="I33" s="77">
        <f>Data!AW31</f>
        <v>-1.6141216179385135E-2</v>
      </c>
      <c r="J33" s="77">
        <f>Data!BE31</f>
        <v>-3.5718082602079232E-2</v>
      </c>
      <c r="K33" s="77">
        <f>Data!BM31</f>
        <v>4.6589102572410493E-3</v>
      </c>
      <c r="L33" s="675"/>
    </row>
    <row r="34" spans="2:12" x14ac:dyDescent="0.35">
      <c r="B34" s="675"/>
      <c r="C34" s="30">
        <v>45334</v>
      </c>
      <c r="D34" s="77">
        <f>Data!I32</f>
        <v>-7.5472056353829663E-3</v>
      </c>
      <c r="E34" s="77">
        <f>Data!Q32</f>
        <v>-1.1481182373956254E-2</v>
      </c>
      <c r="F34" s="77">
        <f>Data!Y32</f>
        <v>0</v>
      </c>
      <c r="G34" s="77">
        <f>Data!AG32</f>
        <v>-9.7600615422409956E-3</v>
      </c>
      <c r="H34" s="77">
        <f>Data!AO32</f>
        <v>-1.5425493701061554E-2</v>
      </c>
      <c r="I34" s="77">
        <f>Data!AW32</f>
        <v>-2.1557124105851106E-2</v>
      </c>
      <c r="J34" s="77">
        <f>Data!BE32</f>
        <v>3.5718082602079246E-2</v>
      </c>
      <c r="K34" s="77">
        <f>Data!BM32</f>
        <v>-1.3289038500536407E-3</v>
      </c>
      <c r="L34" s="675"/>
    </row>
    <row r="35" spans="2:12" x14ac:dyDescent="0.35">
      <c r="B35" s="675"/>
      <c r="C35" s="30">
        <v>45335</v>
      </c>
      <c r="D35" s="77">
        <f>Data!I33</f>
        <v>-1.5267472130788421E-2</v>
      </c>
      <c r="E35" s="77">
        <f>Data!Q33</f>
        <v>-1.6298381733119306E-2</v>
      </c>
      <c r="F35" s="77">
        <f>Data!Y33</f>
        <v>0</v>
      </c>
      <c r="G35" s="77">
        <f>Data!AG33</f>
        <v>1.045357719890736E-2</v>
      </c>
      <c r="H35" s="77">
        <f>Data!AO33</f>
        <v>-2.0159726451161798E-2</v>
      </c>
      <c r="I35" s="77">
        <f>Data!AW33</f>
        <v>-1.2165908512446937E-2</v>
      </c>
      <c r="J35" s="77">
        <f>Data!BE33</f>
        <v>-2.5382073271417161E-2</v>
      </c>
      <c r="K35" s="77">
        <f>Data!BM33</f>
        <v>6.6467267319095984E-4</v>
      </c>
      <c r="L35" s="675"/>
    </row>
    <row r="36" spans="2:12" x14ac:dyDescent="0.35">
      <c r="B36" s="675"/>
      <c r="C36" s="30">
        <v>45336</v>
      </c>
      <c r="D36" s="77">
        <f>Data!I34</f>
        <v>-7.7220460939102778E-3</v>
      </c>
      <c r="E36" s="77">
        <f>Data!Q34</f>
        <v>-1.6568426347232705E-2</v>
      </c>
      <c r="F36" s="77">
        <f>Data!Y34</f>
        <v>0</v>
      </c>
      <c r="G36" s="77">
        <f>Data!AG34</f>
        <v>0</v>
      </c>
      <c r="H36" s="77">
        <f>Data!AO34</f>
        <v>3.0138853270513521E-2</v>
      </c>
      <c r="I36" s="77">
        <f>Data!AW34</f>
        <v>-4.3444995499914395E-3</v>
      </c>
      <c r="J36" s="77">
        <f>Data!BE34</f>
        <v>-2.077996849174531E-2</v>
      </c>
      <c r="K36" s="77">
        <f>Data!BM34</f>
        <v>-6.6467267319095138E-4</v>
      </c>
      <c r="L36" s="675"/>
    </row>
    <row r="37" spans="2:12" x14ac:dyDescent="0.35">
      <c r="B37" s="675"/>
      <c r="C37" s="30">
        <v>45337</v>
      </c>
      <c r="D37" s="77">
        <f>Data!I35</f>
        <v>-2.3530497410194161E-2</v>
      </c>
      <c r="E37" s="77">
        <f>Data!Q35</f>
        <v>-2.3894873973814672E-3</v>
      </c>
      <c r="F37" s="77">
        <f>Data!Y35</f>
        <v>0</v>
      </c>
      <c r="G37" s="77">
        <f>Data!AG35</f>
        <v>-9.2533370068114233E-3</v>
      </c>
      <c r="H37" s="77">
        <f>Data!AO35</f>
        <v>-2.2290079478442255E-2</v>
      </c>
      <c r="I37" s="77">
        <f>Data!AW35</f>
        <v>-5.2641836915142499E-3</v>
      </c>
      <c r="J37" s="77">
        <f>Data!BE35</f>
        <v>-1.5873349156290233E-2</v>
      </c>
      <c r="K37" s="77">
        <f>Data!BM35</f>
        <v>-1.3306721857051726E-3</v>
      </c>
      <c r="L37" s="675"/>
    </row>
    <row r="38" spans="2:12" x14ac:dyDescent="0.35">
      <c r="B38" s="675"/>
      <c r="C38" s="30">
        <v>45340</v>
      </c>
      <c r="D38" s="77">
        <f>Data!I36</f>
        <v>7.9051795071132473E-3</v>
      </c>
      <c r="E38" s="77">
        <f>Data!Q36</f>
        <v>-1.93242728264027E-2</v>
      </c>
      <c r="F38" s="77">
        <f>Data!Y36</f>
        <v>0</v>
      </c>
      <c r="G38" s="77">
        <f>Data!AG36</f>
        <v>8.9923571029319554E-4</v>
      </c>
      <c r="H38" s="77">
        <f>Data!AO36</f>
        <v>-7.1326978574272702E-3</v>
      </c>
      <c r="I38" s="77">
        <f>Data!AW36</f>
        <v>1.5436072012763996E-3</v>
      </c>
      <c r="J38" s="77">
        <f>Data!BE36</f>
        <v>1.5873349156290163E-2</v>
      </c>
      <c r="K38" s="77">
        <f>Data!BM36</f>
        <v>1.9953448588961877E-3</v>
      </c>
      <c r="L38" s="675"/>
    </row>
    <row r="39" spans="2:12" x14ac:dyDescent="0.35">
      <c r="B39" s="675"/>
      <c r="C39" s="30">
        <v>45341</v>
      </c>
      <c r="D39" s="77">
        <f>Data!I37</f>
        <v>2.3347363996991107E-2</v>
      </c>
      <c r="E39" s="77">
        <f>Data!Q37</f>
        <v>-9.8040000966208556E-3</v>
      </c>
      <c r="F39" s="77">
        <f>Data!Y37</f>
        <v>0</v>
      </c>
      <c r="G39" s="77">
        <f>Data!AG37</f>
        <v>-1.299155731619997E-3</v>
      </c>
      <c r="H39" s="77">
        <f>Data!AO37</f>
        <v>-8.184143679318851E-4</v>
      </c>
      <c r="I39" s="77">
        <f>Data!AW37</f>
        <v>-2.2224580995914539E-2</v>
      </c>
      <c r="J39" s="77">
        <f>Data!BE37</f>
        <v>2.5908184858664834E-2</v>
      </c>
      <c r="K39" s="77">
        <f>Data!BM37</f>
        <v>-1.995344858896107E-3</v>
      </c>
      <c r="L39" s="675"/>
    </row>
    <row r="40" spans="2:12" x14ac:dyDescent="0.35">
      <c r="B40" s="675"/>
      <c r="C40" s="30">
        <v>45342</v>
      </c>
      <c r="D40" s="77">
        <f>Data!I38</f>
        <v>7.6628727455690972E-3</v>
      </c>
      <c r="E40" s="77">
        <f>Data!Q38</f>
        <v>0</v>
      </c>
      <c r="F40" s="77">
        <f>Data!Y38</f>
        <v>0</v>
      </c>
      <c r="G40" s="77">
        <f>Data!AG38</f>
        <v>-1.2072581234269249E-2</v>
      </c>
      <c r="H40" s="77">
        <f>Data!AO38</f>
        <v>-8.0148394517353585E-3</v>
      </c>
      <c r="I40" s="77">
        <f>Data!AW38</f>
        <v>5.2555512968989373E-4</v>
      </c>
      <c r="J40" s="77">
        <f>Data!BE38</f>
        <v>-2.1220955482885537E-2</v>
      </c>
      <c r="K40" s="77">
        <f>Data!BM38</f>
        <v>-1.3324452337784896E-3</v>
      </c>
      <c r="L40" s="675"/>
    </row>
    <row r="41" spans="2:12" x14ac:dyDescent="0.35">
      <c r="B41" s="675"/>
      <c r="C41" s="30">
        <v>45344</v>
      </c>
      <c r="D41" s="77">
        <f>Data!I39</f>
        <v>0</v>
      </c>
      <c r="E41" s="77">
        <f>Data!Q39</f>
        <v>-9.9010709827115698E-3</v>
      </c>
      <c r="F41" s="77">
        <f>Data!Y39</f>
        <v>0</v>
      </c>
      <c r="G41" s="77">
        <f>Data!AG39</f>
        <v>-4.0494027684336947E-4</v>
      </c>
      <c r="H41" s="77">
        <f>Data!AO39</f>
        <v>-1.9621011096794599E-3</v>
      </c>
      <c r="I41" s="77">
        <f>Data!AW39</f>
        <v>-6.5698708098635233E-4</v>
      </c>
      <c r="J41" s="77">
        <f>Data!BE39</f>
        <v>-8.0754140055453068E-3</v>
      </c>
      <c r="K41" s="77">
        <f>Data!BM39</f>
        <v>-2.6702285558789208E-3</v>
      </c>
      <c r="L41" s="675"/>
    </row>
    <row r="42" spans="2:12" x14ac:dyDescent="0.35">
      <c r="B42" s="675"/>
      <c r="C42" s="30">
        <v>45347</v>
      </c>
      <c r="D42" s="77">
        <f>Data!I40</f>
        <v>-7.6628727455691371E-3</v>
      </c>
      <c r="E42" s="77">
        <f>Data!Q40</f>
        <v>-4.9875415110391622E-3</v>
      </c>
      <c r="F42" s="77">
        <f>Data!Y40</f>
        <v>0</v>
      </c>
      <c r="G42" s="77">
        <f>Data!AG40</f>
        <v>-7.9292882665500612E-3</v>
      </c>
      <c r="H42" s="77">
        <f>Data!AO40</f>
        <v>-8.9295578286535844E-3</v>
      </c>
      <c r="I42" s="77">
        <f>Data!AW40</f>
        <v>-1.0305283431286907E-2</v>
      </c>
      <c r="J42" s="77">
        <f>Data!BE40</f>
        <v>-8.1411575836997738E-3</v>
      </c>
      <c r="K42" s="77">
        <f>Data!BM40</f>
        <v>0</v>
      </c>
      <c r="L42" s="675"/>
    </row>
    <row r="43" spans="2:12" x14ac:dyDescent="0.35">
      <c r="B43" s="675"/>
      <c r="C43" s="30">
        <v>45349</v>
      </c>
      <c r="D43" s="77">
        <f>Data!I41</f>
        <v>0</v>
      </c>
      <c r="E43" s="77">
        <f>Data!Q41</f>
        <v>2.4968801985871458E-3</v>
      </c>
      <c r="F43" s="77">
        <f>Data!Y41</f>
        <v>0</v>
      </c>
      <c r="G43" s="77">
        <f>Data!AG41</f>
        <v>2.0206789774995494E-2</v>
      </c>
      <c r="H43" s="77">
        <f>Data!AO41</f>
        <v>-1.3862855908395508E-2</v>
      </c>
      <c r="I43" s="77">
        <f>Data!AW41</f>
        <v>-3.5921012482105592E-3</v>
      </c>
      <c r="J43" s="77">
        <f>Data!BE41</f>
        <v>-2.7285146532040625E-3</v>
      </c>
      <c r="K43" s="77">
        <f>Data!BM41</f>
        <v>-2.2989518224698833E-2</v>
      </c>
      <c r="L43" s="675"/>
    </row>
    <row r="44" spans="2:12" x14ac:dyDescent="0.35">
      <c r="B44" s="675"/>
      <c r="C44" s="30">
        <v>45350</v>
      </c>
      <c r="D44" s="77">
        <f>Data!I42</f>
        <v>0</v>
      </c>
      <c r="E44" s="77">
        <f>Data!Q42</f>
        <v>-2.4968801985872659E-3</v>
      </c>
      <c r="F44" s="77">
        <f>Data!Y42</f>
        <v>0</v>
      </c>
      <c r="G44" s="77">
        <f>Data!AG42</f>
        <v>-5.5162869934420973E-3</v>
      </c>
      <c r="H44" s="77">
        <f>Data!AO42</f>
        <v>6.535282035176347E-3</v>
      </c>
      <c r="I44" s="77">
        <f>Data!AW42</f>
        <v>-2.8028046376371491E-3</v>
      </c>
      <c r="J44" s="77">
        <f>Data!BE42</f>
        <v>8.1633106391608354E-3</v>
      </c>
      <c r="K44" s="77">
        <f>Data!BM42</f>
        <v>-2.7397277411202159E-3</v>
      </c>
      <c r="L44" s="675"/>
    </row>
    <row r="45" spans="2:12" x14ac:dyDescent="0.35">
      <c r="B45" s="675"/>
      <c r="C45" s="30">
        <v>45351</v>
      </c>
      <c r="D45" s="77">
        <f>Data!I43</f>
        <v>7.6628727455690972E-3</v>
      </c>
      <c r="E45" s="77">
        <f>Data!Q43</f>
        <v>-5.0125418235443982E-3</v>
      </c>
      <c r="F45" s="77">
        <f>Data!Y43</f>
        <v>0</v>
      </c>
      <c r="G45" s="77">
        <f>Data!AG43</f>
        <v>-1.3976326349626937E-2</v>
      </c>
      <c r="H45" s="77">
        <f>Data!AO43</f>
        <v>-8.6525811534901003E-3</v>
      </c>
      <c r="I45" s="77">
        <f>Data!AW43</f>
        <v>-3.6151877092527075E-3</v>
      </c>
      <c r="J45" s="77">
        <f>Data!BE43</f>
        <v>-5.4347959859568327E-3</v>
      </c>
      <c r="K45" s="77">
        <f>Data!BM43</f>
        <v>-4.1237171838622638E-3</v>
      </c>
      <c r="L45" s="675"/>
    </row>
    <row r="46" spans="2:12" x14ac:dyDescent="0.35">
      <c r="B46" s="675"/>
      <c r="C46" s="30">
        <v>45354</v>
      </c>
      <c r="D46" s="77">
        <f>Data!I44</f>
        <v>-1.5384918839479343E-2</v>
      </c>
      <c r="E46" s="77">
        <f>Data!Q44</f>
        <v>-1.0101095986503821E-2</v>
      </c>
      <c r="F46" s="77">
        <f>Data!Y44</f>
        <v>-4.4594512085331411E-2</v>
      </c>
      <c r="G46" s="77">
        <f>Data!AG44</f>
        <v>-2.450731339953772E-3</v>
      </c>
      <c r="H46" s="77">
        <f>Data!AO44</f>
        <v>2.1172991183137494E-3</v>
      </c>
      <c r="I46" s="77">
        <f>Data!AW44</f>
        <v>2.0841001217201373E-2</v>
      </c>
      <c r="J46" s="77">
        <f>Data!BE44</f>
        <v>0</v>
      </c>
      <c r="K46" s="77">
        <f>Data!BM44</f>
        <v>-6.2176366108703382E-3</v>
      </c>
      <c r="L46" s="675"/>
    </row>
    <row r="47" spans="2:12" x14ac:dyDescent="0.35">
      <c r="B47" s="675"/>
      <c r="C47" s="30">
        <v>45355</v>
      </c>
      <c r="D47" s="77">
        <f>Data!I45</f>
        <v>7.7220460939103185E-3</v>
      </c>
      <c r="E47" s="77">
        <f>Data!Q45</f>
        <v>-1.0204170174241623E-2</v>
      </c>
      <c r="F47" s="77">
        <f>Data!Y45</f>
        <v>-1.6962627219579474E-2</v>
      </c>
      <c r="G47" s="77">
        <f>Data!AG45</f>
        <v>8.9568028815141896E-3</v>
      </c>
      <c r="H47" s="77">
        <f>Data!AO45</f>
        <v>-5.7270280618036381E-3</v>
      </c>
      <c r="I47" s="77">
        <f>Data!AW45</f>
        <v>-1.2958002282126003E-2</v>
      </c>
      <c r="J47" s="77">
        <f>Data!BE45</f>
        <v>-1.9257816604414647E-2</v>
      </c>
      <c r="K47" s="77">
        <f>Data!BM45</f>
        <v>1.2396852976828502E-2</v>
      </c>
      <c r="L47" s="675"/>
    </row>
    <row r="48" spans="2:12" x14ac:dyDescent="0.35">
      <c r="B48" s="675"/>
      <c r="C48" s="30">
        <v>45356</v>
      </c>
      <c r="D48" s="77">
        <f>Data!I46</f>
        <v>-2.3347363996991177E-2</v>
      </c>
      <c r="E48" s="77">
        <f>Data!Q46</f>
        <v>0</v>
      </c>
      <c r="F48" s="77">
        <f>Data!Y46</f>
        <v>-1.8046782447073549E-2</v>
      </c>
      <c r="G48" s="77">
        <f>Data!AG46</f>
        <v>2.6310478646590506E-3</v>
      </c>
      <c r="H48" s="77">
        <f>Data!AO46</f>
        <v>-8.5452346513896077E-3</v>
      </c>
      <c r="I48" s="77">
        <f>Data!AW46</f>
        <v>-1.2858468084378153E-2</v>
      </c>
      <c r="J48" s="77">
        <f>Data!BE46</f>
        <v>-5.571045049455472E-3</v>
      </c>
      <c r="K48" s="77">
        <f>Data!BM46</f>
        <v>3.4312144988778839E-2</v>
      </c>
      <c r="L48" s="675"/>
    </row>
    <row r="49" spans="2:12" x14ac:dyDescent="0.35">
      <c r="B49" s="675"/>
      <c r="C49" s="30">
        <v>45357</v>
      </c>
      <c r="D49" s="77">
        <f>Data!I47</f>
        <v>1.5625317903081033E-2</v>
      </c>
      <c r="E49" s="77">
        <f>Data!Q47</f>
        <v>2.5608208616736505E-3</v>
      </c>
      <c r="F49" s="77">
        <f>Data!Y47</f>
        <v>1.6100877960703863E-2</v>
      </c>
      <c r="G49" s="77">
        <f>Data!AG47</f>
        <v>-6.488920669741825E-3</v>
      </c>
      <c r="H49" s="77">
        <f>Data!AO47</f>
        <v>1.5006970337057076E-3</v>
      </c>
      <c r="I49" s="77">
        <f>Data!AW47</f>
        <v>-1.7680319109741893E-2</v>
      </c>
      <c r="J49" s="77">
        <f>Data!BE47</f>
        <v>-2.7972046210610309E-3</v>
      </c>
      <c r="K49" s="77">
        <f>Data!BM47</f>
        <v>-8.6350586368804973E-3</v>
      </c>
      <c r="L49" s="675"/>
    </row>
    <row r="50" spans="2:12" x14ac:dyDescent="0.35">
      <c r="B50" s="675"/>
      <c r="C50" s="30">
        <v>45358</v>
      </c>
      <c r="D50" s="77">
        <f>Data!I48</f>
        <v>-1.562531790308087E-2</v>
      </c>
      <c r="E50" s="77">
        <f>Data!Q48</f>
        <v>-7.7022203620924629E-3</v>
      </c>
      <c r="F50" s="77">
        <f>Data!Y48</f>
        <v>-1.254426484585687E-2</v>
      </c>
      <c r="G50" s="77">
        <f>Data!AG48</f>
        <v>1.6261818808777848E-3</v>
      </c>
      <c r="H50" s="77">
        <f>Data!AO48</f>
        <v>-1.0877281333051568E-2</v>
      </c>
      <c r="I50" s="77">
        <f>Data!AW48</f>
        <v>-1.3730607676891078E-3</v>
      </c>
      <c r="J50" s="77">
        <f>Data!BE48</f>
        <v>-1.1267724846342494E-2</v>
      </c>
      <c r="K50" s="77">
        <f>Data!BM48</f>
        <v>6.6688898770377427E-4</v>
      </c>
      <c r="L50" s="675"/>
    </row>
    <row r="51" spans="2:12" x14ac:dyDescent="0.35">
      <c r="B51" s="675"/>
      <c r="C51" s="30">
        <v>45361</v>
      </c>
      <c r="D51" s="77">
        <f>Data!I49</f>
        <v>-7.9051795071132611E-3</v>
      </c>
      <c r="E51" s="77">
        <f>Data!Q49</f>
        <v>-2.580646593491514E-3</v>
      </c>
      <c r="F51" s="77">
        <f>Data!Y49</f>
        <v>-1.2304183805294366E-2</v>
      </c>
      <c r="G51" s="77">
        <f>Data!AG49</f>
        <v>3.0461491833238836E-4</v>
      </c>
      <c r="H51" s="77">
        <f>Data!AO49</f>
        <v>-1.2421166453181852E-2</v>
      </c>
      <c r="I51" s="77">
        <f>Data!AW49</f>
        <v>-6.6170630192946495E-3</v>
      </c>
      <c r="J51" s="77">
        <f>Data!BE49</f>
        <v>-5.6818334674308343E-3</v>
      </c>
      <c r="K51" s="77">
        <f>Data!BM49</f>
        <v>5.9820716775474689E-3</v>
      </c>
      <c r="L51" s="675"/>
    </row>
    <row r="52" spans="2:12" x14ac:dyDescent="0.35">
      <c r="B52" s="675"/>
      <c r="C52" s="30">
        <v>45362</v>
      </c>
      <c r="D52" s="77">
        <f>Data!I50</f>
        <v>-7.9681696491768449E-3</v>
      </c>
      <c r="E52" s="77">
        <f>Data!Q50</f>
        <v>-1.3004084423206573E-2</v>
      </c>
      <c r="F52" s="77">
        <f>Data!Y50</f>
        <v>-1.529204849569954E-2</v>
      </c>
      <c r="G52" s="77">
        <f>Data!AG50</f>
        <v>7.9883128674594905E-3</v>
      </c>
      <c r="H52" s="77">
        <f>Data!AO50</f>
        <v>-4.8357056535311199E-3</v>
      </c>
      <c r="I52" s="77">
        <f>Data!AW50</f>
        <v>-6.6611403667821987E-3</v>
      </c>
      <c r="J52" s="77">
        <f>Data!BE50</f>
        <v>2.8449521322313448E-3</v>
      </c>
      <c r="K52" s="77">
        <f>Data!BM50</f>
        <v>-5.98207167754754E-3</v>
      </c>
      <c r="L52" s="675"/>
    </row>
    <row r="53" spans="2:12" x14ac:dyDescent="0.35">
      <c r="B53" s="675"/>
      <c r="C53" s="30">
        <v>45363</v>
      </c>
      <c r="D53" s="77">
        <f>Data!I51</f>
        <v>0</v>
      </c>
      <c r="E53" s="77">
        <f>Data!Q51</f>
        <v>0</v>
      </c>
      <c r="F53" s="77">
        <f>Data!Y51</f>
        <v>-6.9176267721218401E-3</v>
      </c>
      <c r="G53" s="77">
        <f>Data!AG51</f>
        <v>-1.1242332415596298E-2</v>
      </c>
      <c r="H53" s="77">
        <f>Data!AO51</f>
        <v>-1.2415634487394011E-2</v>
      </c>
      <c r="I53" s="77">
        <f>Data!AW51</f>
        <v>-6.2853758149607527E-3</v>
      </c>
      <c r="J53" s="77">
        <f>Data!BE51</f>
        <v>-1.7192400540372875E-2</v>
      </c>
      <c r="K53" s="77">
        <f>Data!BM51</f>
        <v>1.332445233778473E-3</v>
      </c>
      <c r="L53" s="675"/>
    </row>
    <row r="54" spans="2:12" x14ac:dyDescent="0.35">
      <c r="B54" s="675"/>
      <c r="C54" s="30">
        <v>45364</v>
      </c>
      <c r="D54" s="77">
        <f>Data!I52</f>
        <v>0</v>
      </c>
      <c r="E54" s="77">
        <f>Data!Q52</f>
        <v>-1.8494582636164415E-2</v>
      </c>
      <c r="F54" s="77">
        <f>Data!Y52</f>
        <v>-1.5223499105091735E-2</v>
      </c>
      <c r="G54" s="77">
        <f>Data!AG52</f>
        <v>8.3173215046835804E-3</v>
      </c>
      <c r="H54" s="77">
        <f>Data!AO52</f>
        <v>-9.9771019867486571E-3</v>
      </c>
      <c r="I54" s="77">
        <f>Data!AW52</f>
        <v>6.5638110109681761E-3</v>
      </c>
      <c r="J54" s="77">
        <f>Data!BE52</f>
        <v>-1.1628037995119099E-2</v>
      </c>
      <c r="K54" s="77">
        <f>Data!BM52</f>
        <v>-4.0026737896574445E-3</v>
      </c>
      <c r="L54" s="675"/>
    </row>
    <row r="55" spans="2:12" x14ac:dyDescent="0.35">
      <c r="B55" s="675"/>
      <c r="C55" s="30">
        <v>45365</v>
      </c>
      <c r="D55" s="77">
        <f>Data!I53</f>
        <v>0</v>
      </c>
      <c r="E55" s="77">
        <f>Data!Q53</f>
        <v>-1.0723963362975611E-2</v>
      </c>
      <c r="F55" s="77">
        <f>Data!Y53</f>
        <v>8.6687849364467055E-3</v>
      </c>
      <c r="G55" s="77">
        <f>Data!AG53</f>
        <v>-8.0840748137447633E-4</v>
      </c>
      <c r="H55" s="77">
        <f>Data!AO53</f>
        <v>-1.1786174514705716E-2</v>
      </c>
      <c r="I55" s="77">
        <f>Data!AW53</f>
        <v>-2.7843519600726619E-4</v>
      </c>
      <c r="J55" s="77">
        <f>Data!BE53</f>
        <v>-2.9282597790884456E-3</v>
      </c>
      <c r="K55" s="77">
        <f>Data!BM53</f>
        <v>3.3366730990394703E-3</v>
      </c>
      <c r="L55" s="675"/>
    </row>
    <row r="56" spans="2:12" x14ac:dyDescent="0.35">
      <c r="B56" s="675"/>
      <c r="C56" s="30">
        <v>45369</v>
      </c>
      <c r="D56" s="77">
        <f>Data!I54</f>
        <v>-3.2523191705560062E-2</v>
      </c>
      <c r="E56" s="77">
        <f>Data!Q54</f>
        <v>-3.0098031157279527E-2</v>
      </c>
      <c r="F56" s="77">
        <f>Data!Y54</f>
        <v>8.2169273316760069E-4</v>
      </c>
      <c r="G56" s="77">
        <f>Data!AG54</f>
        <v>-4.2548944751723185E-3</v>
      </c>
      <c r="H56" s="77">
        <f>Data!AO54</f>
        <v>-1.5741118956999926E-2</v>
      </c>
      <c r="I56" s="77">
        <f>Data!AW54</f>
        <v>-1.1905736261045205E-2</v>
      </c>
      <c r="J56" s="77">
        <f>Data!BE54</f>
        <v>-2.3739987303073057E-2</v>
      </c>
      <c r="K56" s="77">
        <f>Data!BM54</f>
        <v>-1.0716780396661912E-2</v>
      </c>
      <c r="L56" s="675"/>
    </row>
    <row r="57" spans="2:12" x14ac:dyDescent="0.35">
      <c r="B57" s="675"/>
      <c r="C57" s="30">
        <v>45370</v>
      </c>
      <c r="D57" s="77">
        <f>Data!I55</f>
        <v>-2.5105921131076243E-2</v>
      </c>
      <c r="E57" s="77">
        <f>Data!Q55</f>
        <v>-5.7158413839948637E-2</v>
      </c>
      <c r="F57" s="77">
        <f>Data!Y55</f>
        <v>-4.1152321451065439E-3</v>
      </c>
      <c r="G57" s="77">
        <f>Data!AG55</f>
        <v>-2.0325210249223578E-3</v>
      </c>
      <c r="H57" s="77">
        <f>Data!AO55</f>
        <v>-1.434677899935332E-2</v>
      </c>
      <c r="I57" s="77">
        <f>Data!AW55</f>
        <v>-1.9746127713603846E-3</v>
      </c>
      <c r="J57" s="77">
        <f>Data!BE55</f>
        <v>-3.982149418667149E-2</v>
      </c>
      <c r="K57" s="77">
        <f>Data!BM55</f>
        <v>-4.7249497286528655E-3</v>
      </c>
      <c r="L57" s="675"/>
    </row>
    <row r="58" spans="2:12" x14ac:dyDescent="0.35">
      <c r="B58" s="675"/>
      <c r="C58" s="30">
        <v>45371</v>
      </c>
      <c r="D58" s="77">
        <f>Data!I56</f>
        <v>2.5105921131076261E-2</v>
      </c>
      <c r="E58" s="77">
        <f>Data!Q56</f>
        <v>1.1696039763191236E-2</v>
      </c>
      <c r="F58" s="77">
        <f>Data!Y56</f>
        <v>-7.4503655885116392E-3</v>
      </c>
      <c r="G58" s="77">
        <f>Data!AG56</f>
        <v>2.1340387144669314E-3</v>
      </c>
      <c r="H58" s="77">
        <f>Data!AO56</f>
        <v>-1.229329902463863E-2</v>
      </c>
      <c r="I58" s="77">
        <f>Data!AW56</f>
        <v>1.8336982357928645E-3</v>
      </c>
      <c r="J58" s="77">
        <f>Data!BE56</f>
        <v>4.2819997182928143E-2</v>
      </c>
      <c r="K58" s="77">
        <f>Data!BM56</f>
        <v>6.7636120265276056E-4</v>
      </c>
      <c r="L58" s="675"/>
    </row>
    <row r="59" spans="2:12" x14ac:dyDescent="0.35">
      <c r="B59" s="675"/>
      <c r="C59" s="30">
        <v>45372</v>
      </c>
      <c r="D59" s="77">
        <f>Data!I57</f>
        <v>-8.2988028146950658E-3</v>
      </c>
      <c r="E59" s="77">
        <f>Data!Q57</f>
        <v>6.4720190681172032E-2</v>
      </c>
      <c r="F59" s="77">
        <f>Data!Y57</f>
        <v>-4.1554124844769255E-4</v>
      </c>
      <c r="G59" s="77">
        <f>Data!AG57</f>
        <v>5.971375468354587E-3</v>
      </c>
      <c r="H59" s="77">
        <f>Data!AO57</f>
        <v>3.6801846011795224E-3</v>
      </c>
      <c r="I59" s="77">
        <f>Data!AW57</f>
        <v>5.4810059215214405E-3</v>
      </c>
      <c r="J59" s="77">
        <f>Data!BE57</f>
        <v>1.4859114403749905E-2</v>
      </c>
      <c r="K59" s="77">
        <f>Data!BM57</f>
        <v>6.066752682237362E-3</v>
      </c>
      <c r="L59" s="675"/>
    </row>
    <row r="60" spans="2:12" x14ac:dyDescent="0.35">
      <c r="B60" s="675"/>
      <c r="C60" s="30">
        <v>45375</v>
      </c>
      <c r="D60" s="77">
        <f>Data!I58</f>
        <v>-8.3682496705165792E-3</v>
      </c>
      <c r="E60" s="77">
        <f>Data!Q58</f>
        <v>-1.0959013789719654E-2</v>
      </c>
      <c r="F60" s="77">
        <f>Data!Y58</f>
        <v>6.628027578413331E-3</v>
      </c>
      <c r="G60" s="77">
        <f>Data!AG58</f>
        <v>9.3406996611469627E-3</v>
      </c>
      <c r="H60" s="77">
        <f>Data!AO58</f>
        <v>-2.0164884360933735E-3</v>
      </c>
      <c r="I60" s="77">
        <f>Data!AW58</f>
        <v>-1.1133932224309558E-2</v>
      </c>
      <c r="J60" s="77">
        <f>Data!BE58</f>
        <v>-1.4859114403749828E-2</v>
      </c>
      <c r="K60" s="77">
        <f>Data!BM58</f>
        <v>7.3652827095604676E-3</v>
      </c>
      <c r="L60" s="675"/>
    </row>
    <row r="61" spans="2:12" x14ac:dyDescent="0.35">
      <c r="B61" s="675"/>
      <c r="C61" s="30">
        <v>45376</v>
      </c>
      <c r="D61" s="77">
        <f>Data!I59</f>
        <v>-1.694955831377332E-2</v>
      </c>
      <c r="E61" s="77">
        <f>Data!Q59</f>
        <v>-2.7586224390795284E-3</v>
      </c>
      <c r="F61" s="77">
        <f>Data!Y59</f>
        <v>-2.4803650583319539E-3</v>
      </c>
      <c r="G61" s="77">
        <f>Data!AG59</f>
        <v>-2.9995500899788503E-4</v>
      </c>
      <c r="H61" s="77">
        <f>Data!AO59</f>
        <v>-3.0500827380003887E-2</v>
      </c>
      <c r="I61" s="77">
        <f>Data!AW59</f>
        <v>-1.2837146760680719E-2</v>
      </c>
      <c r="J61" s="77">
        <f>Data!BE59</f>
        <v>-3.0397477184371045E-2</v>
      </c>
      <c r="K61" s="77">
        <f>Data!BM59</f>
        <v>0</v>
      </c>
      <c r="L61" s="675"/>
    </row>
    <row r="62" spans="2:12" x14ac:dyDescent="0.35">
      <c r="B62" s="675"/>
      <c r="C62" s="30">
        <v>45378</v>
      </c>
      <c r="D62" s="77">
        <f>Data!I60</f>
        <v>-2.5975486403260563E-2</v>
      </c>
      <c r="E62" s="77">
        <f>Data!Q60</f>
        <v>-1.6713480973740667E-2</v>
      </c>
      <c r="F62" s="77">
        <f>Data!Y60</f>
        <v>-1.2075932715875462E-2</v>
      </c>
      <c r="G62" s="77">
        <f>Data!AG60</f>
        <v>-1.9998646506689855E-2</v>
      </c>
      <c r="H62" s="77">
        <f>Data!AO60</f>
        <v>-2.6923033005459292E-2</v>
      </c>
      <c r="I62" s="77">
        <f>Data!AW60</f>
        <v>-1.2567879399932452E-2</v>
      </c>
      <c r="J62" s="77">
        <f>Data!BE60</f>
        <v>-4.0950603613095202E-2</v>
      </c>
      <c r="K62" s="77">
        <f>Data!BM60</f>
        <v>6.6688898770377427E-4</v>
      </c>
      <c r="L62" s="675"/>
    </row>
    <row r="63" spans="2:12" x14ac:dyDescent="0.35">
      <c r="B63" s="675"/>
      <c r="C63" s="30">
        <v>45379</v>
      </c>
      <c r="D63" s="77">
        <f>Data!I61</f>
        <v>4.2925044717033844E-2</v>
      </c>
      <c r="E63" s="77">
        <f>Data!Q61</f>
        <v>1.1173300598125255E-2</v>
      </c>
      <c r="F63" s="77">
        <f>Data!Y61</f>
        <v>-1.2223545241513816E-2</v>
      </c>
      <c r="G63" s="77">
        <f>Data!AG61</f>
        <v>5.0996992282744454E-4</v>
      </c>
      <c r="H63" s="77">
        <f>Data!AO61</f>
        <v>-3.6367644170874951E-2</v>
      </c>
      <c r="I63" s="77">
        <f>Data!AW61</f>
        <v>-4.7787614121420664E-2</v>
      </c>
      <c r="J63" s="77">
        <f>Data!BE61</f>
        <v>2.2258470600942697E-2</v>
      </c>
      <c r="K63" s="77">
        <f>Data!BM61</f>
        <v>-2.6702285558789208E-3</v>
      </c>
      <c r="L63" s="675"/>
    </row>
    <row r="64" spans="2:12" ht="16" customHeight="1" x14ac:dyDescent="0.35">
      <c r="B64" s="675"/>
      <c r="C64" s="31">
        <v>45382</v>
      </c>
      <c r="D64" s="624">
        <f>Data!I62</f>
        <v>8.3682496705165792E-3</v>
      </c>
      <c r="E64" s="624">
        <f>Data!Q62</f>
        <v>1.6529301951210506E-2</v>
      </c>
      <c r="F64" s="624">
        <f>Data!Y62</f>
        <v>8.4459961534108698E-3</v>
      </c>
      <c r="G64" s="624">
        <f>Data!AG62</f>
        <v>8.0231984745842214E-3</v>
      </c>
      <c r="H64" s="624">
        <f>Data!AO62</f>
        <v>1.1926509011729345E-2</v>
      </c>
      <c r="I64" s="624">
        <f>Data!AW62</f>
        <v>-8.883501520864992E-3</v>
      </c>
      <c r="J64" s="624">
        <f>Data!BE62</f>
        <v>2.4845998586530804E-2</v>
      </c>
      <c r="K64" s="624">
        <f>Data!BM62</f>
        <v>1.6573133724870206E-2</v>
      </c>
      <c r="L64" s="675"/>
    </row>
    <row r="65" spans="2:12" ht="15.5" customHeight="1" x14ac:dyDescent="0.35">
      <c r="B65" s="675" t="s">
        <v>66</v>
      </c>
      <c r="C65" s="30">
        <v>45383</v>
      </c>
      <c r="D65" s="625">
        <f>Data!I63</f>
        <v>-2.5317807984289897E-2</v>
      </c>
      <c r="E65" s="625">
        <f>Data!Q63</f>
        <v>2.7285146532041358E-3</v>
      </c>
      <c r="F65" s="625">
        <f>Data!Y63</f>
        <v>-3.7918730919417245E-3</v>
      </c>
      <c r="G65" s="625">
        <f>Data!AG63</f>
        <v>4.6422527611525641E-3</v>
      </c>
      <c r="H65" s="625">
        <f>Data!AO63</f>
        <v>-3.5814150946579207E-2</v>
      </c>
      <c r="I65" s="625">
        <f>Data!AW63</f>
        <v>-3.077396546829009E-4</v>
      </c>
      <c r="J65" s="625">
        <f>Data!BE63</f>
        <v>-6.1538655743783354E-3</v>
      </c>
      <c r="K65" s="625">
        <f>Data!BM63</f>
        <v>5.2459136697695467E-3</v>
      </c>
      <c r="L65" s="675">
        <v>56</v>
      </c>
    </row>
    <row r="66" spans="2:12" x14ac:dyDescent="0.35">
      <c r="B66" s="675"/>
      <c r="C66" s="30">
        <v>45384</v>
      </c>
      <c r="D66" s="77">
        <f>Data!I64</f>
        <v>-8.5837436913914419E-3</v>
      </c>
      <c r="E66" s="77">
        <f>Data!Q64</f>
        <v>0</v>
      </c>
      <c r="F66" s="77">
        <f>Data!Y64</f>
        <v>3.3712632014083932E-3</v>
      </c>
      <c r="G66" s="77">
        <f>Data!AG64</f>
        <v>2.5139537600270389E-3</v>
      </c>
      <c r="H66" s="77">
        <f>Data!AO64</f>
        <v>2.0622013012198806E-2</v>
      </c>
      <c r="I66" s="77">
        <f>Data!AW64</f>
        <v>3.3742515740920263E-2</v>
      </c>
      <c r="J66" s="77">
        <f>Data!BE64</f>
        <v>-9.3023926623134485E-3</v>
      </c>
      <c r="K66" s="77">
        <f>Data!BM64</f>
        <v>3.916454092235142E-3</v>
      </c>
      <c r="L66" s="675"/>
    </row>
    <row r="67" spans="2:12" x14ac:dyDescent="0.35">
      <c r="B67" s="675"/>
      <c r="C67" s="30">
        <v>45385</v>
      </c>
      <c r="D67" s="77">
        <f>Data!I65</f>
        <v>8.583743691391435E-3</v>
      </c>
      <c r="E67" s="77">
        <f>Data!Q65</f>
        <v>1.6216571589245072E-2</v>
      </c>
      <c r="F67" s="77">
        <f>Data!Y65</f>
        <v>7.9614918751460869E-3</v>
      </c>
      <c r="G67" s="77">
        <f>Data!AG65</f>
        <v>6.0078282236799077E-3</v>
      </c>
      <c r="H67" s="77">
        <f>Data!AO65</f>
        <v>2.7438444078123174E-3</v>
      </c>
      <c r="I67" s="77">
        <f>Data!AW65</f>
        <v>1.1832707205672709E-2</v>
      </c>
      <c r="J67" s="77">
        <f>Data!BE65</f>
        <v>1.5456258236691672E-2</v>
      </c>
      <c r="K67" s="77">
        <f>Data!BM65</f>
        <v>5.84607056342391E-3</v>
      </c>
      <c r="L67" s="675"/>
    </row>
    <row r="68" spans="2:12" x14ac:dyDescent="0.35">
      <c r="B68" s="675"/>
      <c r="C68" s="30">
        <v>45386</v>
      </c>
      <c r="D68" s="77">
        <f>Data!I66</f>
        <v>-1.7241806434505992E-2</v>
      </c>
      <c r="E68" s="77">
        <f>Data!Q66</f>
        <v>0</v>
      </c>
      <c r="F68" s="77">
        <f>Data!Y66</f>
        <v>2.5010434045888729E-3</v>
      </c>
      <c r="G68" s="77">
        <f>Data!AG66</f>
        <v>-1.1748892489083012E-2</v>
      </c>
      <c r="H68" s="77">
        <f>Data!AO66</f>
        <v>3.3867428489932692E-3</v>
      </c>
      <c r="I68" s="77">
        <f>Data!AW66</f>
        <v>-8.26817053378252E-3</v>
      </c>
      <c r="J68" s="77">
        <f>Data!BE66</f>
        <v>6.1162270174360536E-3</v>
      </c>
      <c r="K68" s="77">
        <f>Data!BM66</f>
        <v>-6.4787822156064305E-4</v>
      </c>
      <c r="L68" s="675"/>
    </row>
    <row r="69" spans="2:12" x14ac:dyDescent="0.35">
      <c r="B69" s="675"/>
      <c r="C69" s="30">
        <v>45390</v>
      </c>
      <c r="D69" s="77">
        <f>Data!I67</f>
        <v>8.6580627431145311E-3</v>
      </c>
      <c r="E69" s="77">
        <f>Data!Q67</f>
        <v>5.3476063265952773E-3</v>
      </c>
      <c r="F69" s="77">
        <f>Data!Y67</f>
        <v>0</v>
      </c>
      <c r="G69" s="77">
        <f>Data!AG67</f>
        <v>7.8479122983013214E-3</v>
      </c>
      <c r="H69" s="77">
        <f>Data!AO67</f>
        <v>1.3946507042852874E-2</v>
      </c>
      <c r="I69" s="77">
        <f>Data!AW67</f>
        <v>7.9740528846032662E-3</v>
      </c>
      <c r="J69" s="77">
        <f>Data!BE67</f>
        <v>1.5128881596299999E-2</v>
      </c>
      <c r="K69" s="77">
        <f>Data!BM67</f>
        <v>5.1713108133777828E-3</v>
      </c>
      <c r="L69" s="675"/>
    </row>
    <row r="70" spans="2:12" x14ac:dyDescent="0.35">
      <c r="B70" s="675"/>
      <c r="C70" s="30">
        <v>45391</v>
      </c>
      <c r="D70" s="77">
        <f>Data!I68</f>
        <v>-1.7391742711869107E-2</v>
      </c>
      <c r="E70" s="77">
        <f>Data!Q68</f>
        <v>8.2988028146950641E-3</v>
      </c>
      <c r="F70" s="77">
        <f>Data!Y68</f>
        <v>-8.3298630389177348E-4</v>
      </c>
      <c r="G70" s="77">
        <f>Data!AG68</f>
        <v>-3.011143497687413E-3</v>
      </c>
      <c r="H70" s="77">
        <f>Data!AO68</f>
        <v>3.4162268305964048E-2</v>
      </c>
      <c r="I70" s="77">
        <f>Data!AW68</f>
        <v>-8.863996580242655E-3</v>
      </c>
      <c r="J70" s="77">
        <f>Data!BE68</f>
        <v>1.4903405502574948E-2</v>
      </c>
      <c r="K70" s="77">
        <f>Data!BM68</f>
        <v>-1.3632148790057644E-2</v>
      </c>
      <c r="L70" s="675"/>
    </row>
    <row r="71" spans="2:12" x14ac:dyDescent="0.35">
      <c r="B71" s="675"/>
      <c r="C71" s="30">
        <v>45397</v>
      </c>
      <c r="D71" s="77">
        <f>Data!I69</f>
        <v>0</v>
      </c>
      <c r="E71" s="77">
        <f>Data!Q69</f>
        <v>-2.5105921131076243E-2</v>
      </c>
      <c r="F71" s="77">
        <f>Data!Y69</f>
        <v>-4.5938690102273931E-3</v>
      </c>
      <c r="G71" s="77">
        <f>Data!AG69</f>
        <v>-5.6451762819883173E-3</v>
      </c>
      <c r="H71" s="77">
        <f>Data!AO69</f>
        <v>3.7172418493842821E-4</v>
      </c>
      <c r="I71" s="77">
        <f>Data!AW69</f>
        <v>-1.9025366005302052E-2</v>
      </c>
      <c r="J71" s="77">
        <f>Data!BE69</f>
        <v>-3.9220713153281267E-2</v>
      </c>
      <c r="K71" s="77">
        <f>Data!BM69</f>
        <v>-1.9802627296179754E-2</v>
      </c>
      <c r="L71" s="675"/>
    </row>
    <row r="72" spans="2:12" x14ac:dyDescent="0.35">
      <c r="B72" s="675"/>
      <c r="C72" s="30">
        <v>45398</v>
      </c>
      <c r="D72" s="77">
        <f>Data!I70</f>
        <v>8.7336799687546315E-3</v>
      </c>
      <c r="E72" s="77">
        <f>Data!Q70</f>
        <v>-2.8288562004777137E-3</v>
      </c>
      <c r="F72" s="77">
        <f>Data!Y70</f>
        <v>-1.178961024029669E-2</v>
      </c>
      <c r="G72" s="77">
        <f>Data!AG70</f>
        <v>-9.0378883795807965E-3</v>
      </c>
      <c r="H72" s="77">
        <f>Data!AO70</f>
        <v>7.4303408991311271E-4</v>
      </c>
      <c r="I72" s="77">
        <f>Data!AW70</f>
        <v>-1.8165309263980052E-3</v>
      </c>
      <c r="J72" s="77">
        <f>Data!BE70</f>
        <v>-6.1728591070810794E-3</v>
      </c>
      <c r="K72" s="77">
        <f>Data!BM70</f>
        <v>1.1928570865273812E-2</v>
      </c>
      <c r="L72" s="675"/>
    </row>
    <row r="73" spans="2:12" x14ac:dyDescent="0.35">
      <c r="B73" s="675"/>
      <c r="C73" s="30">
        <v>45399</v>
      </c>
      <c r="D73" s="77">
        <f>Data!I71</f>
        <v>0</v>
      </c>
      <c r="E73" s="77">
        <f>Data!Q71</f>
        <v>-5.6818334674308343E-3</v>
      </c>
      <c r="F73" s="77">
        <f>Data!Y71</f>
        <v>3.3826670732726456E-3</v>
      </c>
      <c r="G73" s="77">
        <f>Data!AG71</f>
        <v>1.7326610867853746E-3</v>
      </c>
      <c r="H73" s="77">
        <f>Data!AO71</f>
        <v>6.2935976232142473E-3</v>
      </c>
      <c r="I73" s="77">
        <f>Data!AW71</f>
        <v>-1.2962438455571476E-2</v>
      </c>
      <c r="J73" s="77">
        <f>Data!BE71</f>
        <v>-1.2461220437811889E-2</v>
      </c>
      <c r="K73" s="77">
        <f>Data!BM71</f>
        <v>8.5274377021083963E-3</v>
      </c>
      <c r="L73" s="675"/>
    </row>
    <row r="74" spans="2:12" x14ac:dyDescent="0.35">
      <c r="B74" s="675"/>
      <c r="C74" s="30">
        <v>45400</v>
      </c>
      <c r="D74" s="77">
        <f>Data!I72</f>
        <v>-8.7336799687545534E-3</v>
      </c>
      <c r="E74" s="77">
        <f>Data!Q72</f>
        <v>-5.5651254549377263E-2</v>
      </c>
      <c r="F74" s="77">
        <f>Data!Y72</f>
        <v>-9.3300083077620371E-3</v>
      </c>
      <c r="G74" s="77">
        <f>Data!AG72</f>
        <v>-1.7152374499896532E-2</v>
      </c>
      <c r="H74" s="77">
        <f>Data!AO72</f>
        <v>-1.5496498042948292E-2</v>
      </c>
      <c r="I74" s="77">
        <f>Data!AW72</f>
        <v>-8.0136042960501069E-3</v>
      </c>
      <c r="J74" s="77">
        <f>Data!BE72</f>
        <v>-1.5798116876591176E-2</v>
      </c>
      <c r="K74" s="77">
        <f>Data!BM72</f>
        <v>-2.9833170379979249E-2</v>
      </c>
      <c r="L74" s="675"/>
    </row>
    <row r="75" spans="2:12" x14ac:dyDescent="0.35">
      <c r="B75" s="675"/>
      <c r="C75" s="30">
        <v>45403</v>
      </c>
      <c r="D75" s="77">
        <f>Data!I73</f>
        <v>-3.5718082602079232E-2</v>
      </c>
      <c r="E75" s="77">
        <f>Data!Q73</f>
        <v>-2.4391453124159239E-2</v>
      </c>
      <c r="F75" s="77">
        <f>Data!Y73</f>
        <v>-2.1326516933608502E-3</v>
      </c>
      <c r="G75" s="77">
        <f>Data!AG73</f>
        <v>4.8571376428590543E-3</v>
      </c>
      <c r="H75" s="77">
        <f>Data!AO73</f>
        <v>-2.2745483988970742E-2</v>
      </c>
      <c r="I75" s="77">
        <f>Data!AW73</f>
        <v>-2.2532638489440125E-2</v>
      </c>
      <c r="J75" s="77">
        <f>Data!BE73</f>
        <v>-3.1897953681000379E-3</v>
      </c>
      <c r="K75" s="77">
        <f>Data!BM73</f>
        <v>1.3449901153328341E-3</v>
      </c>
      <c r="L75" s="675"/>
    </row>
    <row r="76" spans="2:12" x14ac:dyDescent="0.35">
      <c r="B76" s="675"/>
      <c r="C76" s="30">
        <v>45404</v>
      </c>
      <c r="D76" s="77">
        <f>Data!I74</f>
        <v>9.0498355199178562E-3</v>
      </c>
      <c r="E76" s="77">
        <f>Data!Q74</f>
        <v>1.5314234973042575E-2</v>
      </c>
      <c r="F76" s="77">
        <f>Data!Y74</f>
        <v>-4.7079051219055335E-3</v>
      </c>
      <c r="G76" s="77">
        <f>Data!AG74</f>
        <v>0</v>
      </c>
      <c r="H76" s="77">
        <f>Data!AO74</f>
        <v>8.9428303628456558E-4</v>
      </c>
      <c r="I76" s="77">
        <f>Data!AW74</f>
        <v>2.1448963176329473E-2</v>
      </c>
      <c r="J76" s="77">
        <f>Data!BE74</f>
        <v>0</v>
      </c>
      <c r="K76" s="77">
        <f>Data!BM74</f>
        <v>-5.3908486348765343E-3</v>
      </c>
      <c r="L76" s="675"/>
    </row>
    <row r="77" spans="2:12" x14ac:dyDescent="0.35">
      <c r="B77" s="675"/>
      <c r="C77" s="30">
        <v>45405</v>
      </c>
      <c r="D77" s="77">
        <f>Data!I75</f>
        <v>-2.7398974188114388E-2</v>
      </c>
      <c r="E77" s="77">
        <f>Data!Q75</f>
        <v>-9.1603693986641657E-3</v>
      </c>
      <c r="F77" s="77">
        <f>Data!Y75</f>
        <v>-2.1473059571473813E-3</v>
      </c>
      <c r="G77" s="77">
        <f>Data!AG75</f>
        <v>-1.5061307817100723E-2</v>
      </c>
      <c r="H77" s="77">
        <f>Data!AO75</f>
        <v>4.8407737840457108E-3</v>
      </c>
      <c r="I77" s="77">
        <f>Data!AW75</f>
        <v>8.3295252528302003E-3</v>
      </c>
      <c r="J77" s="77">
        <f>Data!BE75</f>
        <v>-3.9092925791277426E-2</v>
      </c>
      <c r="K77" s="77">
        <f>Data!BM75</f>
        <v>-3.3840979842405684E-3</v>
      </c>
      <c r="L77" s="675"/>
    </row>
    <row r="78" spans="2:12" x14ac:dyDescent="0.35">
      <c r="B78" s="675"/>
      <c r="C78" s="30">
        <v>45406</v>
      </c>
      <c r="D78" s="77">
        <f>Data!I76</f>
        <v>0</v>
      </c>
      <c r="E78" s="77">
        <f>Data!Q76</f>
        <v>-2.1706278581863171E-2</v>
      </c>
      <c r="F78" s="77">
        <f>Data!Y76</f>
        <v>-4.3001505715304484E-4</v>
      </c>
      <c r="G78" s="77">
        <f>Data!AG76</f>
        <v>2.317265163790163E-2</v>
      </c>
      <c r="H78" s="77">
        <f>Data!AO76</f>
        <v>-4.4577543092067023E-3</v>
      </c>
      <c r="I78" s="77">
        <f>Data!AW76</f>
        <v>-1.392133851860812E-2</v>
      </c>
      <c r="J78" s="77">
        <f>Data!BE76</f>
        <v>-1.3378125946176199E-2</v>
      </c>
      <c r="K78" s="77">
        <f>Data!BM76</f>
        <v>-4.7570595994592341E-3</v>
      </c>
      <c r="L78" s="675"/>
    </row>
    <row r="79" spans="2:12" x14ac:dyDescent="0.35">
      <c r="B79" s="675"/>
      <c r="C79" s="30">
        <v>45407</v>
      </c>
      <c r="D79" s="77">
        <f>Data!I77</f>
        <v>-9.302392662313674E-3</v>
      </c>
      <c r="E79" s="77">
        <f>Data!Q77</f>
        <v>-2.2187914975362218E-2</v>
      </c>
      <c r="F79" s="77">
        <f>Data!Y77</f>
        <v>1.069528911674795E-2</v>
      </c>
      <c r="G79" s="77">
        <f>Data!AG77</f>
        <v>-3.8464275732849731E-2</v>
      </c>
      <c r="H79" s="77">
        <f>Data!AO77</f>
        <v>-3.0456575555991655E-2</v>
      </c>
      <c r="I79" s="77">
        <f>Data!AW77</f>
        <v>-2.2525958366475026E-2</v>
      </c>
      <c r="J79" s="77">
        <f>Data!BE77</f>
        <v>-1.3559529785632251E-2</v>
      </c>
      <c r="K79" s="77">
        <f>Data!BM77</f>
        <v>-2.3433188014895287E-2</v>
      </c>
      <c r="L79" s="675"/>
    </row>
    <row r="80" spans="2:12" x14ac:dyDescent="0.35">
      <c r="B80" s="675"/>
      <c r="C80" s="30">
        <v>45410</v>
      </c>
      <c r="D80" s="77">
        <f>Data!I78</f>
        <v>0</v>
      </c>
      <c r="E80" s="77">
        <f>Data!Q78</f>
        <v>3.7740327982847113E-2</v>
      </c>
      <c r="F80" s="77">
        <f>Data!Y78</f>
        <v>2.3134575401656889E-2</v>
      </c>
      <c r="G80" s="77">
        <f>Data!AG78</f>
        <v>3.9792772172682102E-2</v>
      </c>
      <c r="H80" s="77">
        <f>Data!AO78</f>
        <v>1.5409027787818275E-2</v>
      </c>
      <c r="I80" s="77">
        <f>Data!AW78</f>
        <v>9.9866091137398184E-3</v>
      </c>
      <c r="J80" s="77">
        <f>Data!BE78</f>
        <v>1.6920877488337177E-2</v>
      </c>
      <c r="K80" s="77">
        <f>Data!BM78</f>
        <v>3.480685727802186E-3</v>
      </c>
      <c r="L80" s="675"/>
    </row>
    <row r="81" spans="2:12" x14ac:dyDescent="0.35">
      <c r="B81" s="675"/>
      <c r="C81" s="30">
        <v>45411</v>
      </c>
      <c r="D81" s="77">
        <f>Data!I79</f>
        <v>9.3023926623136306E-3</v>
      </c>
      <c r="E81" s="77">
        <f>Data!Q79</f>
        <v>9.2166551049240476E-3</v>
      </c>
      <c r="F81" s="77">
        <f>Data!Y79</f>
        <v>-1.6771881613828213E-2</v>
      </c>
      <c r="G81" s="77">
        <f>Data!AG79</f>
        <v>-3.47826437632492E-3</v>
      </c>
      <c r="H81" s="77">
        <f>Data!AO79</f>
        <v>-5.8483498943288793E-3</v>
      </c>
      <c r="I81" s="77">
        <f>Data!AW79</f>
        <v>-1.6379470905148869E-2</v>
      </c>
      <c r="J81" s="77">
        <f>Data!BE79</f>
        <v>-2.7212563524884815E-2</v>
      </c>
      <c r="K81" s="77">
        <f>Data!BM79</f>
        <v>-8.3740894105315111E-3</v>
      </c>
      <c r="L81" s="675"/>
    </row>
    <row r="82" spans="2:12" x14ac:dyDescent="0.35">
      <c r="B82" s="675"/>
      <c r="C82" s="30">
        <v>45412</v>
      </c>
      <c r="D82" s="77">
        <f>Data!I80</f>
        <v>-9.302392662313674E-3</v>
      </c>
      <c r="E82" s="77">
        <f>Data!Q80</f>
        <v>6.0975798681183165E-3</v>
      </c>
      <c r="F82" s="77">
        <f>Data!Y80</f>
        <v>-2.9642198287170058E-3</v>
      </c>
      <c r="G82" s="77">
        <f>Data!AG80</f>
        <v>1.0094401289656539E-2</v>
      </c>
      <c r="H82" s="77">
        <f>Data!AO80</f>
        <v>1.9532527858577647E-3</v>
      </c>
      <c r="I82" s="77">
        <f>Data!AW80</f>
        <v>-2.1227403231299444E-2</v>
      </c>
      <c r="J82" s="77">
        <f>Data!BE80</f>
        <v>2.7212563524884794E-2</v>
      </c>
      <c r="K82" s="77">
        <f>Data!BM80</f>
        <v>9.7629785226856624E-3</v>
      </c>
      <c r="L82" s="675"/>
    </row>
    <row r="83" spans="2:12" x14ac:dyDescent="0.35">
      <c r="B83" s="675"/>
      <c r="C83" s="30">
        <v>45414</v>
      </c>
      <c r="D83" s="77">
        <f>Data!I81</f>
        <v>0</v>
      </c>
      <c r="E83" s="77">
        <f>Data!Q81</f>
        <v>3.0349036951541112E-3</v>
      </c>
      <c r="F83" s="77">
        <f>Data!Y81</f>
        <v>7.6045993852192125E-3</v>
      </c>
      <c r="G83" s="77">
        <f>Data!AG81</f>
        <v>-1.7603565824342731E-2</v>
      </c>
      <c r="H83" s="77">
        <f>Data!AO81</f>
        <v>-1.0461714351830778E-2</v>
      </c>
      <c r="I83" s="77">
        <f>Data!AW81</f>
        <v>-2.1313230463288479E-3</v>
      </c>
      <c r="J83" s="77">
        <f>Data!BE81</f>
        <v>-2.7212563524884815E-2</v>
      </c>
      <c r="K83" s="77">
        <f>Data!BM81</f>
        <v>-1.7501321745856967E-2</v>
      </c>
      <c r="L83" s="675"/>
    </row>
    <row r="84" spans="2:12" x14ac:dyDescent="0.35">
      <c r="B84" s="675"/>
      <c r="C84" s="30">
        <v>45417</v>
      </c>
      <c r="D84" s="77">
        <f>Data!I82</f>
        <v>0</v>
      </c>
      <c r="E84" s="77">
        <f>Data!Q82</f>
        <v>1.5037877364540502E-2</v>
      </c>
      <c r="F84" s="77">
        <f>Data!Y82</f>
        <v>7.9648293624800682E-3</v>
      </c>
      <c r="G84" s="77">
        <f>Data!AG82</f>
        <v>-2.9988130637287678E-3</v>
      </c>
      <c r="H84" s="77">
        <f>Data!AO82</f>
        <v>1.1631837348241298E-2</v>
      </c>
      <c r="I84" s="77">
        <f>Data!AW82</f>
        <v>-1.0725290502108317E-2</v>
      </c>
      <c r="J84" s="77">
        <f>Data!BE82</f>
        <v>1.3698844358161927E-2</v>
      </c>
      <c r="K84" s="77">
        <f>Data!BM82</f>
        <v>4.2283361095211049E-3</v>
      </c>
      <c r="L84" s="675"/>
    </row>
    <row r="85" spans="2:12" x14ac:dyDescent="0.35">
      <c r="B85" s="675"/>
      <c r="C85" s="30">
        <v>45418</v>
      </c>
      <c r="D85" s="77">
        <f>Data!I83</f>
        <v>-1.8868484304382691E-2</v>
      </c>
      <c r="E85" s="77">
        <f>Data!Q83</f>
        <v>2.9413885206293407E-2</v>
      </c>
      <c r="F85" s="77">
        <f>Data!Y83</f>
        <v>8.3472458936874208E-4</v>
      </c>
      <c r="G85" s="77">
        <f>Data!AG83</f>
        <v>1.6434223613380004E-2</v>
      </c>
      <c r="H85" s="77">
        <f>Data!AO83</f>
        <v>1.1498091922556311E-2</v>
      </c>
      <c r="I85" s="77">
        <f>Data!AW83</f>
        <v>-6.6578142068671551E-3</v>
      </c>
      <c r="J85" s="77">
        <f>Data!BE83</f>
        <v>2.6847250036188056E-2</v>
      </c>
      <c r="K85" s="77">
        <f>Data!BM83</f>
        <v>-8.4746269909721211E-3</v>
      </c>
      <c r="L85" s="675"/>
    </row>
    <row r="86" spans="2:12" x14ac:dyDescent="0.35">
      <c r="B86" s="675"/>
      <c r="C86" s="30">
        <v>45419</v>
      </c>
      <c r="D86" s="77">
        <f>Data!I84</f>
        <v>2.8170876966696439E-2</v>
      </c>
      <c r="E86" s="77">
        <f>Data!Q84</f>
        <v>-1.1661939747842975E-2</v>
      </c>
      <c r="F86" s="77">
        <f>Data!Y84</f>
        <v>-8.3472458936874338E-4</v>
      </c>
      <c r="G86" s="77">
        <f>Data!AG84</f>
        <v>-8.9025914153197539E-3</v>
      </c>
      <c r="H86" s="77">
        <f>Data!AO84</f>
        <v>-2.4840343476351102E-2</v>
      </c>
      <c r="I86" s="77">
        <f>Data!AW84</f>
        <v>7.4869329012428529E-3</v>
      </c>
      <c r="J86" s="77">
        <f>Data!BE84</f>
        <v>-1.3333530869465144E-2</v>
      </c>
      <c r="K86" s="77">
        <f>Data!BM84</f>
        <v>-1.0695289116747919E-2</v>
      </c>
      <c r="L86" s="675"/>
    </row>
    <row r="87" spans="2:12" x14ac:dyDescent="0.35">
      <c r="B87" s="675"/>
      <c r="C87" s="30">
        <v>45420</v>
      </c>
      <c r="D87" s="77">
        <f>Data!I85</f>
        <v>-9.302392662313674E-3</v>
      </c>
      <c r="E87" s="77">
        <f>Data!Q85</f>
        <v>5.8479698824228992E-3</v>
      </c>
      <c r="F87" s="77">
        <f>Data!Y85</f>
        <v>-3.3458835061855991E-3</v>
      </c>
      <c r="G87" s="77">
        <f>Data!AG85</f>
        <v>4.8192864359489218E-3</v>
      </c>
      <c r="H87" s="77">
        <f>Data!AO85</f>
        <v>-5.8108985486772123E-3</v>
      </c>
      <c r="I87" s="77">
        <f>Data!AW85</f>
        <v>1.6561779207967726E-3</v>
      </c>
      <c r="J87" s="77">
        <f>Data!BE85</f>
        <v>-2.0339684237122787E-2</v>
      </c>
      <c r="K87" s="77">
        <f>Data!BM85</f>
        <v>1.069528911674795E-2</v>
      </c>
      <c r="L87" s="675"/>
    </row>
    <row r="88" spans="2:12" x14ac:dyDescent="0.35">
      <c r="B88" s="675"/>
      <c r="C88" s="30">
        <v>45421</v>
      </c>
      <c r="D88" s="77">
        <f>Data!I86</f>
        <v>0</v>
      </c>
      <c r="E88" s="77">
        <f>Data!Q86</f>
        <v>-8.7848295557328027E-3</v>
      </c>
      <c r="F88" s="77">
        <f>Data!Y86</f>
        <v>-5.4610511692166639E-3</v>
      </c>
      <c r="G88" s="77">
        <f>Data!AG86</f>
        <v>-1.2661654562761471E-2</v>
      </c>
      <c r="H88" s="77">
        <f>Data!AO86</f>
        <v>-1.4580160313685964E-3</v>
      </c>
      <c r="I88" s="77">
        <f>Data!AW86</f>
        <v>-1.215364997491067E-2</v>
      </c>
      <c r="J88" s="77">
        <f>Data!BE86</f>
        <v>-1.3793322132335761E-2</v>
      </c>
      <c r="K88" s="77">
        <f>Data!BM86</f>
        <v>-1.1412392051744673E-2</v>
      </c>
      <c r="L88" s="675"/>
    </row>
    <row r="89" spans="2:12" x14ac:dyDescent="0.35">
      <c r="B89" s="675"/>
      <c r="C89" s="30">
        <v>45424</v>
      </c>
      <c r="D89" s="77">
        <f>Data!I87</f>
        <v>9.3023926623136306E-3</v>
      </c>
      <c r="E89" s="77">
        <f>Data!Q87</f>
        <v>-1.4815085785140587E-2</v>
      </c>
      <c r="F89" s="77">
        <f>Data!Y87</f>
        <v>-2.1083710108278299E-3</v>
      </c>
      <c r="G89" s="77">
        <f>Data!AG87</f>
        <v>2.4659764939038903E-2</v>
      </c>
      <c r="H89" s="77">
        <f>Data!AO87</f>
        <v>-3.5878053236029629E-3</v>
      </c>
      <c r="I89" s="77">
        <f>Data!AW87</f>
        <v>1.6749016034476767E-4</v>
      </c>
      <c r="J89" s="77">
        <f>Data!BE87</f>
        <v>1.3793322132335769E-2</v>
      </c>
      <c r="K89" s="77">
        <f>Data!BM87</f>
        <v>-2.9114137848248883E-2</v>
      </c>
      <c r="L89" s="675"/>
    </row>
    <row r="90" spans="2:12" x14ac:dyDescent="0.35">
      <c r="B90" s="675"/>
      <c r="C90" s="30">
        <v>45425</v>
      </c>
      <c r="D90" s="77">
        <f>Data!I88</f>
        <v>0</v>
      </c>
      <c r="E90" s="77">
        <f>Data!Q88</f>
        <v>-1.5037877364540559E-2</v>
      </c>
      <c r="F90" s="77">
        <f>Data!Y88</f>
        <v>7.1503984990758428E-3</v>
      </c>
      <c r="G90" s="77">
        <f>Data!AG88</f>
        <v>-2.6318655936366387E-2</v>
      </c>
      <c r="H90" s="77">
        <f>Data!AO88</f>
        <v>-9.6308930609613E-3</v>
      </c>
      <c r="I90" s="77">
        <f>Data!AW88</f>
        <v>-3.1871200340645995E-3</v>
      </c>
      <c r="J90" s="77">
        <f>Data!BE88</f>
        <v>-1.3793322132335761E-2</v>
      </c>
      <c r="K90" s="77">
        <f>Data!BM88</f>
        <v>-1.0393560527263307E-2</v>
      </c>
      <c r="L90" s="675"/>
    </row>
    <row r="91" spans="2:12" x14ac:dyDescent="0.35">
      <c r="B91" s="675"/>
      <c r="C91" s="30">
        <v>45426</v>
      </c>
      <c r="D91" s="77">
        <f>Data!I89</f>
        <v>-2.8170876966696335E-2</v>
      </c>
      <c r="E91" s="77">
        <f>Data!Q89</f>
        <v>-1.5267472130788421E-2</v>
      </c>
      <c r="F91" s="77">
        <f>Data!Y89</f>
        <v>-6.7283685286845321E-3</v>
      </c>
      <c r="G91" s="77">
        <f>Data!AG89</f>
        <v>2.3837913552761975E-3</v>
      </c>
      <c r="H91" s="77">
        <f>Data!AO89</f>
        <v>-2.1602633432426469E-2</v>
      </c>
      <c r="I91" s="77">
        <f>Data!AW89</f>
        <v>-4.5466105095959526E-3</v>
      </c>
      <c r="J91" s="77">
        <f>Data!BE89</f>
        <v>-1.0471299867295478E-2</v>
      </c>
      <c r="K91" s="77">
        <f>Data!BM89</f>
        <v>-1.3523872533325543E-2</v>
      </c>
      <c r="L91" s="675"/>
    </row>
    <row r="92" spans="2:12" x14ac:dyDescent="0.35">
      <c r="B92" s="675"/>
      <c r="C92" s="30">
        <v>45427</v>
      </c>
      <c r="D92" s="77">
        <f>Data!I90</f>
        <v>0</v>
      </c>
      <c r="E92" s="77">
        <f>Data!Q90</f>
        <v>-6.1728591070810794E-3</v>
      </c>
      <c r="F92" s="77">
        <f>Data!Y90</f>
        <v>-1.4449890181059195E-2</v>
      </c>
      <c r="G92" s="77">
        <f>Data!AG90</f>
        <v>-1.1557211256361223E-2</v>
      </c>
      <c r="H92" s="77">
        <f>Data!AO90</f>
        <v>-2.6300827200612574E-2</v>
      </c>
      <c r="I92" s="77">
        <f>Data!AW90</f>
        <v>-2.046107187134006E-2</v>
      </c>
      <c r="J92" s="77">
        <f>Data!BE90</f>
        <v>-2.4868066578013423E-2</v>
      </c>
      <c r="K92" s="77">
        <f>Data!BM90</f>
        <v>3.7750139205759508E-3</v>
      </c>
      <c r="L92" s="675"/>
    </row>
    <row r="93" spans="2:12" x14ac:dyDescent="0.35">
      <c r="B93" s="675"/>
      <c r="C93" s="30">
        <v>45428</v>
      </c>
      <c r="D93" s="77">
        <f>Data!I91</f>
        <v>0</v>
      </c>
      <c r="E93" s="77">
        <f>Data!Q91</f>
        <v>-6.2112000926405238E-3</v>
      </c>
      <c r="F93" s="77">
        <f>Data!Y91</f>
        <v>-5.5806111777084869E-3</v>
      </c>
      <c r="G93" s="77">
        <f>Data!AG91</f>
        <v>0</v>
      </c>
      <c r="H93" s="77">
        <f>Data!AO91</f>
        <v>-1.3771780094517053E-2</v>
      </c>
      <c r="I93" s="77">
        <f>Data!AW91</f>
        <v>-6.8929866592755211E-4</v>
      </c>
      <c r="J93" s="77">
        <f>Data!BE91</f>
        <v>0</v>
      </c>
      <c r="K93" s="77">
        <f>Data!BM91</f>
        <v>-9.8448352876515967E-3</v>
      </c>
      <c r="L93" s="675"/>
    </row>
    <row r="94" spans="2:12" x14ac:dyDescent="0.35">
      <c r="B94" s="675"/>
      <c r="C94" s="30">
        <v>45431</v>
      </c>
      <c r="D94" s="77">
        <f>Data!I92</f>
        <v>0</v>
      </c>
      <c r="E94" s="77">
        <f>Data!Q92</f>
        <v>-2.8437935320533625E-2</v>
      </c>
      <c r="F94" s="77">
        <f>Data!Y92</f>
        <v>-2.837998806080182E-2</v>
      </c>
      <c r="G94" s="77">
        <f>Data!AG92</f>
        <v>1.5696126280127869E-3</v>
      </c>
      <c r="H94" s="77">
        <f>Data!AO92</f>
        <v>-2.7537972014015078E-2</v>
      </c>
      <c r="I94" s="77">
        <f>Data!AW92</f>
        <v>-3.0453876032785321E-2</v>
      </c>
      <c r="J94" s="77">
        <f>Data!BE92</f>
        <v>-2.9199154692262353E-2</v>
      </c>
      <c r="K94" s="77">
        <f>Data!BM92</f>
        <v>-3.8124331346559197E-3</v>
      </c>
      <c r="L94" s="675"/>
    </row>
    <row r="95" spans="2:12" x14ac:dyDescent="0.35">
      <c r="B95" s="675"/>
      <c r="C95" s="30">
        <v>45432</v>
      </c>
      <c r="D95" s="77">
        <f>Data!I93</f>
        <v>-2.8987536873252413E-2</v>
      </c>
      <c r="E95" s="77">
        <f>Data!Q93</f>
        <v>-6.4308903302904025E-3</v>
      </c>
      <c r="F95" s="77">
        <f>Data!Y93</f>
        <v>-6.2194780670204201E-3</v>
      </c>
      <c r="G95" s="77">
        <f>Data!AG93</f>
        <v>-1.3731654371781013E-2</v>
      </c>
      <c r="H95" s="77">
        <f>Data!AO93</f>
        <v>-5.1565491792458021E-3</v>
      </c>
      <c r="I95" s="77">
        <f>Data!AW93</f>
        <v>-2.8115025369453144E-2</v>
      </c>
      <c r="J95" s="77">
        <f>Data!BE93</f>
        <v>-2.2472855852058628E-2</v>
      </c>
      <c r="K95" s="77">
        <f>Data!BM93</f>
        <v>-1.8504768580579783E-2</v>
      </c>
      <c r="L95" s="675"/>
    </row>
    <row r="96" spans="2:12" x14ac:dyDescent="0.35">
      <c r="B96" s="675"/>
      <c r="C96" s="30">
        <v>45433</v>
      </c>
      <c r="D96" s="77">
        <f>Data!I94</f>
        <v>0</v>
      </c>
      <c r="E96" s="77">
        <f>Data!Q94</f>
        <v>6.4308903302903314E-3</v>
      </c>
      <c r="F96" s="77">
        <f>Data!Y94</f>
        <v>4.0026737896576275E-3</v>
      </c>
      <c r="G96" s="77">
        <f>Data!AG94</f>
        <v>1.7003597762583943E-2</v>
      </c>
      <c r="H96" s="77">
        <f>Data!AO94</f>
        <v>-9.7967237444017696E-3</v>
      </c>
      <c r="I96" s="77">
        <f>Data!AW94</f>
        <v>-2.5622268775939796E-3</v>
      </c>
      <c r="J96" s="77">
        <f>Data!BE94</f>
        <v>0</v>
      </c>
      <c r="K96" s="77">
        <f>Data!BM94</f>
        <v>-9.38239877191362E-3</v>
      </c>
      <c r="L96" s="675"/>
    </row>
    <row r="97" spans="2:12" x14ac:dyDescent="0.35">
      <c r="B97" s="675"/>
      <c r="C97" s="30">
        <v>45435</v>
      </c>
      <c r="D97" s="77">
        <f>Data!I95</f>
        <v>0</v>
      </c>
      <c r="E97" s="77">
        <f>Data!Q95</f>
        <v>-2.9270382300113224E-2</v>
      </c>
      <c r="F97" s="77">
        <f>Data!Y95</f>
        <v>-1.7769884729288018E-3</v>
      </c>
      <c r="G97" s="77">
        <f>Data!AG95</f>
        <v>-8.8908290989802401E-3</v>
      </c>
      <c r="H97" s="77">
        <f>Data!AO95</f>
        <v>-2.9825842666934749E-2</v>
      </c>
      <c r="I97" s="77">
        <f>Data!AW95</f>
        <v>-1.5326678010795531E-2</v>
      </c>
      <c r="J97" s="77">
        <f>Data!BE95</f>
        <v>-2.2989518224698604E-2</v>
      </c>
      <c r="K97" s="77">
        <f>Data!BM95</f>
        <v>1.5588780214451026E-2</v>
      </c>
      <c r="L97" s="675"/>
    </row>
    <row r="98" spans="2:12" x14ac:dyDescent="0.35">
      <c r="B98" s="675"/>
      <c r="C98" s="30">
        <v>45438</v>
      </c>
      <c r="D98" s="77">
        <f>Data!I96</f>
        <v>6.591624810635778E-2</v>
      </c>
      <c r="E98" s="77">
        <f>Data!Q96</f>
        <v>-1.3289232118682765E-2</v>
      </c>
      <c r="F98" s="77">
        <f>Data!Y96</f>
        <v>4.8791403070158551E-3</v>
      </c>
      <c r="G98" s="77">
        <f>Data!AG96</f>
        <v>-2.6614163790423138E-3</v>
      </c>
      <c r="H98" s="77">
        <f>Data!AO96</f>
        <v>-2.9950764710392708E-2</v>
      </c>
      <c r="I98" s="77">
        <f>Data!AW96</f>
        <v>-2.8309118219169597E-2</v>
      </c>
      <c r="J98" s="77">
        <f>Data!BE96</f>
        <v>-1.562531790308087E-2</v>
      </c>
      <c r="K98" s="77">
        <f>Data!BM96</f>
        <v>1.5455953617805433E-3</v>
      </c>
      <c r="L98" s="675"/>
    </row>
    <row r="99" spans="2:12" x14ac:dyDescent="0.35">
      <c r="B99" s="675"/>
      <c r="C99" s="30">
        <v>45439</v>
      </c>
      <c r="D99" s="77">
        <f>Data!I97</f>
        <v>-6.9199035800639089E-2</v>
      </c>
      <c r="E99" s="77">
        <f>Data!Q97</f>
        <v>3.6128724088505482E-2</v>
      </c>
      <c r="F99" s="77">
        <f>Data!Y97</f>
        <v>1.4496190591572868E-2</v>
      </c>
      <c r="G99" s="77">
        <f>Data!AG97</f>
        <v>2.692348972533639E-2</v>
      </c>
      <c r="H99" s="77">
        <f>Data!AO97</f>
        <v>5.3695643858583837E-3</v>
      </c>
      <c r="I99" s="77">
        <f>Data!AW97</f>
        <v>-1.9160764628199324E-3</v>
      </c>
      <c r="J99" s="77">
        <f>Data!BE97</f>
        <v>2.7186140304156996E-2</v>
      </c>
      <c r="K99" s="77">
        <f>Data!BM97</f>
        <v>7.7190277858174452E-4</v>
      </c>
      <c r="L99" s="675"/>
    </row>
    <row r="100" spans="2:12" x14ac:dyDescent="0.35">
      <c r="B100" s="675"/>
      <c r="C100" s="30">
        <v>45440</v>
      </c>
      <c r="D100" s="77">
        <f>Data!I98</f>
        <v>-2.0834086902841914E-2</v>
      </c>
      <c r="E100" s="77">
        <f>Data!Q98</f>
        <v>-2.614528010432236E-2</v>
      </c>
      <c r="F100" s="77">
        <f>Data!Y98</f>
        <v>-1.6711030921125809E-2</v>
      </c>
      <c r="G100" s="77">
        <f>Data!AG98</f>
        <v>-1.0011555099441497E-2</v>
      </c>
      <c r="H100" s="77">
        <f>Data!AO98</f>
        <v>2.5169118210569912E-3</v>
      </c>
      <c r="I100" s="77">
        <f>Data!AW98</f>
        <v>9.5438785117061553E-3</v>
      </c>
      <c r="J100" s="77">
        <f>Data!BE98</f>
        <v>3.8240964384032546E-3</v>
      </c>
      <c r="K100" s="77">
        <f>Data!BM98</f>
        <v>1.8349138668196617E-2</v>
      </c>
      <c r="L100" s="675"/>
    </row>
    <row r="101" spans="2:12" x14ac:dyDescent="0.35">
      <c r="B101" s="675"/>
      <c r="C101" s="30">
        <v>45441</v>
      </c>
      <c r="D101" s="77">
        <f>Data!I99</f>
        <v>0</v>
      </c>
      <c r="E101" s="77">
        <f>Data!Q99</f>
        <v>-2.3451661035049819E-2</v>
      </c>
      <c r="F101" s="77">
        <f>Data!Y99</f>
        <v>9.7088141269609032E-3</v>
      </c>
      <c r="G101" s="77">
        <f>Data!AG99</f>
        <v>1.5392919633158256E-2</v>
      </c>
      <c r="H101" s="77">
        <f>Data!AO99</f>
        <v>-1.4149833349002749E-3</v>
      </c>
      <c r="I101" s="77">
        <f>Data!AW99</f>
        <v>-2.6955809988528218E-2</v>
      </c>
      <c r="J101" s="77">
        <f>Data!BE99</f>
        <v>-2.7080958602670697E-2</v>
      </c>
      <c r="K101" s="77">
        <f>Data!BM99</f>
        <v>-2.0666636808558996E-2</v>
      </c>
      <c r="L101" s="675"/>
    </row>
    <row r="102" spans="2:12" x14ac:dyDescent="0.35">
      <c r="B102" s="675"/>
      <c r="C102" s="30">
        <v>45442</v>
      </c>
      <c r="D102" s="77">
        <f>Data!I100</f>
        <v>-1.0582109330536859E-2</v>
      </c>
      <c r="E102" s="77">
        <f>Data!Q100</f>
        <v>3.6609745612561022E-2</v>
      </c>
      <c r="F102" s="77">
        <f>Data!Y100</f>
        <v>-1.8617559016070338E-2</v>
      </c>
      <c r="G102" s="77">
        <f>Data!AG100</f>
        <v>-3.0387920764702741E-2</v>
      </c>
      <c r="H102" s="77">
        <f>Data!AO100</f>
        <v>-2.2050725583139812E-3</v>
      </c>
      <c r="I102" s="77">
        <f>Data!AW100</f>
        <v>3.701182758291397E-3</v>
      </c>
      <c r="J102" s="77">
        <f>Data!BE100</f>
        <v>1.5564516541111548E-2</v>
      </c>
      <c r="K102" s="77">
        <f>Data!BM100</f>
        <v>1.9150336290595E-2</v>
      </c>
      <c r="L102" s="675"/>
    </row>
    <row r="103" spans="2:12" x14ac:dyDescent="0.35">
      <c r="B103" s="675"/>
      <c r="C103" s="30">
        <v>45445</v>
      </c>
      <c r="D103" s="77">
        <f>Data!I101</f>
        <v>1.0582109330537008E-2</v>
      </c>
      <c r="E103" s="77">
        <f>Data!Q101</f>
        <v>-2.9852963149681274E-2</v>
      </c>
      <c r="F103" s="77">
        <f>Data!Y101</f>
        <v>8.4651875520523993E-3</v>
      </c>
      <c r="G103" s="77">
        <f>Data!AG101</f>
        <v>1.2476372452042151E-2</v>
      </c>
      <c r="H103" s="77">
        <f>Data!AO101</f>
        <v>6.7573133683469866E-3</v>
      </c>
      <c r="I103" s="77">
        <f>Data!AW101</f>
        <v>-6.2414870066365364E-3</v>
      </c>
      <c r="J103" s="77">
        <f>Data!BE101</f>
        <v>-1.1650617219975139E-2</v>
      </c>
      <c r="K103" s="77">
        <f>Data!BM101</f>
        <v>0</v>
      </c>
      <c r="L103" s="675"/>
    </row>
    <row r="104" spans="2:12" x14ac:dyDescent="0.35">
      <c r="B104" s="675"/>
      <c r="C104" s="30">
        <v>45446</v>
      </c>
      <c r="D104" s="77">
        <f>Data!I102</f>
        <v>0</v>
      </c>
      <c r="E104" s="77">
        <f>Data!Q102</f>
        <v>-3.3726844786391187E-3</v>
      </c>
      <c r="F104" s="77">
        <f>Data!Y102</f>
        <v>1.3300822178139346E-3</v>
      </c>
      <c r="G104" s="77">
        <f>Data!AG102</f>
        <v>-2.6727886095749775E-2</v>
      </c>
      <c r="H104" s="77">
        <f>Data!AO102</f>
        <v>2.0339520428236352E-3</v>
      </c>
      <c r="I104" s="77">
        <f>Data!AW102</f>
        <v>-2.1557247330715321E-2</v>
      </c>
      <c r="J104" s="77">
        <f>Data!BE102</f>
        <v>1.5504186535965254E-2</v>
      </c>
      <c r="K104" s="77">
        <f>Data!BM102</f>
        <v>2.2735894598726767E-3</v>
      </c>
      <c r="L104" s="675"/>
    </row>
    <row r="105" spans="2:12" x14ac:dyDescent="0.35">
      <c r="B105" s="675"/>
      <c r="C105" s="30">
        <v>45447</v>
      </c>
      <c r="D105" s="77">
        <f>Data!I103</f>
        <v>-5.4067221270275821E-2</v>
      </c>
      <c r="E105" s="77">
        <f>Data!Q103</f>
        <v>1.0084119066626008E-2</v>
      </c>
      <c r="F105" s="77">
        <f>Data!Y103</f>
        <v>7.9435545675151532E-3</v>
      </c>
      <c r="G105" s="77">
        <f>Data!AG103</f>
        <v>5.7035398090617582E-3</v>
      </c>
      <c r="H105" s="77">
        <f>Data!AO103</f>
        <v>6.2324913492901278E-3</v>
      </c>
      <c r="I105" s="77">
        <f>Data!AW103</f>
        <v>-2.2015419679550711E-3</v>
      </c>
      <c r="J105" s="77">
        <f>Data!BE103</f>
        <v>1.9048194970694411E-2</v>
      </c>
      <c r="K105" s="77">
        <f>Data!BM103</f>
        <v>-7.5728894190869108E-4</v>
      </c>
      <c r="L105" s="675"/>
    </row>
    <row r="106" spans="2:12" x14ac:dyDescent="0.35">
      <c r="B106" s="675"/>
      <c r="C106" s="30">
        <v>45448</v>
      </c>
      <c r="D106" s="77">
        <f>Data!I104</f>
        <v>0</v>
      </c>
      <c r="E106" s="77">
        <f>Data!Q104</f>
        <v>-1.6863806052004805E-2</v>
      </c>
      <c r="F106" s="77">
        <f>Data!Y104</f>
        <v>-5.7306747089850953E-3</v>
      </c>
      <c r="G106" s="77">
        <f>Data!AG104</f>
        <v>4.8172228251457949E-3</v>
      </c>
      <c r="H106" s="77">
        <f>Data!AO104</f>
        <v>-6.2324913492901876E-3</v>
      </c>
      <c r="I106" s="77">
        <f>Data!AW104</f>
        <v>-1.7585091853562038E-2</v>
      </c>
      <c r="J106" s="77">
        <f>Data!BE104</f>
        <v>-2.677024106460478E-2</v>
      </c>
      <c r="K106" s="77">
        <f>Data!BM104</f>
        <v>-2.0666636808558996E-2</v>
      </c>
      <c r="L106" s="675"/>
    </row>
    <row r="107" spans="2:12" x14ac:dyDescent="0.35">
      <c r="B107" s="675"/>
      <c r="C107" s="30">
        <v>45449</v>
      </c>
      <c r="D107" s="77">
        <f>Data!I105</f>
        <v>-1.1173300598125189E-2</v>
      </c>
      <c r="E107" s="77">
        <f>Data!Q105</f>
        <v>0</v>
      </c>
      <c r="F107" s="77">
        <f>Data!Y105</f>
        <v>6.1701385701557771E-3</v>
      </c>
      <c r="G107" s="77">
        <f>Data!AG105</f>
        <v>-1.0628689891341185E-2</v>
      </c>
      <c r="H107" s="77">
        <f>Data!AO105</f>
        <v>-7.5306286227258996E-3</v>
      </c>
      <c r="I107" s="77">
        <f>Data!AW105</f>
        <v>-2.5401468989943873E-2</v>
      </c>
      <c r="J107" s="77">
        <f>Data!BE105</f>
        <v>0</v>
      </c>
      <c r="K107" s="77">
        <f>Data!BM105</f>
        <v>-1.7161107582403533E-2</v>
      </c>
      <c r="L107" s="675"/>
    </row>
    <row r="108" spans="2:12" x14ac:dyDescent="0.35">
      <c r="B108" s="675"/>
      <c r="C108" s="30">
        <v>45452</v>
      </c>
      <c r="D108" s="77">
        <f>Data!I106</f>
        <v>-2.2728251077556289E-2</v>
      </c>
      <c r="E108" s="77">
        <f>Data!Q106</f>
        <v>-1.0256500167188997E-2</v>
      </c>
      <c r="F108" s="77">
        <f>Data!Y106</f>
        <v>6.5688872072739071E-3</v>
      </c>
      <c r="G108" s="77">
        <f>Data!AG106</f>
        <v>5.2747848228624009E-3</v>
      </c>
      <c r="H108" s="77">
        <f>Data!AO106</f>
        <v>-8.2226902257674147E-3</v>
      </c>
      <c r="I108" s="77">
        <f>Data!AW106</f>
        <v>-2.7137556781454922E-2</v>
      </c>
      <c r="J108" s="77">
        <f>Data!BE106</f>
        <v>-2.3530497410194161E-2</v>
      </c>
      <c r="K108" s="77">
        <f>Data!BM106</f>
        <v>-2.9543066724120871E-2</v>
      </c>
      <c r="L108" s="675"/>
    </row>
    <row r="109" spans="2:12" x14ac:dyDescent="0.35">
      <c r="B109" s="675"/>
      <c r="C109" s="30">
        <v>45453</v>
      </c>
      <c r="D109" s="77">
        <f>Data!I107</f>
        <v>0</v>
      </c>
      <c r="E109" s="77">
        <f>Data!Q107</f>
        <v>-2.0834086902842025E-2</v>
      </c>
      <c r="F109" s="77">
        <f>Data!Y107</f>
        <v>-1.628198785377389E-2</v>
      </c>
      <c r="G109" s="77">
        <f>Data!AG107</f>
        <v>-2.3024474965735193E-2</v>
      </c>
      <c r="H109" s="77">
        <f>Data!AO107</f>
        <v>-2.5733166481288424E-2</v>
      </c>
      <c r="I109" s="77">
        <f>Data!AW107</f>
        <v>-2.9221442433368945E-2</v>
      </c>
      <c r="J109" s="77">
        <f>Data!BE107</f>
        <v>-2.4097551579060416E-2</v>
      </c>
      <c r="K109" s="77">
        <f>Data!BM107</f>
        <v>-2.7939368689241538E-2</v>
      </c>
      <c r="L109" s="675"/>
    </row>
    <row r="110" spans="2:12" x14ac:dyDescent="0.35">
      <c r="B110" s="675"/>
      <c r="C110" s="30">
        <v>45454</v>
      </c>
      <c r="D110" s="77">
        <f>Data!I108</f>
        <v>1.142869582362285E-2</v>
      </c>
      <c r="E110" s="77">
        <f>Data!Q108</f>
        <v>-2.1277398447284965E-2</v>
      </c>
      <c r="F110" s="77">
        <f>Data!Y108</f>
        <v>-8.4651875520524271E-3</v>
      </c>
      <c r="G110" s="77">
        <f>Data!AG108</f>
        <v>-9.3824850766805919E-3</v>
      </c>
      <c r="H110" s="77">
        <f>Data!AO108</f>
        <v>-5.3908486348763114E-3</v>
      </c>
      <c r="I110" s="77">
        <f>Data!AW108</f>
        <v>-2.691348806255996E-2</v>
      </c>
      <c r="J110" s="77">
        <f>Data!BE108</f>
        <v>-2.0534602441707753E-2</v>
      </c>
      <c r="K110" s="77">
        <f>Data!BM108</f>
        <v>-1.5113637810048184E-2</v>
      </c>
      <c r="L110" s="675"/>
    </row>
    <row r="111" spans="2:12" x14ac:dyDescent="0.35">
      <c r="B111" s="675"/>
      <c r="C111" s="30">
        <v>45455</v>
      </c>
      <c r="D111" s="77">
        <f>Data!I109</f>
        <v>-2.2989518224698833E-2</v>
      </c>
      <c r="E111" s="77">
        <f>Data!Q109</f>
        <v>-1.4440684154794247E-2</v>
      </c>
      <c r="F111" s="77">
        <f>Data!Y109</f>
        <v>-2.2396425935047983E-3</v>
      </c>
      <c r="G111" s="77">
        <f>Data!AG109</f>
        <v>2.2155764020491721E-3</v>
      </c>
      <c r="H111" s="77">
        <f>Data!AO109</f>
        <v>2.0107698709340503E-2</v>
      </c>
      <c r="I111" s="77">
        <f>Data!AW109</f>
        <v>4.9886724775234674E-3</v>
      </c>
      <c r="J111" s="77">
        <f>Data!BE109</f>
        <v>1.2371291802546829E-2</v>
      </c>
      <c r="K111" s="77">
        <f>Data!BM109</f>
        <v>1.7610518008635369E-2</v>
      </c>
      <c r="L111" s="675"/>
    </row>
    <row r="112" spans="2:12" x14ac:dyDescent="0.35">
      <c r="B112" s="675"/>
      <c r="C112" s="30">
        <v>45456</v>
      </c>
      <c r="D112" s="77">
        <f>Data!I110</f>
        <v>1.1560822401076006E-2</v>
      </c>
      <c r="E112" s="77">
        <f>Data!Q110</f>
        <v>-1.0969031370574046E-2</v>
      </c>
      <c r="F112" s="77">
        <f>Data!Y110</f>
        <v>4.9206093467625027E-3</v>
      </c>
      <c r="G112" s="77">
        <f>Data!AG110</f>
        <v>8.4844319218719093E-3</v>
      </c>
      <c r="H112" s="77">
        <f>Data!AO110</f>
        <v>-7.8975348024090623E-3</v>
      </c>
      <c r="I112" s="77">
        <f>Data!AW110</f>
        <v>9.4552708030266035E-3</v>
      </c>
      <c r="J112" s="77">
        <f>Data!BE110</f>
        <v>0</v>
      </c>
      <c r="K112" s="77">
        <f>Data!BM110</f>
        <v>-3.3305609471646108E-3</v>
      </c>
      <c r="L112" s="675"/>
    </row>
    <row r="113" spans="2:12" x14ac:dyDescent="0.35">
      <c r="B113" s="675"/>
      <c r="C113" s="30">
        <v>45462</v>
      </c>
      <c r="D113" s="77">
        <f>Data!I111</f>
        <v>-2.3256862164267235E-2</v>
      </c>
      <c r="E113" s="77">
        <f>Data!Q111</f>
        <v>1.0969031370573937E-2</v>
      </c>
      <c r="F113" s="77">
        <f>Data!Y111</f>
        <v>-8.5145036013517614E-3</v>
      </c>
      <c r="G113" s="77">
        <f>Data!AG111</f>
        <v>-5.2805403230332636E-3</v>
      </c>
      <c r="H113" s="77">
        <f>Data!AO111</f>
        <v>1.3660316878432251E-2</v>
      </c>
      <c r="I113" s="77">
        <f>Data!AW111</f>
        <v>8.3775884775946191E-2</v>
      </c>
      <c r="J113" s="77">
        <f>Data!BE111</f>
        <v>8.1633106391610557E-3</v>
      </c>
      <c r="K113" s="77">
        <f>Data!BM111</f>
        <v>-1.1745101458282777E-2</v>
      </c>
      <c r="L113" s="675"/>
    </row>
    <row r="114" spans="2:12" x14ac:dyDescent="0.35">
      <c r="B114" s="675"/>
      <c r="C114" s="30">
        <v>45463</v>
      </c>
      <c r="D114" s="77">
        <f>Data!I112</f>
        <v>2.3256862164267183E-2</v>
      </c>
      <c r="E114" s="77">
        <f>Data!Q112</f>
        <v>3.5718082602079246E-2</v>
      </c>
      <c r="F114" s="77">
        <f>Data!Y112</f>
        <v>1.2077981759740409E-2</v>
      </c>
      <c r="G114" s="77">
        <f>Data!AG112</f>
        <v>5.9386515675825466E-3</v>
      </c>
      <c r="H114" s="77">
        <f>Data!AO112</f>
        <v>7.2190732390850998E-2</v>
      </c>
      <c r="I114" s="77">
        <f>Data!AW112</f>
        <v>8.3760684000451655E-2</v>
      </c>
      <c r="J114" s="77">
        <f>Data!BE112</f>
        <v>4.0568006956142478E-3</v>
      </c>
      <c r="K114" s="77">
        <f>Data!BM112</f>
        <v>2.7467394700610701E-2</v>
      </c>
      <c r="L114" s="675"/>
    </row>
    <row r="115" spans="2:12" x14ac:dyDescent="0.35">
      <c r="B115" s="675"/>
      <c r="C115" s="30">
        <v>45466</v>
      </c>
      <c r="D115" s="77">
        <f>Data!I113</f>
        <v>-2.3256862164267235E-2</v>
      </c>
      <c r="E115" s="77">
        <f>Data!Q113</f>
        <v>2.4264621999631298E-2</v>
      </c>
      <c r="F115" s="77">
        <f>Data!Y113</f>
        <v>8.8535328205261409E-3</v>
      </c>
      <c r="G115" s="77">
        <f>Data!AG113</f>
        <v>3.892546039368671E-2</v>
      </c>
      <c r="H115" s="77">
        <f>Data!AO113</f>
        <v>7.1761039344564487E-2</v>
      </c>
      <c r="I115" s="77">
        <f>Data!AW113</f>
        <v>7.2184034806295663E-2</v>
      </c>
      <c r="J115" s="77">
        <f>Data!BE113</f>
        <v>2.4001152099543045E-2</v>
      </c>
      <c r="K115" s="77">
        <f>Data!BM113</f>
        <v>1.4670189747793621E-2</v>
      </c>
      <c r="L115" s="675"/>
    </row>
    <row r="116" spans="2:12" x14ac:dyDescent="0.35">
      <c r="B116" s="675"/>
      <c r="C116" s="30">
        <v>45467</v>
      </c>
      <c r="D116" s="77">
        <f>Data!I114</f>
        <v>0</v>
      </c>
      <c r="E116" s="77">
        <f>Data!Q114</f>
        <v>1.0221554071538009E-2</v>
      </c>
      <c r="F116" s="77">
        <f>Data!Y114</f>
        <v>5.7130456421791414E-3</v>
      </c>
      <c r="G116" s="77">
        <f>Data!AG114</f>
        <v>-1.7125345400906575E-2</v>
      </c>
      <c r="H116" s="77">
        <f>Data!AO114</f>
        <v>-2.0754071787123067E-3</v>
      </c>
      <c r="I116" s="77">
        <f>Data!AW114</f>
        <v>2.4554999489387073E-2</v>
      </c>
      <c r="J116" s="77">
        <f>Data!BE114</f>
        <v>-3.9604012160970167E-3</v>
      </c>
      <c r="K116" s="77">
        <f>Data!BM114</f>
        <v>8.087343748517811E-4</v>
      </c>
      <c r="L116" s="675"/>
    </row>
    <row r="117" spans="2:12" x14ac:dyDescent="0.35">
      <c r="B117" s="675"/>
      <c r="C117" s="30">
        <v>45468</v>
      </c>
      <c r="D117" s="77">
        <f>Data!I115</f>
        <v>-1.1834457647002796E-2</v>
      </c>
      <c r="E117" s="77">
        <f>Data!Q115</f>
        <v>1.0118130165584686E-2</v>
      </c>
      <c r="F117" s="77">
        <f>Data!Y115</f>
        <v>2.1886636007602414E-3</v>
      </c>
      <c r="G117" s="77">
        <f>Data!AG115</f>
        <v>-1.8516039791590114E-2</v>
      </c>
      <c r="H117" s="77">
        <f>Data!AO115</f>
        <v>3.4566228679107514E-3</v>
      </c>
      <c r="I117" s="77">
        <f>Data!AW115</f>
        <v>-2.897235802851374E-2</v>
      </c>
      <c r="J117" s="77">
        <f>Data!BE115</f>
        <v>-3.9761483796392945E-3</v>
      </c>
      <c r="K117" s="77">
        <f>Data!BM115</f>
        <v>1.3649348800378047E-2</v>
      </c>
      <c r="L117" s="675"/>
    </row>
    <row r="118" spans="2:12" x14ac:dyDescent="0.35">
      <c r="B118" s="675"/>
      <c r="C118" s="30">
        <v>45469</v>
      </c>
      <c r="D118" s="77">
        <f>Data!I116</f>
        <v>0</v>
      </c>
      <c r="E118" s="77">
        <f>Data!Q116</f>
        <v>1.9934214900817111E-2</v>
      </c>
      <c r="F118" s="77">
        <f>Data!Y116</f>
        <v>3.2267802734526556E-2</v>
      </c>
      <c r="G118" s="77">
        <f>Data!AG116</f>
        <v>2.3545747007986315E-2</v>
      </c>
      <c r="H118" s="77">
        <f>Data!AO116</f>
        <v>3.4447157727822172E-3</v>
      </c>
      <c r="I118" s="77">
        <f>Data!AW116</f>
        <v>7.2234174380707145E-2</v>
      </c>
      <c r="J118" s="77">
        <f>Data!BE116</f>
        <v>7.9365495957363415E-3</v>
      </c>
      <c r="K118" s="77">
        <f>Data!BM116</f>
        <v>2.6752185471433022E-2</v>
      </c>
      <c r="L118" s="675"/>
    </row>
    <row r="119" spans="2:12" x14ac:dyDescent="0.35">
      <c r="B119" s="675"/>
      <c r="C119" s="30">
        <v>45470</v>
      </c>
      <c r="D119" s="77">
        <f>Data!I117</f>
        <v>1.1834457647002798E-2</v>
      </c>
      <c r="E119" s="77">
        <f>Data!Q117</f>
        <v>-9.9174366573459155E-3</v>
      </c>
      <c r="F119" s="77">
        <f>Data!Y117</f>
        <v>2.1776404900169199E-2</v>
      </c>
      <c r="G119" s="77">
        <f>Data!AG117</f>
        <v>2.2899750202191579E-2</v>
      </c>
      <c r="H119" s="77">
        <f>Data!AO117</f>
        <v>5.2125135382028495E-2</v>
      </c>
      <c r="I119" s="77">
        <f>Data!AW117</f>
        <v>7.2282348137350155E-2</v>
      </c>
      <c r="J119" s="77">
        <f>Data!BE117</f>
        <v>5.0106820054178769E-2</v>
      </c>
      <c r="K119" s="77">
        <f>Data!BM117</f>
        <v>3.3590944436035421E-2</v>
      </c>
      <c r="L119" s="675"/>
    </row>
    <row r="120" spans="2:12" ht="16" customHeight="1" x14ac:dyDescent="0.35">
      <c r="B120" s="675"/>
      <c r="C120" s="13">
        <v>45473</v>
      </c>
      <c r="D120" s="626">
        <f>Data!I118</f>
        <v>-2.3810648693718447E-2</v>
      </c>
      <c r="E120" s="626">
        <f>Data!Q118</f>
        <v>-2.0134908409055925E-2</v>
      </c>
      <c r="F120" s="626">
        <f>Data!Y118</f>
        <v>2.5763027831882675E-2</v>
      </c>
      <c r="G120" s="626">
        <f>Data!AG118</f>
        <v>1.9321776897886306E-2</v>
      </c>
      <c r="H120" s="626">
        <f>Data!AO118</f>
        <v>5.468763629656738E-3</v>
      </c>
      <c r="I120" s="626">
        <f>Data!AW118</f>
        <v>-4.7622795281029237E-3</v>
      </c>
      <c r="J120" s="626">
        <f>Data!BE118</f>
        <v>-1.5151805020602333E-2</v>
      </c>
      <c r="K120" s="626">
        <f>Data!BM118</f>
        <v>-6.0241146033807903E-3</v>
      </c>
      <c r="L120" s="675"/>
    </row>
    <row r="121" spans="2:12" x14ac:dyDescent="0.35">
      <c r="B121" s="675" t="s">
        <v>67</v>
      </c>
      <c r="C121" s="30">
        <v>45475</v>
      </c>
      <c r="D121" s="625">
        <f>Data!I119</f>
        <v>0</v>
      </c>
      <c r="E121" s="625">
        <f>Data!Q119</f>
        <v>-3.3955890011382718E-3</v>
      </c>
      <c r="F121" s="625">
        <f>Data!Y119</f>
        <v>-1.5050111202111966E-2</v>
      </c>
      <c r="G121" s="625">
        <f>Data!AG119</f>
        <v>-2.2770596745247718E-2</v>
      </c>
      <c r="H121" s="625">
        <f>Data!AO119</f>
        <v>-1.7685664346275547E-2</v>
      </c>
      <c r="I121" s="625">
        <f>Data!AW119</f>
        <v>-1.5410698072245788E-3</v>
      </c>
      <c r="J121" s="625">
        <f>Data!BE119</f>
        <v>-1.151644206155918E-2</v>
      </c>
      <c r="K121" s="625">
        <f>Data!BM119</f>
        <v>-1.9832839232918217E-2</v>
      </c>
      <c r="L121" s="675">
        <v>58</v>
      </c>
    </row>
    <row r="122" spans="2:12" x14ac:dyDescent="0.35">
      <c r="B122" s="675"/>
      <c r="C122" s="30">
        <v>45476</v>
      </c>
      <c r="D122" s="77">
        <f>Data!I120</f>
        <v>2.3810648693718392E-2</v>
      </c>
      <c r="E122" s="77">
        <f>Data!Q120</f>
        <v>3.3447934067540125E-2</v>
      </c>
      <c r="F122" s="77">
        <f>Data!Y120</f>
        <v>-1.5696315647318729E-2</v>
      </c>
      <c r="G122" s="77">
        <f>Data!AG120</f>
        <v>4.1867281331689455E-4</v>
      </c>
      <c r="H122" s="77">
        <f>Data!AO120</f>
        <v>-1.746594629871916E-2</v>
      </c>
      <c r="I122" s="77">
        <f>Data!AW120</f>
        <v>1.0890513342233517E-2</v>
      </c>
      <c r="J122" s="77">
        <f>Data!BE120</f>
        <v>2.2901764286684414E-2</v>
      </c>
      <c r="K122" s="77">
        <f>Data!BM120</f>
        <v>-5.4075064173929321E-3</v>
      </c>
      <c r="L122" s="675"/>
    </row>
    <row r="123" spans="2:12" x14ac:dyDescent="0.35">
      <c r="B123" s="675"/>
      <c r="C123" s="30">
        <v>45477</v>
      </c>
      <c r="D123" s="77">
        <f>Data!I121</f>
        <v>3.4685557987890109E-2</v>
      </c>
      <c r="E123" s="77">
        <f>Data!Q121</f>
        <v>6.6797480923515756E-2</v>
      </c>
      <c r="F123" s="77">
        <f>Data!Y121</f>
        <v>2.2232286627104157E-2</v>
      </c>
      <c r="G123" s="77">
        <f>Data!AG121</f>
        <v>1.6295964956630344E-2</v>
      </c>
      <c r="H123" s="77">
        <f>Data!AO121</f>
        <v>2.1423213037921034E-2</v>
      </c>
      <c r="I123" s="77">
        <f>Data!AW121</f>
        <v>3.9585922583189378E-3</v>
      </c>
      <c r="J123" s="77">
        <f>Data!BE121</f>
        <v>3.7041271680349076E-2</v>
      </c>
      <c r="K123" s="77">
        <f>Data!BM121</f>
        <v>2.9009667866602994E-2</v>
      </c>
      <c r="L123" s="675"/>
    </row>
    <row r="124" spans="2:12" x14ac:dyDescent="0.35">
      <c r="B124" s="675"/>
      <c r="C124" s="30">
        <v>45480</v>
      </c>
      <c r="D124" s="77">
        <f>Data!I122</f>
        <v>4.4451762570833588E-2</v>
      </c>
      <c r="E124" s="77">
        <f>Data!Q122</f>
        <v>3.9220713153281114E-2</v>
      </c>
      <c r="F124" s="77">
        <f>Data!Y122</f>
        <v>2.2545238321056222E-2</v>
      </c>
      <c r="G124" s="77">
        <f>Data!AG122</f>
        <v>6.5674941033406729E-3</v>
      </c>
      <c r="H124" s="77">
        <f>Data!AO122</f>
        <v>-7.0018120785456748E-3</v>
      </c>
      <c r="I124" s="77">
        <f>Data!AW122</f>
        <v>-3.0235219989479444E-2</v>
      </c>
      <c r="J124" s="77">
        <f>Data!BE122</f>
        <v>2.158357166717461E-2</v>
      </c>
      <c r="K124" s="77">
        <f>Data!BM122</f>
        <v>8.9888245684330605E-3</v>
      </c>
      <c r="L124" s="675"/>
    </row>
    <row r="125" spans="2:12" ht="15.5" customHeight="1" x14ac:dyDescent="0.35">
      <c r="B125" s="675"/>
      <c r="C125" s="30">
        <v>45481</v>
      </c>
      <c r="D125" s="77">
        <f>Data!I123</f>
        <v>0</v>
      </c>
      <c r="E125" s="77">
        <f>Data!Q123</f>
        <v>-1.7910926566530105E-2</v>
      </c>
      <c r="F125" s="77">
        <f>Data!Y123</f>
        <v>-9.6000737290191183E-3</v>
      </c>
      <c r="G125" s="77">
        <f>Data!AG123</f>
        <v>-1.8165428808047421E-2</v>
      </c>
      <c r="H125" s="77">
        <f>Data!AO123</f>
        <v>-3.4528586761618518E-3</v>
      </c>
      <c r="I125" s="77">
        <f>Data!AW123</f>
        <v>-2.6824876419156238E-2</v>
      </c>
      <c r="J125" s="77">
        <f>Data!BE123</f>
        <v>-1.4337163146407331E-2</v>
      </c>
      <c r="K125" s="77">
        <f>Data!BM123</f>
        <v>-2.9873061797353537E-3</v>
      </c>
      <c r="L125" s="675"/>
    </row>
    <row r="126" spans="2:12" x14ac:dyDescent="0.35">
      <c r="B126" s="675"/>
      <c r="C126" s="30">
        <v>45482</v>
      </c>
      <c r="D126" s="77">
        <f>Data!I124</f>
        <v>-1.0929070532190206E-2</v>
      </c>
      <c r="E126" s="77">
        <f>Data!Q124</f>
        <v>-2.4391453124159239E-2</v>
      </c>
      <c r="F126" s="77">
        <f>Data!Y124</f>
        <v>-1.4983070330957533E-2</v>
      </c>
      <c r="G126" s="77">
        <f>Data!AG124</f>
        <v>-1.3316055213926698E-2</v>
      </c>
      <c r="H126" s="77">
        <f>Data!AO124</f>
        <v>-2.6641816744068076E-3</v>
      </c>
      <c r="I126" s="77">
        <f>Data!AW124</f>
        <v>-2.0935670743659359E-3</v>
      </c>
      <c r="J126" s="77">
        <f>Data!BE124</f>
        <v>3.1974304632514106E-2</v>
      </c>
      <c r="K126" s="77">
        <f>Data!BM124</f>
        <v>-2.9962569232343051E-3</v>
      </c>
      <c r="L126" s="675"/>
    </row>
    <row r="127" spans="2:12" x14ac:dyDescent="0.35">
      <c r="B127" s="675"/>
      <c r="C127" s="30">
        <v>45483</v>
      </c>
      <c r="D127" s="77">
        <f>Data!I125</f>
        <v>2.1739986636406038E-2</v>
      </c>
      <c r="E127" s="77">
        <f>Data!Q125</f>
        <v>2.4391453124159263E-2</v>
      </c>
      <c r="F127" s="77">
        <f>Data!Y125</f>
        <v>-1.6333200854409561E-3</v>
      </c>
      <c r="G127" s="77">
        <f>Data!AG125</f>
        <v>5.1587207103487923E-3</v>
      </c>
      <c r="H127" s="77">
        <f>Data!AO125</f>
        <v>-9.2462970304658353E-3</v>
      </c>
      <c r="I127" s="77">
        <f>Data!AW125</f>
        <v>-1.4615394944392089E-2</v>
      </c>
      <c r="J127" s="77">
        <f>Data!BE125</f>
        <v>-3.5026305512021118E-3</v>
      </c>
      <c r="K127" s="77">
        <f>Data!BM125</f>
        <v>2.2989518224698781E-2</v>
      </c>
      <c r="L127" s="675"/>
    </row>
    <row r="128" spans="2:12" x14ac:dyDescent="0.35">
      <c r="B128" s="675"/>
      <c r="C128" s="30">
        <v>45484</v>
      </c>
      <c r="D128" s="77">
        <f>Data!I126</f>
        <v>-2.173998663640599E-2</v>
      </c>
      <c r="E128" s="77">
        <f>Data!Q126</f>
        <v>-2.1309786586751096E-2</v>
      </c>
      <c r="F128" s="77">
        <f>Data!Y126</f>
        <v>-4.9160279259814034E-3</v>
      </c>
      <c r="G128" s="77">
        <f>Data!AG126</f>
        <v>-9.9198787283687109E-3</v>
      </c>
      <c r="H128" s="77">
        <f>Data!AO126</f>
        <v>-6.2120388826524056E-3</v>
      </c>
      <c r="I128" s="77">
        <f>Data!AW126</f>
        <v>-2.3000931252670304E-2</v>
      </c>
      <c r="J128" s="77">
        <f>Data!BE126</f>
        <v>-2.8471674081312001E-2</v>
      </c>
      <c r="K128" s="77">
        <f>Data!BM126</f>
        <v>-2.825466765759968E-2</v>
      </c>
      <c r="L128" s="675"/>
    </row>
    <row r="129" spans="2:12" x14ac:dyDescent="0.35">
      <c r="B129" s="675"/>
      <c r="C129" s="30">
        <v>45487</v>
      </c>
      <c r="D129" s="77">
        <f>Data!I127</f>
        <v>-1.1049836186584935E-2</v>
      </c>
      <c r="E129" s="77">
        <f>Data!Q127</f>
        <v>-9.2736367853291021E-3</v>
      </c>
      <c r="F129" s="77">
        <f>Data!Y127</f>
        <v>4.098366392282185E-3</v>
      </c>
      <c r="G129" s="77">
        <f>Data!AG127</f>
        <v>1.8597856759092382E-2</v>
      </c>
      <c r="H129" s="77">
        <f>Data!AO127</f>
        <v>-5.0247949819662348E-3</v>
      </c>
      <c r="I129" s="77">
        <f>Data!AW127</f>
        <v>-1.2803409400833611E-2</v>
      </c>
      <c r="J129" s="77">
        <f>Data!BE127</f>
        <v>-2.1898685307637573E-2</v>
      </c>
      <c r="K129" s="77">
        <f>Data!BM127</f>
        <v>-1.8265347977293313E-2</v>
      </c>
      <c r="L129" s="675"/>
    </row>
    <row r="130" spans="2:12" x14ac:dyDescent="0.35">
      <c r="B130" s="675"/>
      <c r="C130" s="30">
        <v>45488</v>
      </c>
      <c r="D130" s="77">
        <f>Data!I128</f>
        <v>0</v>
      </c>
      <c r="E130" s="77">
        <f>Data!Q128</f>
        <v>3.1007776782479642E-3</v>
      </c>
      <c r="F130" s="77">
        <f>Data!Y128</f>
        <v>4.0891433814518825E-4</v>
      </c>
      <c r="G130" s="77">
        <f>Data!AG128</f>
        <v>-1.6161543917971193E-2</v>
      </c>
      <c r="H130" s="77">
        <f>Data!AO128</f>
        <v>1.7683470567419492E-3</v>
      </c>
      <c r="I130" s="77">
        <f>Data!AW128</f>
        <v>7.2265458056050197E-2</v>
      </c>
      <c r="J130" s="77">
        <f>Data!BE128</f>
        <v>-7.4074412778619165E-3</v>
      </c>
      <c r="K130" s="77">
        <f>Data!BM128</f>
        <v>-4.6189458562945285E-3</v>
      </c>
      <c r="L130" s="675"/>
    </row>
    <row r="131" spans="2:12" x14ac:dyDescent="0.35">
      <c r="B131" s="675"/>
      <c r="C131" s="30">
        <v>45489</v>
      </c>
      <c r="D131" s="77">
        <f>Data!I129</f>
        <v>1.1049836186584935E-2</v>
      </c>
      <c r="E131" s="77">
        <f>Data!Q129</f>
        <v>2.7482645693832099E-2</v>
      </c>
      <c r="F131" s="77">
        <f>Data!Y129</f>
        <v>1.9032767276440304E-2</v>
      </c>
      <c r="G131" s="77">
        <f>Data!AG129</f>
        <v>1.439024884688265E-2</v>
      </c>
      <c r="H131" s="77">
        <f>Data!AO129</f>
        <v>9.1991990723057516E-3</v>
      </c>
      <c r="I131" s="77">
        <f>Data!AW129</f>
        <v>4.0948169525154052E-2</v>
      </c>
      <c r="J131" s="77">
        <f>Data!BE129</f>
        <v>-1.4981553615616833E-2</v>
      </c>
      <c r="K131" s="77">
        <f>Data!BM129</f>
        <v>-5.4158739730324722E-3</v>
      </c>
      <c r="L131" s="675"/>
    </row>
    <row r="132" spans="2:12" x14ac:dyDescent="0.35">
      <c r="B132" s="675"/>
      <c r="C132" s="30">
        <v>45491</v>
      </c>
      <c r="D132" s="77">
        <f>Data!I130</f>
        <v>0</v>
      </c>
      <c r="E132" s="77">
        <f>Data!Q130</f>
        <v>-6.0423144559626982E-3</v>
      </c>
      <c r="F132" s="77">
        <f>Data!Y130</f>
        <v>9.183534296773219E-3</v>
      </c>
      <c r="G132" s="77">
        <f>Data!AG130</f>
        <v>-2.6417428043963312E-2</v>
      </c>
      <c r="H132" s="77">
        <f>Data!AO130</f>
        <v>-3.5073555447642851E-3</v>
      </c>
      <c r="I132" s="77">
        <f>Data!AW130</f>
        <v>-3.0435795317404098E-2</v>
      </c>
      <c r="J132" s="77">
        <f>Data!BE130</f>
        <v>-1.5209418663528795E-2</v>
      </c>
      <c r="K132" s="77">
        <f>Data!BM130</f>
        <v>-1.4849823486550508E-2</v>
      </c>
      <c r="L132" s="675"/>
    </row>
    <row r="133" spans="2:12" x14ac:dyDescent="0.35">
      <c r="B133" s="675"/>
      <c r="C133" s="30">
        <v>45497</v>
      </c>
      <c r="D133" s="77">
        <f>Data!I131</f>
        <v>-2.2223136784710124E-2</v>
      </c>
      <c r="E133" s="77">
        <f>Data!Q131</f>
        <v>-2.7651531330510008E-2</v>
      </c>
      <c r="F133" s="77">
        <f>Data!Y131</f>
        <v>-9.9861025581507723E-3</v>
      </c>
      <c r="G133" s="77">
        <f>Data!AG131</f>
        <v>-1.2932608311123524E-2</v>
      </c>
      <c r="H133" s="77">
        <f>Data!AO131</f>
        <v>-2.628847990408735E-2</v>
      </c>
      <c r="I133" s="77">
        <f>Data!AW131</f>
        <v>-3.0425417694210109E-2</v>
      </c>
      <c r="J133" s="77">
        <f>Data!BE131</f>
        <v>-2.3256862164267349E-2</v>
      </c>
      <c r="K133" s="77">
        <f>Data!BM131</f>
        <v>-1.507366898572588E-2</v>
      </c>
      <c r="L133" s="675"/>
    </row>
    <row r="134" spans="2:12" x14ac:dyDescent="0.35">
      <c r="B134" s="675"/>
      <c r="C134" s="30">
        <v>45498</v>
      </c>
      <c r="D134" s="77">
        <f>Data!I132</f>
        <v>2.2223136784710041E-2</v>
      </c>
      <c r="E134" s="77">
        <f>Data!Q132</f>
        <v>2.1572485254127763E-2</v>
      </c>
      <c r="F134" s="77">
        <f>Data!Y132</f>
        <v>1.9873468057983623E-2</v>
      </c>
      <c r="G134" s="77">
        <f>Data!AG132</f>
        <v>2.8128692663469325E-2</v>
      </c>
      <c r="H134" s="77">
        <f>Data!AO132</f>
        <v>1.9372729240697502E-2</v>
      </c>
      <c r="I134" s="77">
        <f>Data!AW132</f>
        <v>3.0524563824709553E-3</v>
      </c>
      <c r="J134" s="77">
        <f>Data!BE132</f>
        <v>3.8466280827796143E-2</v>
      </c>
      <c r="K134" s="77">
        <f>Data!BM132</f>
        <v>-7.9968017056429011E-4</v>
      </c>
      <c r="L134" s="675"/>
    </row>
    <row r="135" spans="2:12" x14ac:dyDescent="0.35">
      <c r="B135" s="675"/>
      <c r="C135" s="30">
        <v>45501</v>
      </c>
      <c r="D135" s="77">
        <f>Data!I133</f>
        <v>2.1739986636406038E-2</v>
      </c>
      <c r="E135" s="77">
        <f>Data!Q133</f>
        <v>-2.7822505599299073E-2</v>
      </c>
      <c r="F135" s="77">
        <f>Data!Y133</f>
        <v>1.1348194569101465E-2</v>
      </c>
      <c r="G135" s="77">
        <f>Data!AG133</f>
        <v>-2.5343202582426179E-3</v>
      </c>
      <c r="H135" s="77">
        <f>Data!AO133</f>
        <v>-3.27109464360312E-3</v>
      </c>
      <c r="I135" s="77">
        <f>Data!AW133</f>
        <v>-1.0319343427848821E-2</v>
      </c>
      <c r="J135" s="77">
        <f>Data!BE133</f>
        <v>-1.5209418663528795E-2</v>
      </c>
      <c r="K135" s="77">
        <f>Data!BM133</f>
        <v>-4.0080213975388218E-3</v>
      </c>
      <c r="L135" s="675"/>
    </row>
    <row r="136" spans="2:12" x14ac:dyDescent="0.35">
      <c r="B136" s="675"/>
      <c r="C136" s="30">
        <v>45502</v>
      </c>
      <c r="D136" s="77">
        <f>Data!I134</f>
        <v>-1.081091610421573E-2</v>
      </c>
      <c r="E136" s="77">
        <f>Data!Q134</f>
        <v>-1.5798116876591176E-2</v>
      </c>
      <c r="F136" s="77">
        <f>Data!Y134</f>
        <v>-1.0954726139866196E-2</v>
      </c>
      <c r="G136" s="77">
        <f>Data!AG134</f>
        <v>-9.5202842119510381E-4</v>
      </c>
      <c r="H136" s="77">
        <f>Data!AO134</f>
        <v>-1.2777531813255591E-2</v>
      </c>
      <c r="I136" s="77">
        <f>Data!AW134</f>
        <v>-1.8154067954444516E-2</v>
      </c>
      <c r="J136" s="77">
        <f>Data!BE134</f>
        <v>-3.8387763071657129E-3</v>
      </c>
      <c r="K136" s="77">
        <f>Data!BM134</f>
        <v>-1.2934699332773083E-2</v>
      </c>
      <c r="L136" s="675"/>
    </row>
    <row r="137" spans="2:12" x14ac:dyDescent="0.35">
      <c r="B137" s="675"/>
      <c r="C137" s="30">
        <v>45503</v>
      </c>
      <c r="D137" s="77">
        <f>Data!I135</f>
        <v>-1.0929070532190206E-2</v>
      </c>
      <c r="E137" s="77">
        <f>Data!Q135</f>
        <v>-2.9081209300841737E-2</v>
      </c>
      <c r="F137" s="77">
        <f>Data!Y135</f>
        <v>-1.3465549996587981E-2</v>
      </c>
      <c r="G137" s="77">
        <f>Data!AG135</f>
        <v>-1.6947361327726933E-3</v>
      </c>
      <c r="H137" s="77">
        <f>Data!AO135</f>
        <v>-2.0253503261756432E-2</v>
      </c>
      <c r="I137" s="77">
        <f>Data!AW135</f>
        <v>-2.8968120151570943E-2</v>
      </c>
      <c r="J137" s="77">
        <f>Data!BE135</f>
        <v>-1.5504186535965199E-2</v>
      </c>
      <c r="K137" s="77">
        <f>Data!BM135</f>
        <v>-2.9729687468118812E-2</v>
      </c>
      <c r="L137" s="675"/>
    </row>
    <row r="138" spans="2:12" x14ac:dyDescent="0.35">
      <c r="B138" s="675"/>
      <c r="C138" s="30">
        <v>45504</v>
      </c>
      <c r="D138" s="77">
        <f>Data!I136</f>
        <v>0</v>
      </c>
      <c r="E138" s="77">
        <f>Data!Q136</f>
        <v>-9.8847592325419734E-3</v>
      </c>
      <c r="F138" s="77">
        <f>Data!Y136</f>
        <v>6.7554399566488567E-3</v>
      </c>
      <c r="G138" s="77">
        <f>Data!AG136</f>
        <v>5.0756162681058949E-3</v>
      </c>
      <c r="H138" s="77">
        <f>Data!AO136</f>
        <v>1.9734993718375903E-3</v>
      </c>
      <c r="I138" s="77">
        <f>Data!AW136</f>
        <v>1.7681693290506804E-2</v>
      </c>
      <c r="J138" s="77">
        <f>Data!BE136</f>
        <v>-2.7724548014854973E-2</v>
      </c>
      <c r="K138" s="77">
        <f>Data!BM136</f>
        <v>1.6750422676948956E-3</v>
      </c>
      <c r="L138" s="675"/>
    </row>
    <row r="139" spans="2:12" x14ac:dyDescent="0.35">
      <c r="B139" s="675"/>
      <c r="C139" s="30">
        <v>45505</v>
      </c>
      <c r="D139" s="77">
        <f>Data!I137</f>
        <v>-1.1049836186584935E-2</v>
      </c>
      <c r="E139" s="77">
        <f>Data!Q137</f>
        <v>-3.316752625993815E-3</v>
      </c>
      <c r="F139" s="77">
        <f>Data!Y137</f>
        <v>9.0676749825937732E-3</v>
      </c>
      <c r="G139" s="77">
        <f>Data!AG137</f>
        <v>-7.6231179111934883E-3</v>
      </c>
      <c r="H139" s="77">
        <f>Data!AO137</f>
        <v>-2.8169014270784025E-4</v>
      </c>
      <c r="I139" s="77">
        <f>Data!AW137</f>
        <v>1.0295673807762178E-2</v>
      </c>
      <c r="J139" s="77">
        <f>Data!BE137</f>
        <v>0</v>
      </c>
      <c r="K139" s="77">
        <f>Data!BM137</f>
        <v>2.5073143097835457E-3</v>
      </c>
      <c r="L139" s="675"/>
    </row>
    <row r="140" spans="2:12" x14ac:dyDescent="0.35">
      <c r="B140" s="675"/>
      <c r="C140" s="30">
        <v>45508</v>
      </c>
      <c r="D140" s="77">
        <f>Data!I138</f>
        <v>-2.2472855852058514E-2</v>
      </c>
      <c r="E140" s="77">
        <f>Data!Q138</f>
        <v>-3.0356462480594069E-2</v>
      </c>
      <c r="F140" s="77">
        <f>Data!Y138</f>
        <v>-3.0281198114472663E-2</v>
      </c>
      <c r="G140" s="77">
        <f>Data!AG138</f>
        <v>-2.7475735793178205E-2</v>
      </c>
      <c r="H140" s="77">
        <f>Data!AO138</f>
        <v>-3.0318352494687586E-2</v>
      </c>
      <c r="I140" s="77">
        <f>Data!AW138</f>
        <v>-3.0358725597335524E-2</v>
      </c>
      <c r="J140" s="77">
        <f>Data!BE138</f>
        <v>-2.8515170308021233E-2</v>
      </c>
      <c r="K140" s="77">
        <f>Data!BM138</f>
        <v>-2.9650626156730229E-2</v>
      </c>
      <c r="L140" s="675"/>
    </row>
    <row r="141" spans="2:12" x14ac:dyDescent="0.35">
      <c r="B141" s="675"/>
      <c r="C141" s="30">
        <v>45510</v>
      </c>
      <c r="D141" s="77">
        <f>Data!I139</f>
        <v>6.595796779179737E-2</v>
      </c>
      <c r="E141" s="77">
        <f>Data!Q139</f>
        <v>9.4687320861734176E-2</v>
      </c>
      <c r="F141" s="77">
        <f>Data!Y139</f>
        <v>8.3769883065458947E-2</v>
      </c>
      <c r="G141" s="77">
        <f>Data!AG139</f>
        <v>5.4113216785721119E-2</v>
      </c>
      <c r="H141" s="77">
        <f>Data!AO139</f>
        <v>5.4258257105358497E-2</v>
      </c>
      <c r="I141" s="77">
        <f>Data!AW139</f>
        <v>5.9341542249870413E-2</v>
      </c>
      <c r="J141" s="77">
        <f>Data!BE139</f>
        <v>9.455858262501278E-2</v>
      </c>
      <c r="K141" s="77">
        <f>Data!BM139</f>
        <v>9.5075649060178263E-2</v>
      </c>
      <c r="L141" s="675"/>
    </row>
    <row r="142" spans="2:12" x14ac:dyDescent="0.35">
      <c r="B142" s="675"/>
      <c r="C142" s="30">
        <v>45511</v>
      </c>
      <c r="D142" s="77">
        <f>Data!I140</f>
        <v>9.1434205959631851E-2</v>
      </c>
      <c r="E142" s="77">
        <f>Data!Q140</f>
        <v>9.5026933803280714E-2</v>
      </c>
      <c r="F142" s="77">
        <f>Data!Y140</f>
        <v>8.381306346820587E-2</v>
      </c>
      <c r="G142" s="77">
        <f>Data!AG140</f>
        <v>-2.9018571508417205E-3</v>
      </c>
      <c r="H142" s="77">
        <f>Data!AO140</f>
        <v>5.2509718320347447E-2</v>
      </c>
      <c r="I142" s="77">
        <f>Data!AW140</f>
        <v>1.2598842991036877E-2</v>
      </c>
      <c r="J142" s="77">
        <f>Data!BE140</f>
        <v>8.2930379330732953E-2</v>
      </c>
      <c r="K142" s="77">
        <f>Data!BM140</f>
        <v>9.4670270791767361E-2</v>
      </c>
      <c r="L142" s="675"/>
    </row>
    <row r="143" spans="2:12" x14ac:dyDescent="0.35">
      <c r="B143" s="675"/>
      <c r="C143" s="30">
        <v>45512</v>
      </c>
      <c r="D143" s="77">
        <f>Data!I141</f>
        <v>9.2658830482704763E-2</v>
      </c>
      <c r="E143" s="77">
        <f>Data!Q141</f>
        <v>9.4537282689976757E-2</v>
      </c>
      <c r="F143" s="77">
        <f>Data!Y141</f>
        <v>8.364158198541527E-2</v>
      </c>
      <c r="G143" s="77">
        <f>Data!AG141</f>
        <v>3.4479139553401046E-2</v>
      </c>
      <c r="H143" s="77">
        <f>Data!AO141</f>
        <v>-1.5783571116773434E-2</v>
      </c>
      <c r="I143" s="77">
        <f>Data!AW141</f>
        <v>5.29322042066286E-2</v>
      </c>
      <c r="J143" s="77">
        <f>Data!BE141</f>
        <v>9.2475085764848391E-2</v>
      </c>
      <c r="K143" s="77">
        <f>Data!BM141</f>
        <v>9.4922156776757124E-2</v>
      </c>
      <c r="L143" s="675"/>
    </row>
    <row r="144" spans="2:12" x14ac:dyDescent="0.35">
      <c r="B144" s="675"/>
      <c r="C144" s="30">
        <v>45515</v>
      </c>
      <c r="D144" s="77">
        <f>Data!I142</f>
        <v>9.2893746892696236E-2</v>
      </c>
      <c r="E144" s="77">
        <f>Data!Q142</f>
        <v>8.1627494059108102E-2</v>
      </c>
      <c r="F144" s="77">
        <f>Data!Y142</f>
        <v>8.3859782827285054E-2</v>
      </c>
      <c r="G144" s="77">
        <f>Data!AG142</f>
        <v>-2.0360288024236773E-2</v>
      </c>
      <c r="H144" s="77">
        <f>Data!AO142</f>
        <v>9.5000054756313075E-3</v>
      </c>
      <c r="I144" s="77">
        <f>Data!AW142</f>
        <v>2.6403194989961975E-2</v>
      </c>
      <c r="J144" s="77">
        <f>Data!BE142</f>
        <v>-1.5898586067798273E-2</v>
      </c>
      <c r="K144" s="77">
        <f>Data!BM142</f>
        <v>0</v>
      </c>
      <c r="L144" s="675"/>
    </row>
    <row r="145" spans="2:12" x14ac:dyDescent="0.35">
      <c r="B145" s="675"/>
      <c r="C145" s="30">
        <v>45516</v>
      </c>
      <c r="D145" s="77">
        <f>Data!I143</f>
        <v>2.3905520853554386E-2</v>
      </c>
      <c r="E145" s="77">
        <f>Data!Q143</f>
        <v>-2.891767763957977E-2</v>
      </c>
      <c r="F145" s="77">
        <f>Data!Y143</f>
        <v>2.8243212313394939E-2</v>
      </c>
      <c r="G145" s="77">
        <f>Data!AG143</f>
        <v>-2.2142653239527629E-2</v>
      </c>
      <c r="H145" s="77">
        <f>Data!AO143</f>
        <v>-1.601728597562959E-2</v>
      </c>
      <c r="I145" s="77">
        <f>Data!AW143</f>
        <v>-3.0318862643622393E-2</v>
      </c>
      <c r="J145" s="77">
        <f>Data!BE143</f>
        <v>-2.9270382300113224E-2</v>
      </c>
      <c r="K145" s="77">
        <f>Data!BM143</f>
        <v>-2.9539397513905372E-2</v>
      </c>
      <c r="L145" s="675"/>
    </row>
    <row r="146" spans="2:12" x14ac:dyDescent="0.35">
      <c r="B146" s="675"/>
      <c r="C146" s="30">
        <v>45517</v>
      </c>
      <c r="D146" s="77">
        <f>Data!I144</f>
        <v>3.1010236742560218E-2</v>
      </c>
      <c r="E146" s="77">
        <f>Data!Q144</f>
        <v>-2.9778875355611242E-2</v>
      </c>
      <c r="F146" s="77">
        <f>Data!Y144</f>
        <v>0</v>
      </c>
      <c r="G146" s="77">
        <f>Data!AG144</f>
        <v>-1.2562815722615588E-3</v>
      </c>
      <c r="H146" s="77">
        <f>Data!AO144</f>
        <v>1.3782354393938068E-2</v>
      </c>
      <c r="I146" s="77">
        <f>Data!AW144</f>
        <v>-3.0333207946540201E-2</v>
      </c>
      <c r="J146" s="77">
        <f>Data!BE144</f>
        <v>-1.3289232118682765E-2</v>
      </c>
      <c r="K146" s="77">
        <f>Data!BM144</f>
        <v>-2.7695116931079747E-2</v>
      </c>
      <c r="L146" s="675"/>
    </row>
    <row r="147" spans="2:12" x14ac:dyDescent="0.35">
      <c r="B147" s="675"/>
      <c r="C147" s="30">
        <v>45518</v>
      </c>
      <c r="D147" s="77">
        <f>Data!I145</f>
        <v>7.3562567177016647E-2</v>
      </c>
      <c r="E147" s="77">
        <f>Data!Q145</f>
        <v>4.1929693138123766E-2</v>
      </c>
      <c r="F147" s="77">
        <f>Data!Y145</f>
        <v>0.1058667166304172</v>
      </c>
      <c r="G147" s="77">
        <f>Data!AG145</f>
        <v>-3.0425454934984355E-3</v>
      </c>
      <c r="H147" s="77">
        <f>Data!AO145</f>
        <v>0.12013760697670246</v>
      </c>
      <c r="I147" s="77">
        <f>Data!AW145</f>
        <v>2.175264996955644E-3</v>
      </c>
      <c r="J147" s="77">
        <f>Data!BE145</f>
        <v>0</v>
      </c>
      <c r="K147" s="77">
        <f>Data!BM145</f>
        <v>3.5657999085973786E-2</v>
      </c>
      <c r="L147" s="675"/>
    </row>
    <row r="148" spans="2:12" x14ac:dyDescent="0.35">
      <c r="B148" s="675"/>
      <c r="C148" s="30">
        <v>45519</v>
      </c>
      <c r="D148" s="77">
        <f>Data!I146</f>
        <v>-2.8778964550043404E-2</v>
      </c>
      <c r="E148" s="77">
        <f>Data!Q146</f>
        <v>2.6223195099102561E-2</v>
      </c>
      <c r="F148" s="77">
        <f>Data!Y146</f>
        <v>-5.8185829328559324E-3</v>
      </c>
      <c r="G148" s="77">
        <f>Data!AG146</f>
        <v>-1.3669104699173102E-3</v>
      </c>
      <c r="H148" s="77">
        <f>Data!AO146</f>
        <v>-8.2173073581767314E-2</v>
      </c>
      <c r="I148" s="77">
        <f>Data!AW146</f>
        <v>7.5763794958395034E-3</v>
      </c>
      <c r="J148" s="77">
        <f>Data!BE146</f>
        <v>0</v>
      </c>
      <c r="K148" s="77">
        <f>Data!BM146</f>
        <v>8.6074608771242983E-2</v>
      </c>
      <c r="L148" s="675"/>
    </row>
    <row r="149" spans="2:12" x14ac:dyDescent="0.35">
      <c r="B149" s="675"/>
      <c r="C149" s="30">
        <v>45522</v>
      </c>
      <c r="D149" s="77">
        <f>Data!I147</f>
        <v>-2.9631797606371E-2</v>
      </c>
      <c r="E149" s="77">
        <f>Data!Q147</f>
        <v>-2.8641575963384153E-2</v>
      </c>
      <c r="F149" s="77">
        <f>Data!Y147</f>
        <v>-3.0431862292675273E-2</v>
      </c>
      <c r="G149" s="77">
        <f>Data!AG147</f>
        <v>-1.1641575015485755E-2</v>
      </c>
      <c r="H149" s="77">
        <f>Data!AO147</f>
        <v>-2.0482026814284442E-2</v>
      </c>
      <c r="I149" s="77">
        <f>Data!AW147</f>
        <v>-2.9703606317261877E-2</v>
      </c>
      <c r="J149" s="77">
        <f>Data!BE147</f>
        <v>-2.3689771122404665E-2</v>
      </c>
      <c r="K149" s="77">
        <f>Data!BM147</f>
        <v>3.3396067158018149E-2</v>
      </c>
      <c r="L149" s="675"/>
    </row>
    <row r="150" spans="2:12" x14ac:dyDescent="0.35">
      <c r="B150" s="675"/>
      <c r="C150" s="30">
        <v>45523</v>
      </c>
      <c r="D150" s="77">
        <f>Data!I148</f>
        <v>1.4925650216675574E-2</v>
      </c>
      <c r="E150" s="77">
        <f>Data!Q148</f>
        <v>-2.9486165654463426E-2</v>
      </c>
      <c r="F150" s="77">
        <f>Data!Y148</f>
        <v>-3.0259074719911041E-2</v>
      </c>
      <c r="G150" s="77">
        <f>Data!AG148</f>
        <v>-3.6258971153026701E-3</v>
      </c>
      <c r="H150" s="77">
        <f>Data!AO148</f>
        <v>-6.4876314223714197E-3</v>
      </c>
      <c r="I150" s="77">
        <f>Data!AW148</f>
        <v>-9.8868609537465842E-3</v>
      </c>
      <c r="J150" s="77">
        <f>Data!BE148</f>
        <v>-3.4305350967891368E-3</v>
      </c>
      <c r="K150" s="77">
        <f>Data!BM148</f>
        <v>1.3399559646383929E-2</v>
      </c>
      <c r="L150" s="675"/>
    </row>
    <row r="151" spans="2:12" x14ac:dyDescent="0.35">
      <c r="B151" s="675"/>
      <c r="C151" s="30">
        <v>45524</v>
      </c>
      <c r="D151" s="77">
        <f>Data!I149</f>
        <v>7.38010729762246E-3</v>
      </c>
      <c r="E151" s="77">
        <f>Data!Q149</f>
        <v>-3.0382083688122917E-2</v>
      </c>
      <c r="F151" s="77">
        <f>Data!Y149</f>
        <v>-3.0040880090946364E-2</v>
      </c>
      <c r="G151" s="77">
        <f>Data!AG149</f>
        <v>9.0402104639721644E-3</v>
      </c>
      <c r="H151" s="77">
        <f>Data!AO149</f>
        <v>-1.7597302417409387E-2</v>
      </c>
      <c r="I151" s="77">
        <f>Data!AW149</f>
        <v>-6.1083617030790746E-3</v>
      </c>
      <c r="J151" s="77">
        <f>Data!BE149</f>
        <v>-1.7331456351639976E-2</v>
      </c>
      <c r="K151" s="77">
        <f>Data!BM149</f>
        <v>-2.9958187540792259E-2</v>
      </c>
      <c r="L151" s="675"/>
    </row>
    <row r="152" spans="2:12" x14ac:dyDescent="0.35">
      <c r="B152" s="675"/>
      <c r="C152" s="30">
        <v>45525</v>
      </c>
      <c r="D152" s="77">
        <f>Data!I150</f>
        <v>2.1819047394639888E-2</v>
      </c>
      <c r="E152" s="77">
        <f>Data!Q150</f>
        <v>-2.8685147998858664E-2</v>
      </c>
      <c r="F152" s="77">
        <f>Data!Y150</f>
        <v>-3.0372377367777707E-2</v>
      </c>
      <c r="G152" s="77">
        <f>Data!AG150</f>
        <v>-7.5456014529584657E-3</v>
      </c>
      <c r="H152" s="77">
        <f>Data!AO150</f>
        <v>-1.9127179786541635E-2</v>
      </c>
      <c r="I152" s="77">
        <f>Data!AW150</f>
        <v>-2.9618462195946414E-2</v>
      </c>
      <c r="J152" s="77">
        <f>Data!BE150</f>
        <v>-2.8370697129215576E-2</v>
      </c>
      <c r="K152" s="77">
        <f>Data!BM150</f>
        <v>-3.0268654604171063E-2</v>
      </c>
      <c r="L152" s="675"/>
    </row>
    <row r="153" spans="2:12" x14ac:dyDescent="0.35">
      <c r="B153" s="675"/>
      <c r="C153" s="30">
        <v>45526</v>
      </c>
      <c r="D153" s="77">
        <f>Data!I151</f>
        <v>7.168489478612497E-3</v>
      </c>
      <c r="E153" s="77">
        <f>Data!Q151</f>
        <v>1.8349138668196617E-2</v>
      </c>
      <c r="F153" s="77">
        <f>Data!Y151</f>
        <v>3.5875649765408427E-2</v>
      </c>
      <c r="G153" s="77">
        <f>Data!AG151</f>
        <v>1.4614259887966335E-2</v>
      </c>
      <c r="H153" s="77">
        <f>Data!AO151</f>
        <v>2.9670240018410371E-2</v>
      </c>
      <c r="I153" s="77">
        <f>Data!AW151</f>
        <v>1.7941391465809309E-2</v>
      </c>
      <c r="J153" s="77">
        <f>Data!BE151</f>
        <v>7.168489478612497E-3</v>
      </c>
      <c r="K153" s="77">
        <f>Data!BM151</f>
        <v>9.3240654217406668E-2</v>
      </c>
      <c r="L153" s="675"/>
    </row>
    <row r="154" spans="2:12" x14ac:dyDescent="0.35">
      <c r="B154" s="675"/>
      <c r="C154" s="30">
        <v>45529</v>
      </c>
      <c r="D154" s="77">
        <f>Data!I152</f>
        <v>3.5091319811270193E-2</v>
      </c>
      <c r="E154" s="77">
        <f>Data!Q152</f>
        <v>1.2903404835907782E-2</v>
      </c>
      <c r="F154" s="77">
        <f>Data!Y152</f>
        <v>-2.7527360373937132E-2</v>
      </c>
      <c r="G154" s="77">
        <f>Data!AG152</f>
        <v>2.1023862160891648E-4</v>
      </c>
      <c r="H154" s="77">
        <f>Data!AO152</f>
        <v>-1.0410583580684805E-2</v>
      </c>
      <c r="I154" s="77">
        <f>Data!AW152</f>
        <v>2.9257833595453198E-2</v>
      </c>
      <c r="J154" s="77">
        <f>Data!BE152</f>
        <v>-2.1661496781179419E-2</v>
      </c>
      <c r="K154" s="77">
        <f>Data!BM152</f>
        <v>4.7562941007644313E-2</v>
      </c>
      <c r="L154" s="675"/>
    </row>
    <row r="155" spans="2:12" x14ac:dyDescent="0.35">
      <c r="B155" s="675"/>
      <c r="C155" s="30">
        <v>45531</v>
      </c>
      <c r="D155" s="77">
        <f>Data!I153</f>
        <v>-2.797385204240618E-2</v>
      </c>
      <c r="E155" s="77">
        <f>Data!Q153</f>
        <v>5.1151006667704089E-3</v>
      </c>
      <c r="F155" s="77">
        <f>Data!Y153</f>
        <v>-2.1002872242673148E-2</v>
      </c>
      <c r="G155" s="77">
        <f>Data!AG153</f>
        <v>-4.2052145279083172E-4</v>
      </c>
      <c r="H155" s="77">
        <f>Data!AO153</f>
        <v>-9.3160109479572418E-3</v>
      </c>
      <c r="I155" s="77">
        <f>Data!AW153</f>
        <v>4.4261849055613825E-3</v>
      </c>
      <c r="J155" s="77">
        <f>Data!BE153</f>
        <v>0</v>
      </c>
      <c r="K155" s="77">
        <f>Data!BM153</f>
        <v>-2.1378949885257608E-3</v>
      </c>
      <c r="L155" s="675"/>
    </row>
    <row r="156" spans="2:12" x14ac:dyDescent="0.35">
      <c r="B156" s="675"/>
      <c r="C156" s="30">
        <v>45532</v>
      </c>
      <c r="D156" s="77">
        <f>Data!I154</f>
        <v>-2.8778964550043404E-2</v>
      </c>
      <c r="E156" s="77">
        <f>Data!Q154</f>
        <v>0</v>
      </c>
      <c r="F156" s="77">
        <f>Data!Y154</f>
        <v>5.6298938067229708E-2</v>
      </c>
      <c r="G156" s="77">
        <f>Data!AG154</f>
        <v>-1.1634187281340766E-2</v>
      </c>
      <c r="H156" s="77">
        <f>Data!AO154</f>
        <v>1.8677276489024404E-2</v>
      </c>
      <c r="I156" s="77">
        <f>Data!AW154</f>
        <v>5.9547775757046291E-2</v>
      </c>
      <c r="J156" s="77">
        <f>Data!BE154</f>
        <v>2.5226562945675563E-2</v>
      </c>
      <c r="K156" s="77">
        <f>Data!BM154</f>
        <v>3.9858448596983898E-2</v>
      </c>
      <c r="L156" s="675"/>
    </row>
    <row r="157" spans="2:12" x14ac:dyDescent="0.35">
      <c r="B157" s="675"/>
      <c r="C157" s="30">
        <v>45533</v>
      </c>
      <c r="D157" s="77">
        <f>Data!I155</f>
        <v>-1.4706147389695449E-2</v>
      </c>
      <c r="E157" s="77">
        <f>Data!Q155</f>
        <v>1.7699577099400857E-2</v>
      </c>
      <c r="F157" s="77">
        <f>Data!Y155</f>
        <v>-1.4143690819330061E-2</v>
      </c>
      <c r="G157" s="77">
        <f>Data!AG155</f>
        <v>1.1423860221989284E-2</v>
      </c>
      <c r="H157" s="77">
        <f>Data!AO155</f>
        <v>-1.1818004133003681E-3</v>
      </c>
      <c r="I157" s="77">
        <f>Data!AW155</f>
        <v>3.504519825020088E-2</v>
      </c>
      <c r="J157" s="77">
        <f>Data!BE155</f>
        <v>4.1817939683321412E-2</v>
      </c>
      <c r="K157" s="77">
        <f>Data!BM155</f>
        <v>3.3370133720105402E-2</v>
      </c>
      <c r="L157" s="675"/>
    </row>
    <row r="158" spans="2:12" x14ac:dyDescent="0.35">
      <c r="B158" s="675"/>
      <c r="C158" s="30">
        <v>45536</v>
      </c>
      <c r="D158" s="77">
        <f>Data!I156</f>
        <v>-5.3244514518812243E-2</v>
      </c>
      <c r="E158" s="77">
        <f>Data!Q156</f>
        <v>1.7391742711869239E-2</v>
      </c>
      <c r="F158" s="77">
        <f>Data!Y156</f>
        <v>-2.6197075089942354E-3</v>
      </c>
      <c r="G158" s="77">
        <f>Data!AG156</f>
        <v>-1.1317482901533615E-2</v>
      </c>
      <c r="H158" s="77">
        <f>Data!AO156</f>
        <v>1.0326214232297995E-2</v>
      </c>
      <c r="I158" s="77">
        <f>Data!AW156</f>
        <v>4.1526514891144428E-3</v>
      </c>
      <c r="J158" s="77">
        <f>Data!BE156</f>
        <v>3.4071583216141346E-3</v>
      </c>
      <c r="K158" s="77">
        <f>Data!BM156</f>
        <v>2.9882213606721553E-2</v>
      </c>
      <c r="L158" s="675"/>
    </row>
    <row r="159" spans="2:12" x14ac:dyDescent="0.35">
      <c r="B159" s="675"/>
      <c r="C159" s="30">
        <v>45537</v>
      </c>
      <c r="D159" s="77">
        <f>Data!I157</f>
        <v>3.0771658666753472E-2</v>
      </c>
      <c r="E159" s="77">
        <f>Data!Q157</f>
        <v>-2.2416878914542145E-2</v>
      </c>
      <c r="F159" s="77">
        <f>Data!Y157</f>
        <v>-5.8309039552946083E-4</v>
      </c>
      <c r="G159" s="77">
        <f>Data!AG157</f>
        <v>-9.5780351067321543E-4</v>
      </c>
      <c r="H159" s="77">
        <f>Data!AO157</f>
        <v>1.5592518751646038E-3</v>
      </c>
      <c r="I159" s="77">
        <f>Data!AW157</f>
        <v>8.5373313075820158E-3</v>
      </c>
      <c r="J159" s="77">
        <f>Data!BE157</f>
        <v>-2.7587956518828938E-2</v>
      </c>
      <c r="K159" s="77">
        <f>Data!BM157</f>
        <v>-2.839153010086596E-2</v>
      </c>
      <c r="L159" s="675"/>
    </row>
    <row r="160" spans="2:12" x14ac:dyDescent="0.35">
      <c r="B160" s="675"/>
      <c r="C160" s="30">
        <v>45538</v>
      </c>
      <c r="D160" s="77">
        <f>Data!I158</f>
        <v>-2.2989518224698604E-2</v>
      </c>
      <c r="E160" s="77">
        <f>Data!Q158</f>
        <v>-5.0505157860685915E-3</v>
      </c>
      <c r="F160" s="77">
        <f>Data!Y158</f>
        <v>1.4570889945004579E-3</v>
      </c>
      <c r="G160" s="77">
        <f>Data!AG158</f>
        <v>3.2952461388784781E-3</v>
      </c>
      <c r="H160" s="77">
        <f>Data!AO158</f>
        <v>5.0013587311260072E-2</v>
      </c>
      <c r="I160" s="77">
        <f>Data!AW158</f>
        <v>3.2478985571214952E-2</v>
      </c>
      <c r="J160" s="77">
        <f>Data!BE158</f>
        <v>1.0434877292579494E-2</v>
      </c>
      <c r="K160" s="77">
        <f>Data!BM158</f>
        <v>1.0373024598187659E-2</v>
      </c>
      <c r="L160" s="675"/>
    </row>
    <row r="161" spans="2:12" x14ac:dyDescent="0.35">
      <c r="B161" s="675"/>
      <c r="C161" s="30">
        <v>45539</v>
      </c>
      <c r="D161" s="77">
        <f>Data!I159</f>
        <v>-5.5791359628415658E-2</v>
      </c>
      <c r="E161" s="77">
        <f>Data!Q159</f>
        <v>-1.2739025777429714E-2</v>
      </c>
      <c r="F161" s="77">
        <f>Data!Y159</f>
        <v>-9.0683669565150612E-3</v>
      </c>
      <c r="G161" s="77">
        <f>Data!AG159</f>
        <v>-2.4438199486608897E-3</v>
      </c>
      <c r="H161" s="77">
        <f>Data!AO159</f>
        <v>-1.6939002597536213E-2</v>
      </c>
      <c r="I161" s="77">
        <f>Data!AW159</f>
        <v>-2.795537028025713E-2</v>
      </c>
      <c r="J161" s="77">
        <f>Data!BE159</f>
        <v>-1.3937507843781624E-2</v>
      </c>
      <c r="K161" s="77">
        <f>Data!BM159</f>
        <v>-2.9927420541473144E-2</v>
      </c>
      <c r="L161" s="675"/>
    </row>
    <row r="162" spans="2:12" x14ac:dyDescent="0.35">
      <c r="B162" s="675"/>
      <c r="C162" s="30">
        <v>45540</v>
      </c>
      <c r="D162" s="77">
        <f>Data!I160</f>
        <v>8.1633106391610557E-3</v>
      </c>
      <c r="E162" s="77">
        <f>Data!Q160</f>
        <v>-7.7220460939102778E-3</v>
      </c>
      <c r="F162" s="77">
        <f>Data!Y160</f>
        <v>-5.5989537747918776E-3</v>
      </c>
      <c r="G162" s="77">
        <f>Data!AG160</f>
        <v>5.1992265245306389E-3</v>
      </c>
      <c r="H162" s="77">
        <f>Data!AO160</f>
        <v>-1.3404348398856708E-2</v>
      </c>
      <c r="I162" s="77">
        <f>Data!AW160</f>
        <v>-4.899469848430265E-2</v>
      </c>
      <c r="J162" s="77">
        <f>Data!BE160</f>
        <v>1.3937507843781678E-2</v>
      </c>
      <c r="K162" s="77">
        <f>Data!BM160</f>
        <v>5.2760571839691926E-2</v>
      </c>
      <c r="L162" s="675"/>
    </row>
    <row r="163" spans="2:12" x14ac:dyDescent="0.35">
      <c r="B163" s="675"/>
      <c r="C163" s="30">
        <v>45543</v>
      </c>
      <c r="D163" s="77">
        <f>Data!I161</f>
        <v>-5.8594164266052941E-2</v>
      </c>
      <c r="E163" s="77">
        <f>Data!Q161</f>
        <v>-2.8835549639887381E-2</v>
      </c>
      <c r="F163" s="77">
        <f>Data!Y161</f>
        <v>5.0110642810816345E-3</v>
      </c>
      <c r="G163" s="77">
        <f>Data!AG161</f>
        <v>-5.199226524530638E-3</v>
      </c>
      <c r="H163" s="77">
        <f>Data!AO161</f>
        <v>7.7357560327347549E-3</v>
      </c>
      <c r="I163" s="77">
        <f>Data!AW161</f>
        <v>-2.9157460778251078E-2</v>
      </c>
      <c r="J163" s="77">
        <f>Data!BE161</f>
        <v>-2.4519617174318498E-2</v>
      </c>
      <c r="K163" s="77">
        <f>Data!BM161</f>
        <v>1.3832798673406475E-2</v>
      </c>
      <c r="L163" s="675"/>
    </row>
    <row r="164" spans="2:12" x14ac:dyDescent="0.35">
      <c r="B164" s="675"/>
      <c r="C164" s="30">
        <v>45544</v>
      </c>
      <c r="D164" s="77">
        <f>Data!I162</f>
        <v>-9.015109699429745E-2</v>
      </c>
      <c r="E164" s="77">
        <f>Data!Q162</f>
        <v>-8.010723746079083E-3</v>
      </c>
      <c r="F164" s="77">
        <f>Data!Y162</f>
        <v>-4.1249321894238078E-3</v>
      </c>
      <c r="G164" s="77">
        <f>Data!AG162</f>
        <v>-5.4403035667795622E-3</v>
      </c>
      <c r="H164" s="77">
        <f>Data!AO162</f>
        <v>-1.2073604120844909E-2</v>
      </c>
      <c r="I164" s="77">
        <f>Data!AW162</f>
        <v>-1.2121360532344963E-2</v>
      </c>
      <c r="J164" s="77">
        <f>Data!BE162</f>
        <v>-3.5524016043677721E-3</v>
      </c>
      <c r="K164" s="77">
        <f>Data!BM162</f>
        <v>5.6684138549354633E-3</v>
      </c>
      <c r="L164" s="675"/>
    </row>
    <row r="165" spans="2:12" x14ac:dyDescent="0.35">
      <c r="B165" s="675"/>
      <c r="C165" s="30">
        <v>45545</v>
      </c>
      <c r="D165" s="77">
        <f>Data!I163</f>
        <v>5.5059777183027389E-2</v>
      </c>
      <c r="E165" s="77">
        <f>Data!Q163</f>
        <v>0</v>
      </c>
      <c r="F165" s="77">
        <f>Data!Y163</f>
        <v>3.242449414105618E-3</v>
      </c>
      <c r="G165" s="77">
        <f>Data!AG163</f>
        <v>3.949831663047354E-3</v>
      </c>
      <c r="H165" s="77">
        <f>Data!AO163</f>
        <v>7.5154802503134511E-3</v>
      </c>
      <c r="I165" s="77">
        <f>Data!AW163</f>
        <v>6.3091691932647556E-3</v>
      </c>
      <c r="J165" s="77">
        <f>Data!BE163</f>
        <v>-7.1428875123802247E-3</v>
      </c>
      <c r="K165" s="77">
        <f>Data!BM163</f>
        <v>0</v>
      </c>
      <c r="L165" s="675"/>
    </row>
    <row r="166" spans="2:12" x14ac:dyDescent="0.35">
      <c r="B166" s="675"/>
      <c r="C166" s="30">
        <v>45546</v>
      </c>
      <c r="D166" s="77">
        <f>Data!I164</f>
        <v>-1.801850550267825E-2</v>
      </c>
      <c r="E166" s="77">
        <f>Data!Q164</f>
        <v>8.010723746078979E-3</v>
      </c>
      <c r="F166" s="77">
        <f>Data!Y164</f>
        <v>-1.0056281139038723E-2</v>
      </c>
      <c r="G166" s="77">
        <f>Data!AG164</f>
        <v>-3.8428740716302543E-3</v>
      </c>
      <c r="H166" s="77">
        <f>Data!AO164</f>
        <v>5.0748542068593629E-4</v>
      </c>
      <c r="I166" s="77">
        <f>Data!AW164</f>
        <v>-1.4991394275080002E-2</v>
      </c>
      <c r="J166" s="77">
        <f>Data!BE164</f>
        <v>7.1428875123802039E-3</v>
      </c>
      <c r="K166" s="77">
        <f>Data!BM164</f>
        <v>-3.8410866885634082E-2</v>
      </c>
      <c r="L166" s="675"/>
    </row>
    <row r="167" spans="2:12" x14ac:dyDescent="0.35">
      <c r="B167" s="675"/>
      <c r="C167" s="30">
        <v>45547</v>
      </c>
      <c r="D167" s="77">
        <f>Data!I165</f>
        <v>3.5718082602079246E-2</v>
      </c>
      <c r="E167" s="77">
        <f>Data!Q165</f>
        <v>2.6560440581162104E-3</v>
      </c>
      <c r="F167" s="77">
        <f>Data!Y165</f>
        <v>-1.4371504837652899E-2</v>
      </c>
      <c r="G167" s="77">
        <f>Data!AG165</f>
        <v>-2.0341530487106366E-3</v>
      </c>
      <c r="H167" s="77">
        <f>Data!AO165</f>
        <v>-3.4305350967891368E-3</v>
      </c>
      <c r="I167" s="77">
        <f>Data!AW165</f>
        <v>3.1094552416849911E-3</v>
      </c>
      <c r="J167" s="77">
        <f>Data!BE165</f>
        <v>7.0922283094918366E-3</v>
      </c>
      <c r="K167" s="77">
        <f>Data!BM165</f>
        <v>-4.402912239815595E-2</v>
      </c>
      <c r="L167" s="675"/>
    </row>
    <row r="168" spans="2:12" x14ac:dyDescent="0.35">
      <c r="B168" s="675"/>
      <c r="C168" s="30">
        <v>45550</v>
      </c>
      <c r="D168" s="77">
        <f>Data!I166</f>
        <v>-8.810629682154807E-3</v>
      </c>
      <c r="E168" s="77">
        <f>Data!Q166</f>
        <v>2.6490081715768625E-3</v>
      </c>
      <c r="F168" s="77">
        <f>Data!Y166</f>
        <v>7.5109261015709056E-3</v>
      </c>
      <c r="G168" s="77">
        <f>Data!AG166</f>
        <v>-1.823545691699488E-3</v>
      </c>
      <c r="H168" s="77">
        <f>Data!AO166</f>
        <v>-1.6813589949595E-2</v>
      </c>
      <c r="I168" s="77">
        <f>Data!AW166</f>
        <v>9.578321336502325E-3</v>
      </c>
      <c r="J168" s="77">
        <f>Data!BE166</f>
        <v>-1.0657294473988093E-2</v>
      </c>
      <c r="K168" s="77">
        <f>Data!BM166</f>
        <v>-2.9589493249592938E-2</v>
      </c>
      <c r="L168" s="675"/>
    </row>
    <row r="169" spans="2:12" x14ac:dyDescent="0.35">
      <c r="B169" s="675"/>
      <c r="C169" s="30">
        <v>45552</v>
      </c>
      <c r="D169" s="77">
        <f>Data!I167</f>
        <v>-1.7857617400006572E-2</v>
      </c>
      <c r="E169" s="77">
        <f>Data!Q167</f>
        <v>1.3140793561058328E-2</v>
      </c>
      <c r="F169" s="77">
        <f>Data!Y167</f>
        <v>-9.9263862131746781E-3</v>
      </c>
      <c r="G169" s="77">
        <f>Data!AG167</f>
        <v>-7.5183935661192946E-4</v>
      </c>
      <c r="H169" s="77">
        <f>Data!AO167</f>
        <v>-1.2634489135997396E-2</v>
      </c>
      <c r="I169" s="77">
        <f>Data!AW167</f>
        <v>-1.9876430757595508E-2</v>
      </c>
      <c r="J169" s="77">
        <f>Data!BE167</f>
        <v>-1.8018505502678365E-2</v>
      </c>
      <c r="K169" s="77">
        <f>Data!BM167</f>
        <v>-2.777956410707582E-2</v>
      </c>
      <c r="L169" s="675"/>
    </row>
    <row r="170" spans="2:12" x14ac:dyDescent="0.35">
      <c r="B170" s="675"/>
      <c r="C170" s="30">
        <v>45553</v>
      </c>
      <c r="D170" s="77">
        <f>Data!I168</f>
        <v>2.6668247082161489E-2</v>
      </c>
      <c r="E170" s="77">
        <f>Data!Q168</f>
        <v>-2.6456569536830468E-2</v>
      </c>
      <c r="F170" s="77">
        <f>Data!Y168</f>
        <v>-6.9771252248710868E-3</v>
      </c>
      <c r="G170" s="77">
        <f>Data!AG168</f>
        <v>-1.0745178111672974E-4</v>
      </c>
      <c r="H170" s="77">
        <f>Data!AO168</f>
        <v>-9.3501701807950453E-3</v>
      </c>
      <c r="I170" s="77">
        <f>Data!AW168</f>
        <v>-2.6541089105158254E-2</v>
      </c>
      <c r="J170" s="77">
        <f>Data!BE168</f>
        <v>3.6297680505787311E-3</v>
      </c>
      <c r="K170" s="77">
        <f>Data!BM168</f>
        <v>4.8119248344198347E-2</v>
      </c>
      <c r="L170" s="675"/>
    </row>
    <row r="171" spans="2:12" x14ac:dyDescent="0.35">
      <c r="B171" s="675"/>
      <c r="C171" s="30">
        <v>45554</v>
      </c>
      <c r="D171" s="77">
        <f>Data!I169</f>
        <v>1.739174271186902E-2</v>
      </c>
      <c r="E171" s="77">
        <f>Data!Q169</f>
        <v>2.3842188962759872E-2</v>
      </c>
      <c r="F171" s="77">
        <f>Data!Y169</f>
        <v>4.4359110538709834E-2</v>
      </c>
      <c r="G171" s="77">
        <f>Data!AG169</f>
        <v>-2.6900538092010443E-3</v>
      </c>
      <c r="H171" s="77">
        <f>Data!AO169</f>
        <v>2.6504586944704641E-2</v>
      </c>
      <c r="I171" s="77">
        <f>Data!AW169</f>
        <v>2.4657258092784733E-2</v>
      </c>
      <c r="J171" s="77">
        <f>Data!BE169</f>
        <v>-3.6297680505787237E-3</v>
      </c>
      <c r="K171" s="77">
        <f>Data!BM169</f>
        <v>7.2016772161154251E-3</v>
      </c>
      <c r="L171" s="675"/>
    </row>
    <row r="172" spans="2:12" x14ac:dyDescent="0.35">
      <c r="B172" s="675"/>
      <c r="C172" s="30">
        <v>45557</v>
      </c>
      <c r="D172" s="77">
        <f>Data!I170</f>
        <v>8.583743691391435E-3</v>
      </c>
      <c r="E172" s="77">
        <f>Data!Q170</f>
        <v>-2.9218545999140103E-2</v>
      </c>
      <c r="F172" s="77">
        <f>Data!Y170</f>
        <v>-1.083307329683688E-2</v>
      </c>
      <c r="G172" s="77">
        <f>Data!AG170</f>
        <v>-1.078050988410445E-3</v>
      </c>
      <c r="H172" s="77">
        <f>Data!AO170</f>
        <v>-1.702334657563611E-2</v>
      </c>
      <c r="I172" s="77">
        <f>Data!AW170</f>
        <v>-8.6799250868680074E-3</v>
      </c>
      <c r="J172" s="77">
        <f>Data!BE170</f>
        <v>-3.6429912785010919E-3</v>
      </c>
      <c r="K172" s="77">
        <f>Data!BM170</f>
        <v>-4.5617345377574704E-2</v>
      </c>
      <c r="L172" s="675"/>
    </row>
    <row r="173" spans="2:12" x14ac:dyDescent="0.35">
      <c r="B173" s="675"/>
      <c r="C173" s="30">
        <v>45558</v>
      </c>
      <c r="D173" s="77">
        <f>Data!I171</f>
        <v>8.5106896679088308E-3</v>
      </c>
      <c r="E173" s="77">
        <f>Data!Q171</f>
        <v>1.3387080782459279E-2</v>
      </c>
      <c r="F173" s="77">
        <f>Data!Y171</f>
        <v>9.0843115570864927E-3</v>
      </c>
      <c r="G173" s="77">
        <f>Data!AG171</f>
        <v>1.6166409728845849E-3</v>
      </c>
      <c r="H173" s="77">
        <f>Data!AO171</f>
        <v>-4.4660523463261846E-3</v>
      </c>
      <c r="I173" s="77">
        <f>Data!AW171</f>
        <v>-1.0997003007336121E-2</v>
      </c>
      <c r="J173" s="77">
        <f>Data!BE171</f>
        <v>1.8083675433295327E-2</v>
      </c>
      <c r="K173" s="77">
        <f>Data!BM171</f>
        <v>-9.162015046296634E-3</v>
      </c>
      <c r="L173" s="675"/>
    </row>
    <row r="174" spans="2:12" x14ac:dyDescent="0.35">
      <c r="B174" s="675"/>
      <c r="C174" s="30">
        <v>45559</v>
      </c>
      <c r="D174" s="77">
        <f>Data!I172</f>
        <v>-1.7094433359300183E-2</v>
      </c>
      <c r="E174" s="77">
        <f>Data!Q172</f>
        <v>0</v>
      </c>
      <c r="F174" s="77">
        <f>Data!Y172</f>
        <v>1.9070210976331301E-2</v>
      </c>
      <c r="G174" s="77">
        <f>Data!AG172</f>
        <v>4.3066322801714566E-4</v>
      </c>
      <c r="H174" s="77">
        <f>Data!AO172</f>
        <v>-7.902015425009138E-4</v>
      </c>
      <c r="I174" s="77">
        <f>Data!AW172</f>
        <v>-7.0762598267140736E-3</v>
      </c>
      <c r="J174" s="77">
        <f>Data!BE172</f>
        <v>-4.3963123421116058E-2</v>
      </c>
      <c r="K174" s="77">
        <f>Data!BM172</f>
        <v>3.9803609330997851E-2</v>
      </c>
      <c r="L174" s="675"/>
    </row>
    <row r="175" spans="2:12" x14ac:dyDescent="0.35">
      <c r="B175" s="675"/>
      <c r="C175" s="30">
        <v>45560</v>
      </c>
      <c r="D175" s="77">
        <f>Data!I173</f>
        <v>-1.7391742711869107E-2</v>
      </c>
      <c r="E175" s="77">
        <f>Data!Q173</f>
        <v>-4.9056156989194313E-2</v>
      </c>
      <c r="F175" s="77">
        <f>Data!Y173</f>
        <v>5.7077780530407178E-3</v>
      </c>
      <c r="G175" s="77">
        <f>Data!AG173</f>
        <v>-4.306632280171642E-4</v>
      </c>
      <c r="H175" s="77">
        <f>Data!AO173</f>
        <v>-1.2061913088286231E-2</v>
      </c>
      <c r="I175" s="77">
        <f>Data!AW173</f>
        <v>-1.3813496641843746E-2</v>
      </c>
      <c r="J175" s="77">
        <f>Data!BE173</f>
        <v>-3.8172573505029714E-2</v>
      </c>
      <c r="K175" s="77">
        <f>Data!BM173</f>
        <v>-2.8497970741449767E-2</v>
      </c>
      <c r="L175" s="675"/>
    </row>
    <row r="176" spans="2:12" x14ac:dyDescent="0.35">
      <c r="B176" s="675"/>
      <c r="C176" s="30">
        <v>45561</v>
      </c>
      <c r="D176" s="77">
        <f>Data!I174</f>
        <v>4.2925044717033844E-2</v>
      </c>
      <c r="E176" s="77">
        <f>Data!Q174</f>
        <v>-1.1236073266925842E-2</v>
      </c>
      <c r="F176" s="77">
        <f>Data!Y174</f>
        <v>-5.7077780530406536E-3</v>
      </c>
      <c r="G176" s="77">
        <f>Data!AG174</f>
        <v>-2.1540118553945052E-4</v>
      </c>
      <c r="H176" s="77">
        <f>Data!AO174</f>
        <v>-1.2884354858291109E-2</v>
      </c>
      <c r="I176" s="77">
        <f>Data!AW174</f>
        <v>-2.2171656070661249E-2</v>
      </c>
      <c r="J176" s="77">
        <f>Data!BE174</f>
        <v>-1.5686596167699508E-2</v>
      </c>
      <c r="K176" s="77">
        <f>Data!BM174</f>
        <v>-1.6734533573662405E-2</v>
      </c>
      <c r="L176" s="675"/>
    </row>
    <row r="177" spans="2:12" x14ac:dyDescent="0.35">
      <c r="B177" s="675"/>
      <c r="C177" s="30">
        <v>45564</v>
      </c>
      <c r="D177" s="77">
        <f>Data!I175</f>
        <v>-1.694955831377332E-2</v>
      </c>
      <c r="E177" s="77">
        <f>Data!Q175</f>
        <v>5.6338177182560642E-3</v>
      </c>
      <c r="F177" s="77">
        <f>Data!Y175</f>
        <v>-2.8624588716980845E-4</v>
      </c>
      <c r="G177" s="77">
        <f>Data!AG175</f>
        <v>5.3841599319309329E-4</v>
      </c>
      <c r="H177" s="77">
        <f>Data!AO175</f>
        <v>-2.3369700371085787E-2</v>
      </c>
      <c r="I177" s="77">
        <f>Data!AW175</f>
        <v>-3.6875670348537771E-3</v>
      </c>
      <c r="J177" s="77">
        <f>Data!BE175</f>
        <v>-1.5936592262812754E-2</v>
      </c>
      <c r="K177" s="77">
        <f>Data!BM175</f>
        <v>-1.634432398715364E-3</v>
      </c>
      <c r="L177" s="675"/>
    </row>
    <row r="178" spans="2:12" ht="16" customHeight="1" x14ac:dyDescent="0.35">
      <c r="B178" s="675"/>
      <c r="C178" s="32">
        <v>45565</v>
      </c>
      <c r="D178" s="627">
        <f>Data!I176</f>
        <v>-2.5975486403260563E-2</v>
      </c>
      <c r="E178" s="627">
        <f>Data!Q176</f>
        <v>1.1173300598125255E-2</v>
      </c>
      <c r="F178" s="627">
        <f>Data!Y176</f>
        <v>2.5732680389652083E-3</v>
      </c>
      <c r="G178" s="627">
        <f>Data!AG176</f>
        <v>5.9035216804873896E-3</v>
      </c>
      <c r="H178" s="627">
        <f>Data!AO176</f>
        <v>-3.1748698314580298E-2</v>
      </c>
      <c r="I178" s="627">
        <f>Data!AW176</f>
        <v>0</v>
      </c>
      <c r="J178" s="627">
        <f>Data!BE176</f>
        <v>-2.0284671171505776E-2</v>
      </c>
      <c r="K178" s="627">
        <f>Data!BM176</f>
        <v>5.9799036582173261E-3</v>
      </c>
      <c r="L178" s="675"/>
    </row>
    <row r="179" spans="2:12" x14ac:dyDescent="0.35">
      <c r="B179" s="675" t="s">
        <v>68</v>
      </c>
      <c r="C179" s="30">
        <v>45566</v>
      </c>
      <c r="D179" s="625">
        <f>Data!I177</f>
        <v>-3.5718082602079232E-2</v>
      </c>
      <c r="E179" s="625">
        <f>Data!Q177</f>
        <v>-1.3986241974739839E-2</v>
      </c>
      <c r="F179" s="625">
        <f>Data!Y177</f>
        <v>-4.8661896511728994E-3</v>
      </c>
      <c r="G179" s="625">
        <f>Data!AG177</f>
        <v>1.7108644036293876E-3</v>
      </c>
      <c r="H179" s="625">
        <f>Data!AO177</f>
        <v>3.27752341847309E-3</v>
      </c>
      <c r="I179" s="625">
        <f>Data!AW177</f>
        <v>1.1686276569455263E-2</v>
      </c>
      <c r="J179" s="625">
        <f>Data!BE177</f>
        <v>-3.3336420267591718E-2</v>
      </c>
      <c r="K179" s="625">
        <f>Data!BM177</f>
        <v>-3.8115632922512258E-2</v>
      </c>
      <c r="L179" s="675">
        <v>61</v>
      </c>
    </row>
    <row r="180" spans="2:12" x14ac:dyDescent="0.35">
      <c r="B180" s="675"/>
      <c r="C180" s="30">
        <v>45567</v>
      </c>
      <c r="D180" s="77">
        <f>Data!I178</f>
        <v>-1.834913866819643E-2</v>
      </c>
      <c r="E180" s="77">
        <f>Data!Q178</f>
        <v>-2.2793009528556573E-2</v>
      </c>
      <c r="F180" s="77">
        <f>Data!Y178</f>
        <v>-2.1462540775978419E-2</v>
      </c>
      <c r="G180" s="77">
        <f>Data!AG178</f>
        <v>-7.1838619142985021E-3</v>
      </c>
      <c r="H180" s="77">
        <f>Data!AO178</f>
        <v>-9.1468409619991919E-3</v>
      </c>
      <c r="I180" s="77">
        <f>Data!AW178</f>
        <v>-2.5521149564954531E-2</v>
      </c>
      <c r="J180" s="77">
        <f>Data!BE178</f>
        <v>-4.2462908814512078E-3</v>
      </c>
      <c r="K180" s="77">
        <f>Data!BM178</f>
        <v>-5.7953642510087E-2</v>
      </c>
      <c r="L180" s="675"/>
    </row>
    <row r="181" spans="2:12" x14ac:dyDescent="0.35">
      <c r="B181" s="675"/>
      <c r="C181" s="30">
        <v>45568</v>
      </c>
      <c r="D181" s="77">
        <f>Data!I179</f>
        <v>-9.302392662313674E-3</v>
      </c>
      <c r="E181" s="77">
        <f>Data!Q179</f>
        <v>-3.2213619983654962E-2</v>
      </c>
      <c r="F181" s="77">
        <f>Data!Y179</f>
        <v>-9.4256957043558805E-3</v>
      </c>
      <c r="G181" s="77">
        <f>Data!AG179</f>
        <v>3.2277153435319073E-4</v>
      </c>
      <c r="H181" s="77">
        <f>Data!AO179</f>
        <v>1.2555450994272986E-2</v>
      </c>
      <c r="I181" s="77">
        <f>Data!AW179</f>
        <v>7.2046421150475104E-3</v>
      </c>
      <c r="J181" s="77">
        <f>Data!BE179</f>
        <v>-4.2643987864575397E-3</v>
      </c>
      <c r="K181" s="77">
        <f>Data!BM179</f>
        <v>1.4806311353833472E-2</v>
      </c>
      <c r="L181" s="675"/>
    </row>
    <row r="182" spans="2:12" x14ac:dyDescent="0.35">
      <c r="B182" s="675"/>
      <c r="C182" s="30">
        <v>45571</v>
      </c>
      <c r="D182" s="77">
        <f>Data!I180</f>
        <v>-1.8868484304382691E-2</v>
      </c>
      <c r="E182" s="77">
        <f>Data!Q180</f>
        <v>0</v>
      </c>
      <c r="F182" s="77">
        <f>Data!Y180</f>
        <v>-1.7615024803755625E-2</v>
      </c>
      <c r="G182" s="77">
        <f>Data!AG180</f>
        <v>-1.2917116973648712E-3</v>
      </c>
      <c r="H182" s="77">
        <f>Data!AO180</f>
        <v>-4.5474001909302968E-3</v>
      </c>
      <c r="I182" s="77">
        <f>Data!AW180</f>
        <v>-1.5736962190365821E-2</v>
      </c>
      <c r="J182" s="77">
        <f>Data!BE180</f>
        <v>0</v>
      </c>
      <c r="K182" s="77">
        <f>Data!BM180</f>
        <v>-5.2500743565967595E-2</v>
      </c>
      <c r="L182" s="675"/>
    </row>
    <row r="183" spans="2:12" x14ac:dyDescent="0.35">
      <c r="B183" s="675"/>
      <c r="C183" s="30">
        <v>45572</v>
      </c>
      <c r="D183" s="77">
        <f>Data!I181</f>
        <v>9.4787439545437387E-3</v>
      </c>
      <c r="E183" s="77">
        <f>Data!Q181</f>
        <v>-8.9686699827604879E-3</v>
      </c>
      <c r="F183" s="77">
        <f>Data!Y181</f>
        <v>-1.8851272748543754E-2</v>
      </c>
      <c r="G183" s="77">
        <f>Data!AG181</f>
        <v>1.184132761216772E-3</v>
      </c>
      <c r="H183" s="77">
        <f>Data!AO181</f>
        <v>-9.1573110936074235E-3</v>
      </c>
      <c r="I183" s="77">
        <f>Data!AW181</f>
        <v>-4.9136623450256399E-2</v>
      </c>
      <c r="J183" s="77">
        <f>Data!BE181</f>
        <v>-1.7241806434505992E-2</v>
      </c>
      <c r="K183" s="77">
        <f>Data!BM181</f>
        <v>-1.4352820492107267E-2</v>
      </c>
      <c r="L183" s="675"/>
    </row>
    <row r="184" spans="2:12" x14ac:dyDescent="0.35">
      <c r="B184" s="675"/>
      <c r="C184" s="30">
        <v>45573</v>
      </c>
      <c r="D184" s="77">
        <f>Data!I182</f>
        <v>-9.47874395454377E-3</v>
      </c>
      <c r="E184" s="77">
        <f>Data!Q182</f>
        <v>-2.124510861373604E-2</v>
      </c>
      <c r="F184" s="77">
        <f>Data!Y182</f>
        <v>1.0989121575595165E-2</v>
      </c>
      <c r="G184" s="77">
        <f>Data!AG182</f>
        <v>-2.801122279711779E-3</v>
      </c>
      <c r="H184" s="77">
        <f>Data!AO182</f>
        <v>-5.0436017283517504E-3</v>
      </c>
      <c r="I184" s="77">
        <f>Data!AW182</f>
        <v>-9.4276792555593077E-3</v>
      </c>
      <c r="J184" s="77">
        <f>Data!BE182</f>
        <v>8.6580627431145311E-3</v>
      </c>
      <c r="K184" s="77">
        <f>Data!BM182</f>
        <v>5.4431044059517701E-2</v>
      </c>
      <c r="L184" s="675"/>
    </row>
    <row r="185" spans="2:12" ht="15.5" customHeight="1" x14ac:dyDescent="0.35">
      <c r="B185" s="675"/>
      <c r="C185" s="30">
        <v>45574</v>
      </c>
      <c r="D185" s="77">
        <f>Data!I183</f>
        <v>9.4787439545437387E-3</v>
      </c>
      <c r="E185" s="77">
        <f>Data!Q183</f>
        <v>7.1035773116751744E-2</v>
      </c>
      <c r="F185" s="77">
        <f>Data!Y183</f>
        <v>2.6068891970300424E-2</v>
      </c>
      <c r="G185" s="77">
        <f>Data!AG183</f>
        <v>7.4165976550496192E-3</v>
      </c>
      <c r="H185" s="77">
        <f>Data!AO183</f>
        <v>8.3441715611286202E-3</v>
      </c>
      <c r="I185" s="77">
        <f>Data!AW183</f>
        <v>1.2105057026275618E-2</v>
      </c>
      <c r="J185" s="77">
        <f>Data!BE183</f>
        <v>2.9726180265200689E-2</v>
      </c>
      <c r="K185" s="77">
        <f>Data!BM183</f>
        <v>9.4787439545437387E-3</v>
      </c>
      <c r="L185" s="675"/>
    </row>
    <row r="186" spans="2:12" x14ac:dyDescent="0.35">
      <c r="B186" s="675"/>
      <c r="C186" s="30">
        <v>45579</v>
      </c>
      <c r="D186" s="77">
        <f>Data!I184</f>
        <v>0</v>
      </c>
      <c r="E186" s="77">
        <f>Data!Q184</f>
        <v>0</v>
      </c>
      <c r="F186" s="77">
        <f>Data!Y184</f>
        <v>-7.719753302103882E-3</v>
      </c>
      <c r="G186" s="77">
        <f>Data!AG184</f>
        <v>-1.6076312341886587E-3</v>
      </c>
      <c r="H186" s="77">
        <f>Data!AO184</f>
        <v>-2.2948948683385135E-3</v>
      </c>
      <c r="I186" s="77">
        <f>Data!AW184</f>
        <v>-7.0617567213953417E-2</v>
      </c>
      <c r="J186" s="77">
        <f>Data!BE184</f>
        <v>-3.404584140971699E-2</v>
      </c>
      <c r="K186" s="77">
        <f>Data!BM184</f>
        <v>2.3886949889256583E-2</v>
      </c>
      <c r="L186" s="675"/>
    </row>
    <row r="187" spans="2:12" x14ac:dyDescent="0.35">
      <c r="B187" s="675"/>
      <c r="C187" s="30">
        <v>45580</v>
      </c>
      <c r="D187" s="77">
        <f>Data!I185</f>
        <v>9.3897403498389171E-3</v>
      </c>
      <c r="E187" s="77">
        <f>Data!Q185</f>
        <v>-8.6083745366000511E-3</v>
      </c>
      <c r="F187" s="77">
        <f>Data!Y185</f>
        <v>-2.9810702262802357E-4</v>
      </c>
      <c r="G187" s="77">
        <f>Data!AG185</f>
        <v>-5.3775134964676279E-3</v>
      </c>
      <c r="H187" s="77">
        <f>Data!AO185</f>
        <v>-7.1823604322961121E-4</v>
      </c>
      <c r="I187" s="77">
        <f>Data!AW185</f>
        <v>-7.612422317833361E-3</v>
      </c>
      <c r="J187" s="77">
        <f>Data!BE185</f>
        <v>2.1414094503816573E-2</v>
      </c>
      <c r="K187" s="77">
        <f>Data!BM185</f>
        <v>1.1507481131781498E-3</v>
      </c>
      <c r="L187" s="675"/>
    </row>
    <row r="188" spans="2:12" x14ac:dyDescent="0.35">
      <c r="B188" s="675"/>
      <c r="C188" s="30">
        <v>45581</v>
      </c>
      <c r="D188" s="77">
        <f>Data!I186</f>
        <v>-9.3897403498390316E-3</v>
      </c>
      <c r="E188" s="77">
        <f>Data!Q186</f>
        <v>-1.7442302663342485E-2</v>
      </c>
      <c r="F188" s="77">
        <f>Data!Y186</f>
        <v>6.5379133326936524E-3</v>
      </c>
      <c r="G188" s="77">
        <f>Data!AG186</f>
        <v>-6.2743606963023037E-3</v>
      </c>
      <c r="H188" s="77">
        <f>Data!AO186</f>
        <v>-3.9870442790871395E-2</v>
      </c>
      <c r="I188" s="77">
        <f>Data!AW186</f>
        <v>2.0239881347746336E-2</v>
      </c>
      <c r="J188" s="77">
        <f>Data!BE186</f>
        <v>-3.010980147137057E-2</v>
      </c>
      <c r="K188" s="77">
        <f>Data!BM186</f>
        <v>-1.3314234306375457E-2</v>
      </c>
      <c r="L188" s="675"/>
    </row>
    <row r="189" spans="2:12" x14ac:dyDescent="0.35">
      <c r="B189" s="675"/>
      <c r="C189" s="30">
        <v>45582</v>
      </c>
      <c r="D189" s="77">
        <f>Data!I187</f>
        <v>-9.47874395454377E-3</v>
      </c>
      <c r="E189" s="77">
        <f>Data!Q187</f>
        <v>-8.8365818004981118E-3</v>
      </c>
      <c r="F189" s="77">
        <f>Data!Y187</f>
        <v>-7.7312308967356531E-3</v>
      </c>
      <c r="G189" s="77">
        <f>Data!AG187</f>
        <v>0</v>
      </c>
      <c r="H189" s="77">
        <f>Data!AO187</f>
        <v>-9.3149711995557088E-3</v>
      </c>
      <c r="I189" s="77">
        <f>Data!AW187</f>
        <v>-2.0446428906055695E-2</v>
      </c>
      <c r="J189" s="77">
        <f>Data!BE187</f>
        <v>1.3015368112070446E-2</v>
      </c>
      <c r="K189" s="77">
        <f>Data!BM187</f>
        <v>8.1254074439171525E-3</v>
      </c>
      <c r="L189" s="675"/>
    </row>
    <row r="190" spans="2:12" x14ac:dyDescent="0.35">
      <c r="B190" s="675"/>
      <c r="C190" s="30">
        <v>45585</v>
      </c>
      <c r="D190" s="77">
        <f>Data!I188</f>
        <v>-2.8987536873252413E-2</v>
      </c>
      <c r="E190" s="77">
        <f>Data!Q188</f>
        <v>3.4887259000440755E-2</v>
      </c>
      <c r="F190" s="77">
        <f>Data!Y188</f>
        <v>-6.5888228780128406E-3</v>
      </c>
      <c r="G190" s="77">
        <f>Data!AG188</f>
        <v>-6.7508967191443631E-3</v>
      </c>
      <c r="H190" s="77">
        <f>Data!AO188</f>
        <v>-1.1232662122546564E-2</v>
      </c>
      <c r="I190" s="77">
        <f>Data!AW188</f>
        <v>-3.2968865222086446E-2</v>
      </c>
      <c r="J190" s="77">
        <f>Data!BE188</f>
        <v>-2.1787354184907296E-2</v>
      </c>
      <c r="K190" s="77">
        <f>Data!BM188</f>
        <v>-3.4699158896430986E-2</v>
      </c>
      <c r="L190" s="675"/>
    </row>
    <row r="191" spans="2:12" x14ac:dyDescent="0.35">
      <c r="B191" s="675"/>
      <c r="C191" s="30">
        <v>45586</v>
      </c>
      <c r="D191" s="77">
        <f>Data!I189</f>
        <v>9.7561749453648743E-3</v>
      </c>
      <c r="E191" s="77">
        <f>Data!Q189</f>
        <v>3.3711057342311876E-2</v>
      </c>
      <c r="F191" s="77">
        <f>Data!Y189</f>
        <v>-1.0572519564734878E-2</v>
      </c>
      <c r="G191" s="77">
        <f>Data!AG189</f>
        <v>-3.0637949340870337E-3</v>
      </c>
      <c r="H191" s="77">
        <f>Data!AO189</f>
        <v>0</v>
      </c>
      <c r="I191" s="77">
        <f>Data!AW189</f>
        <v>8.5034525996448892E-3</v>
      </c>
      <c r="J191" s="77">
        <f>Data!BE189</f>
        <v>4.3956114730381293E-3</v>
      </c>
      <c r="K191" s="77">
        <f>Data!BM189</f>
        <v>5.3715438019108488E-3</v>
      </c>
      <c r="L191" s="675"/>
    </row>
    <row r="192" spans="2:12" x14ac:dyDescent="0.35">
      <c r="B192" s="675"/>
      <c r="C192" s="30">
        <v>45587</v>
      </c>
      <c r="D192" s="77">
        <f>Data!I190</f>
        <v>1.9231361927887592E-2</v>
      </c>
      <c r="E192" s="77">
        <f>Data!Q190</f>
        <v>1.9152432214755918E-2</v>
      </c>
      <c r="F192" s="77">
        <f>Data!Y190</f>
        <v>4.2424306054283248E-3</v>
      </c>
      <c r="G192" s="77">
        <f>Data!AG190</f>
        <v>3.7191029522953656E-3</v>
      </c>
      <c r="H192" s="77">
        <f>Data!AO190</f>
        <v>5.5809109290728777E-2</v>
      </c>
      <c r="I192" s="77">
        <f>Data!AW190</f>
        <v>2.114612756676328E-3</v>
      </c>
      <c r="J192" s="77">
        <f>Data!BE190</f>
        <v>4.3763745997987815E-3</v>
      </c>
      <c r="K192" s="77">
        <f>Data!BM190</f>
        <v>1.0068192836921671E-2</v>
      </c>
      <c r="L192" s="675"/>
    </row>
    <row r="193" spans="2:12" x14ac:dyDescent="0.35">
      <c r="B193" s="675"/>
      <c r="C193" s="30">
        <v>45588</v>
      </c>
      <c r="D193" s="77">
        <f>Data!I191</f>
        <v>-9.5694510161506725E-3</v>
      </c>
      <c r="E193" s="77">
        <f>Data!Q191</f>
        <v>-2.4692612590371411E-2</v>
      </c>
      <c r="F193" s="77">
        <f>Data!Y191</f>
        <v>-2.5728831166354875E-2</v>
      </c>
      <c r="G193" s="77">
        <f>Data!AG191</f>
        <v>2.9435834827513489E-3</v>
      </c>
      <c r="H193" s="77">
        <f>Data!AO191</f>
        <v>3.9424742603451557E-3</v>
      </c>
      <c r="I193" s="77">
        <f>Data!AW191</f>
        <v>-7.633624855071095E-3</v>
      </c>
      <c r="J193" s="77">
        <f>Data!BE191</f>
        <v>-4.3763745997987772E-3</v>
      </c>
      <c r="K193" s="77">
        <f>Data!BM191</f>
        <v>-3.2946975221852817E-2</v>
      </c>
      <c r="L193" s="675"/>
    </row>
    <row r="194" spans="2:12" x14ac:dyDescent="0.35">
      <c r="B194" s="675"/>
      <c r="C194" s="30">
        <v>45589</v>
      </c>
      <c r="D194" s="77">
        <f>Data!I192</f>
        <v>9.5694510161506725E-3</v>
      </c>
      <c r="E194" s="77">
        <f>Data!Q192</f>
        <v>-2.5317807984289783E-2</v>
      </c>
      <c r="F194" s="77">
        <f>Data!Y192</f>
        <v>-1.6896522124517161E-2</v>
      </c>
      <c r="G194" s="77">
        <f>Data!AG192</f>
        <v>-8.7470489910113757E-3</v>
      </c>
      <c r="H194" s="77">
        <f>Data!AO192</f>
        <v>-1.7345723736703695E-2</v>
      </c>
      <c r="I194" s="77">
        <f>Data!AW192</f>
        <v>-8.1214380991665881E-3</v>
      </c>
      <c r="J194" s="77">
        <f>Data!BE192</f>
        <v>-2.2173857494321967E-2</v>
      </c>
      <c r="K194" s="77">
        <f>Data!BM192</f>
        <v>-6.7216873913596049E-3</v>
      </c>
      <c r="L194" s="675"/>
    </row>
    <row r="195" spans="2:12" x14ac:dyDescent="0.35">
      <c r="B195" s="675"/>
      <c r="C195" s="30">
        <v>45592</v>
      </c>
      <c r="D195" s="77">
        <f>Data!I193</f>
        <v>-5.8840500022933465E-2</v>
      </c>
      <c r="E195" s="77">
        <f>Data!Q193</f>
        <v>-4.070329311350409E-2</v>
      </c>
      <c r="F195" s="77">
        <f>Data!Y193</f>
        <v>-3.5982037800086172E-2</v>
      </c>
      <c r="G195" s="77">
        <f>Data!AG193</f>
        <v>-2.0301323994576046E-2</v>
      </c>
      <c r="H195" s="77">
        <f>Data!AO193</f>
        <v>-5.4075459079348125E-2</v>
      </c>
      <c r="I195" s="77">
        <f>Data!AW193</f>
        <v>-1.8190194060057695E-2</v>
      </c>
      <c r="J195" s="77">
        <f>Data!BE193</f>
        <v>-8.9051777615902522E-2</v>
      </c>
      <c r="K195" s="77">
        <f>Data!BM193</f>
        <v>-3.4938051361280344E-2</v>
      </c>
      <c r="L195" s="675"/>
    </row>
    <row r="196" spans="2:12" x14ac:dyDescent="0.35">
      <c r="B196" s="675"/>
      <c r="C196" s="30">
        <v>45593</v>
      </c>
      <c r="D196" s="77">
        <f>Data!I194</f>
        <v>2.0000666706669435E-2</v>
      </c>
      <c r="E196" s="77">
        <f>Data!Q194</f>
        <v>-2.0990275891835858E-2</v>
      </c>
      <c r="F196" s="77">
        <f>Data!Y194</f>
        <v>-3.604788435727241E-3</v>
      </c>
      <c r="G196" s="77">
        <f>Data!AG194</f>
        <v>9.4808584793201079E-3</v>
      </c>
      <c r="H196" s="77">
        <f>Data!AO194</f>
        <v>5.6188691610772499E-3</v>
      </c>
      <c r="I196" s="77">
        <f>Data!AW194</f>
        <v>-1.0324089503420002E-2</v>
      </c>
      <c r="J196" s="77">
        <f>Data!BE194</f>
        <v>-4.9140148024289293E-3</v>
      </c>
      <c r="K196" s="77">
        <f>Data!BM194</f>
        <v>-0.10148795316988099</v>
      </c>
      <c r="L196" s="675"/>
    </row>
    <row r="197" spans="2:12" x14ac:dyDescent="0.35">
      <c r="B197" s="675"/>
      <c r="C197" s="30">
        <v>45594</v>
      </c>
      <c r="D197" s="77">
        <f>Data!I195</f>
        <v>1.9608471388376337E-2</v>
      </c>
      <c r="E197" s="77">
        <f>Data!Q195</f>
        <v>3.278982282299097E-2</v>
      </c>
      <c r="F197" s="77">
        <f>Data!Y195</f>
        <v>2.1436351843174929E-2</v>
      </c>
      <c r="G197" s="77">
        <f>Data!AG195</f>
        <v>2.7266950687739728E-2</v>
      </c>
      <c r="H197" s="77">
        <f>Data!AO195</f>
        <v>1.3603548782980982E-2</v>
      </c>
      <c r="I197" s="77">
        <f>Data!AW195</f>
        <v>2.8728852816527276E-2</v>
      </c>
      <c r="J197" s="77">
        <f>Data!BE195</f>
        <v>0</v>
      </c>
      <c r="K197" s="77">
        <f>Data!BM195</f>
        <v>2.9087923361315254E-2</v>
      </c>
      <c r="L197" s="675"/>
    </row>
    <row r="198" spans="2:12" x14ac:dyDescent="0.35">
      <c r="B198" s="675"/>
      <c r="C198" s="30">
        <v>45595</v>
      </c>
      <c r="D198" s="77">
        <f>Data!I196</f>
        <v>4.7402238894583899E-2</v>
      </c>
      <c r="E198" s="77">
        <f>Data!Q196</f>
        <v>4.0235312191898971E-2</v>
      </c>
      <c r="F198" s="77">
        <f>Data!Y196</f>
        <v>2.0042026028509848E-2</v>
      </c>
      <c r="G198" s="77">
        <f>Data!AG196</f>
        <v>2.3487788402983711E-2</v>
      </c>
      <c r="H198" s="77">
        <f>Data!AO196</f>
        <v>1.6446236378444751E-2</v>
      </c>
      <c r="I198" s="77">
        <f>Data!AW196</f>
        <v>8.0949991575398519E-2</v>
      </c>
      <c r="J198" s="77">
        <f>Data!BE196</f>
        <v>5.7432049085875396E-2</v>
      </c>
      <c r="K198" s="77">
        <f>Data!BM196</f>
        <v>3.1578035288310574E-2</v>
      </c>
      <c r="L198" s="675"/>
    </row>
    <row r="199" spans="2:12" x14ac:dyDescent="0.35">
      <c r="B199" s="675"/>
      <c r="C199" s="30">
        <v>45596</v>
      </c>
      <c r="D199" s="77">
        <f>Data!I197</f>
        <v>1.8349138668196398E-2</v>
      </c>
      <c r="E199" s="77">
        <f>Data!Q197</f>
        <v>-1.4184634991956413E-2</v>
      </c>
      <c r="F199" s="77">
        <f>Data!Y197</f>
        <v>-1.0448092511225632E-2</v>
      </c>
      <c r="G199" s="77">
        <f>Data!AG197</f>
        <v>-2.2516023493601184E-2</v>
      </c>
      <c r="H199" s="77">
        <f>Data!AO197</f>
        <v>1.1861110454211217E-2</v>
      </c>
      <c r="I199" s="77">
        <f>Data!AW197</f>
        <v>1.1019395249610698E-2</v>
      </c>
      <c r="J199" s="77">
        <f>Data!BE197</f>
        <v>4.6403795565023009E-3</v>
      </c>
      <c r="K199" s="77">
        <f>Data!BM197</f>
        <v>-2.1391189981317445E-2</v>
      </c>
      <c r="L199" s="675"/>
    </row>
    <row r="200" spans="2:12" x14ac:dyDescent="0.35">
      <c r="B200" s="675"/>
      <c r="C200" s="30">
        <v>45599</v>
      </c>
      <c r="D200" s="77">
        <f>Data!I198</f>
        <v>-1.834913866819643E-2</v>
      </c>
      <c r="E200" s="77">
        <f>Data!Q198</f>
        <v>-2.605067719994255E-2</v>
      </c>
      <c r="F200" s="77">
        <f>Data!Y198</f>
        <v>-1.2167937512457127E-2</v>
      </c>
      <c r="G200" s="77">
        <f>Data!AG198</f>
        <v>-1.0850800907524303E-2</v>
      </c>
      <c r="H200" s="77">
        <f>Data!AO198</f>
        <v>-1.0502722199149288E-2</v>
      </c>
      <c r="I200" s="77">
        <f>Data!AW198</f>
        <v>-2.1361571760185733E-2</v>
      </c>
      <c r="J200" s="77">
        <f>Data!BE198</f>
        <v>9.2166551049240476E-3</v>
      </c>
      <c r="K200" s="77">
        <f>Data!BM198</f>
        <v>-6.0996461567232223E-3</v>
      </c>
      <c r="L200" s="675"/>
    </row>
    <row r="201" spans="2:12" x14ac:dyDescent="0.35">
      <c r="B201" s="675"/>
      <c r="C201" s="30">
        <v>45600</v>
      </c>
      <c r="D201" s="77">
        <f>Data!I199</f>
        <v>0</v>
      </c>
      <c r="E201" s="77">
        <f>Data!Q199</f>
        <v>2.8903746182348995E-2</v>
      </c>
      <c r="F201" s="77">
        <f>Data!Y199</f>
        <v>1.4075728234184647E-2</v>
      </c>
      <c r="G201" s="77">
        <f>Data!AG199</f>
        <v>-1.0910479526397714E-4</v>
      </c>
      <c r="H201" s="77">
        <f>Data!AO199</f>
        <v>-2.1138464763809416E-3</v>
      </c>
      <c r="I201" s="77">
        <f>Data!AW199</f>
        <v>1.1923829667504895E-2</v>
      </c>
      <c r="J201" s="77">
        <f>Data!BE199</f>
        <v>1.3667638728663835E-2</v>
      </c>
      <c r="K201" s="77">
        <f>Data!BM199</f>
        <v>6.5133177740916315E-2</v>
      </c>
      <c r="L201" s="675"/>
    </row>
    <row r="202" spans="2:12" x14ac:dyDescent="0.35">
      <c r="B202" s="675"/>
      <c r="C202" s="30">
        <v>45601</v>
      </c>
      <c r="D202" s="77">
        <f>Data!I200</f>
        <v>3.6367644170874791E-2</v>
      </c>
      <c r="E202" s="77">
        <f>Data!Q200</f>
        <v>1.1331566009550018E-2</v>
      </c>
      <c r="F202" s="77">
        <f>Data!Y200</f>
        <v>4.1211026783238404E-3</v>
      </c>
      <c r="G202" s="77">
        <f>Data!AG200</f>
        <v>3.5941878260637343E-3</v>
      </c>
      <c r="H202" s="77">
        <f>Data!AO200</f>
        <v>3.0808300111896343E-2</v>
      </c>
      <c r="I202" s="77">
        <f>Data!AW200</f>
        <v>2.0143440448669534E-2</v>
      </c>
      <c r="J202" s="77">
        <f>Data!BE200</f>
        <v>6.5669103507857235E-2</v>
      </c>
      <c r="K202" s="77">
        <f>Data!BM200</f>
        <v>-8.9571936040168283E-3</v>
      </c>
      <c r="L202" s="675"/>
    </row>
    <row r="203" spans="2:12" x14ac:dyDescent="0.35">
      <c r="B203" s="675"/>
      <c r="C203" s="30">
        <v>45602</v>
      </c>
      <c r="D203" s="77">
        <f>Data!I201</f>
        <v>-1.801850550267825E-2</v>
      </c>
      <c r="E203" s="77">
        <f>Data!Q201</f>
        <v>-4.023531219189895E-2</v>
      </c>
      <c r="F203" s="77">
        <f>Data!Y201</f>
        <v>-1.2662236576261475E-3</v>
      </c>
      <c r="G203" s="77">
        <f>Data!AG201</f>
        <v>-5.9975099354425913E-3</v>
      </c>
      <c r="H203" s="77">
        <f>Data!AO201</f>
        <v>-1.3426981504726907E-2</v>
      </c>
      <c r="I203" s="77">
        <f>Data!AW201</f>
        <v>5.4810817969559243E-2</v>
      </c>
      <c r="J203" s="77">
        <f>Data!BE201</f>
        <v>-3.888178754420752E-2</v>
      </c>
      <c r="K203" s="77">
        <f>Data!BM201</f>
        <v>-2.2750412479044087E-2</v>
      </c>
      <c r="L203" s="675"/>
    </row>
    <row r="204" spans="2:12" x14ac:dyDescent="0.35">
      <c r="B204" s="675"/>
      <c r="C204" s="30">
        <v>45603</v>
      </c>
      <c r="D204" s="77">
        <f>Data!I202</f>
        <v>-2.7651531330510123E-2</v>
      </c>
      <c r="E204" s="77">
        <f>Data!Q202</f>
        <v>-1.1799546931155055E-2</v>
      </c>
      <c r="F204" s="77">
        <f>Data!Y202</f>
        <v>1.696020553152236E-2</v>
      </c>
      <c r="G204" s="77">
        <f>Data!AG202</f>
        <v>-3.8354109807963535E-3</v>
      </c>
      <c r="H204" s="77">
        <f>Data!AO202</f>
        <v>-5.9435365791273204E-4</v>
      </c>
      <c r="I204" s="77">
        <f>Data!AW202</f>
        <v>-4.0776174455640898E-2</v>
      </c>
      <c r="J204" s="77">
        <f>Data!BE202</f>
        <v>0</v>
      </c>
      <c r="K204" s="77">
        <f>Data!BM202</f>
        <v>-1.1239787749507629E-2</v>
      </c>
      <c r="L204" s="675"/>
    </row>
    <row r="205" spans="2:12" x14ac:dyDescent="0.35">
      <c r="B205" s="675"/>
      <c r="C205" s="30">
        <v>45606</v>
      </c>
      <c r="D205" s="77">
        <f>Data!I203</f>
        <v>-9.3897403498390316E-3</v>
      </c>
      <c r="E205" s="77">
        <f>Data!Q203</f>
        <v>-1.7964554975298884E-2</v>
      </c>
      <c r="F205" s="77">
        <f>Data!Y203</f>
        <v>-8.7582668074211792E-3</v>
      </c>
      <c r="G205" s="77">
        <f>Data!AG203</f>
        <v>2.3030113814504812E-3</v>
      </c>
      <c r="H205" s="77">
        <f>Data!AO203</f>
        <v>-1.678696494925664E-2</v>
      </c>
      <c r="I205" s="77">
        <f>Data!AW203</f>
        <v>-3.3783061243645086E-2</v>
      </c>
      <c r="J205" s="77">
        <f>Data!BE203</f>
        <v>-8.8496152769824993E-3</v>
      </c>
      <c r="K205" s="77">
        <f>Data!BM203</f>
        <v>1.0582109330537008E-2</v>
      </c>
      <c r="L205" s="675"/>
    </row>
    <row r="206" spans="2:12" x14ac:dyDescent="0.35">
      <c r="B206" s="675"/>
      <c r="C206" s="30">
        <v>45607</v>
      </c>
      <c r="D206" s="77">
        <f>Data!I204</f>
        <v>0</v>
      </c>
      <c r="E206" s="77">
        <f>Data!Q204</f>
        <v>3.0165935394257273E-3</v>
      </c>
      <c r="F206" s="77">
        <f>Data!Y204</f>
        <v>2.2675299840338056E-2</v>
      </c>
      <c r="G206" s="77">
        <f>Data!AG204</f>
        <v>1.9697970912838265E-3</v>
      </c>
      <c r="H206" s="77">
        <f>Data!AO204</f>
        <v>3.0184146068079612E-3</v>
      </c>
      <c r="I206" s="77">
        <f>Data!AW204</f>
        <v>1.6451604892005062E-2</v>
      </c>
      <c r="J206" s="77">
        <f>Data!BE204</f>
        <v>-4.4543503493803087E-3</v>
      </c>
      <c r="K206" s="77">
        <f>Data!BM204</f>
        <v>-1.324522675002068E-2</v>
      </c>
      <c r="L206" s="675"/>
    </row>
    <row r="207" spans="2:12" x14ac:dyDescent="0.35">
      <c r="B207" s="675"/>
      <c r="C207" s="30">
        <v>45608</v>
      </c>
      <c r="D207" s="77">
        <f>Data!I205</f>
        <v>-2.8710105882431253E-2</v>
      </c>
      <c r="E207" s="77">
        <f>Data!Q205</f>
        <v>2.3810648693718392E-2</v>
      </c>
      <c r="F207" s="77">
        <f>Data!Y205</f>
        <v>9.7800290536394791E-3</v>
      </c>
      <c r="G207" s="77">
        <f>Data!AG205</f>
        <v>-3.2851540714617629E-3</v>
      </c>
      <c r="H207" s="77">
        <f>Data!AO205</f>
        <v>2.4081890024833137E-3</v>
      </c>
      <c r="I207" s="77">
        <f>Data!AW205</f>
        <v>-4.043356957849057E-2</v>
      </c>
      <c r="J207" s="77">
        <f>Data!BE205</f>
        <v>-8.9686699827603751E-3</v>
      </c>
      <c r="K207" s="77">
        <f>Data!BM205</f>
        <v>1.6529301951210506E-2</v>
      </c>
      <c r="L207" s="675"/>
    </row>
    <row r="208" spans="2:12" x14ac:dyDescent="0.35">
      <c r="B208" s="675"/>
      <c r="C208" s="30">
        <v>45609</v>
      </c>
      <c r="D208" s="77">
        <f>Data!I206</f>
        <v>0</v>
      </c>
      <c r="E208" s="77">
        <f>Data!Q206</f>
        <v>-8.8626872578453173E-3</v>
      </c>
      <c r="F208" s="77">
        <f>Data!Y206</f>
        <v>-1.0087201533400919E-2</v>
      </c>
      <c r="G208" s="77">
        <f>Data!AG206</f>
        <v>-6.1613133628422188E-3</v>
      </c>
      <c r="H208" s="77">
        <f>Data!AO206</f>
        <v>-1.0123226135436916E-2</v>
      </c>
      <c r="I208" s="77">
        <f>Data!AW206</f>
        <v>-1.0369107848403105E-2</v>
      </c>
      <c r="J208" s="77">
        <f>Data!BE206</f>
        <v>-9.0498355199179273E-3</v>
      </c>
      <c r="K208" s="77">
        <f>Data!BM206</f>
        <v>4.675843728470809E-2</v>
      </c>
      <c r="L208" s="675"/>
    </row>
    <row r="209" spans="2:12" x14ac:dyDescent="0.35">
      <c r="B209" s="675"/>
      <c r="C209" s="30">
        <v>45610</v>
      </c>
      <c r="D209" s="77">
        <f>Data!I207</f>
        <v>9.6619109117368901E-3</v>
      </c>
      <c r="E209" s="77">
        <f>Data!Q207</f>
        <v>2.3461486678997966E-2</v>
      </c>
      <c r="F209" s="77">
        <f>Data!Y207</f>
        <v>1.5349197180837407E-3</v>
      </c>
      <c r="G209" s="77">
        <f>Data!AG207</f>
        <v>4.514680354526613E-3</v>
      </c>
      <c r="H209" s="77">
        <f>Data!AO207</f>
        <v>-3.0418274404848886E-3</v>
      </c>
      <c r="I209" s="77">
        <f>Data!AW207</f>
        <v>6.3155960152205893E-3</v>
      </c>
      <c r="J209" s="77">
        <f>Data!BE207</f>
        <v>2.6907452919924402E-2</v>
      </c>
      <c r="K209" s="77">
        <f>Data!BM207</f>
        <v>-9.4310664452078516E-3</v>
      </c>
      <c r="L209" s="675"/>
    </row>
    <row r="210" spans="2:12" x14ac:dyDescent="0.35">
      <c r="B210" s="675"/>
      <c r="C210" s="30">
        <v>45613</v>
      </c>
      <c r="D210" s="77">
        <f>Data!I208</f>
        <v>-1.9418085857101738E-2</v>
      </c>
      <c r="E210" s="77">
        <f>Data!Q208</f>
        <v>-8.7336799687545534E-3</v>
      </c>
      <c r="F210" s="77">
        <f>Data!Y208</f>
        <v>-1.6391274667598429E-2</v>
      </c>
      <c r="G210" s="77">
        <f>Data!AG208</f>
        <v>1.1795680672765273E-2</v>
      </c>
      <c r="H210" s="77">
        <f>Data!AO208</f>
        <v>-1.6769574781366494E-3</v>
      </c>
      <c r="I210" s="77">
        <f>Data!AW208</f>
        <v>-1.0159505090043359E-3</v>
      </c>
      <c r="J210" s="77">
        <f>Data!BE208</f>
        <v>1.3187004281953681E-2</v>
      </c>
      <c r="K210" s="77">
        <f>Data!BM208</f>
        <v>0</v>
      </c>
      <c r="L210" s="675"/>
    </row>
    <row r="211" spans="2:12" x14ac:dyDescent="0.35">
      <c r="B211" s="675"/>
      <c r="C211" s="30">
        <v>45614</v>
      </c>
      <c r="D211" s="77">
        <f>Data!I209</f>
        <v>-9.8522964430115944E-3</v>
      </c>
      <c r="E211" s="77">
        <f>Data!Q209</f>
        <v>-1.7699577099400975E-2</v>
      </c>
      <c r="F211" s="77">
        <f>Data!Y209</f>
        <v>-5.9421597830492025E-3</v>
      </c>
      <c r="G211" s="77">
        <f>Data!AG209</f>
        <v>-6.7545741066808631E-3</v>
      </c>
      <c r="H211" s="77">
        <f>Data!AO209</f>
        <v>-4.8944729094953492E-3</v>
      </c>
      <c r="I211" s="77">
        <f>Data!AW209</f>
        <v>6.0969415566131037E-4</v>
      </c>
      <c r="J211" s="77">
        <f>Data!BE209</f>
        <v>-1.7621601349819445E-2</v>
      </c>
      <c r="K211" s="77">
        <f>Data!BM209</f>
        <v>-2.3004209307946215E-2</v>
      </c>
      <c r="L211" s="675"/>
    </row>
    <row r="212" spans="2:12" x14ac:dyDescent="0.35">
      <c r="B212" s="675"/>
      <c r="C212" s="30">
        <v>45615</v>
      </c>
      <c r="D212" s="77">
        <f>Data!I210</f>
        <v>-9.950330853168092E-3</v>
      </c>
      <c r="E212" s="77">
        <f>Data!Q210</f>
        <v>-2.9806281381377893E-3</v>
      </c>
      <c r="F212" s="77">
        <f>Data!Y210</f>
        <v>5.0062682781440012E-3</v>
      </c>
      <c r="G212" s="77">
        <f>Data!AG210</f>
        <v>0</v>
      </c>
      <c r="H212" s="77">
        <f>Data!AO210</f>
        <v>-1.7321806434548778E-2</v>
      </c>
      <c r="I212" s="77">
        <f>Data!AW210</f>
        <v>-1.4231983697342687E-3</v>
      </c>
      <c r="J212" s="77">
        <f>Data!BE210</f>
        <v>-4.4543503493803087E-3</v>
      </c>
      <c r="K212" s="77">
        <f>Data!BM210</f>
        <v>2.4897551621727302E-2</v>
      </c>
      <c r="L212" s="675"/>
    </row>
    <row r="213" spans="2:12" x14ac:dyDescent="0.35">
      <c r="B213" s="675"/>
      <c r="C213" s="30">
        <v>45616</v>
      </c>
      <c r="D213" s="77">
        <f>Data!I211</f>
        <v>0</v>
      </c>
      <c r="E213" s="77">
        <f>Data!Q211</f>
        <v>3.51942481217929E-2</v>
      </c>
      <c r="F213" s="77">
        <f>Data!Y211</f>
        <v>7.7724625700254495E-3</v>
      </c>
      <c r="G213" s="77">
        <f>Data!AG211</f>
        <v>2.5683941211691357E-2</v>
      </c>
      <c r="H213" s="77">
        <f>Data!AO211</f>
        <v>9.3559963163476767E-4</v>
      </c>
      <c r="I213" s="77">
        <f>Data!AW211</f>
        <v>-4.6905357742039414E-3</v>
      </c>
      <c r="J213" s="77">
        <f>Data!BE211</f>
        <v>-4.4742803949209663E-3</v>
      </c>
      <c r="K213" s="77">
        <f>Data!BM211</f>
        <v>-7.5949732174446375E-3</v>
      </c>
      <c r="L213" s="675"/>
    </row>
    <row r="214" spans="2:12" x14ac:dyDescent="0.35">
      <c r="B214" s="675"/>
      <c r="C214" s="30">
        <v>45617</v>
      </c>
      <c r="D214" s="77">
        <f>Data!I212</f>
        <v>-1.0050335853501451E-2</v>
      </c>
      <c r="E214" s="77">
        <f>Data!Q212</f>
        <v>-2.3324672566409004E-2</v>
      </c>
      <c r="F214" s="77">
        <f>Data!Y212</f>
        <v>-1.4662561860542957E-2</v>
      </c>
      <c r="G214" s="77">
        <f>Data!AG212</f>
        <v>4.4208665618339344E-4</v>
      </c>
      <c r="H214" s="77">
        <f>Data!AO212</f>
        <v>-2.3406424043469908E-3</v>
      </c>
      <c r="I214" s="77">
        <f>Data!AW212</f>
        <v>-4.5072807304274744E-3</v>
      </c>
      <c r="J214" s="77">
        <f>Data!BE212</f>
        <v>-4.4943895878393264E-3</v>
      </c>
      <c r="K214" s="77">
        <f>Data!BM212</f>
        <v>-2.4438515269731131E-2</v>
      </c>
      <c r="L214" s="675"/>
    </row>
    <row r="215" spans="2:12" x14ac:dyDescent="0.35">
      <c r="B215" s="675"/>
      <c r="C215" s="30">
        <v>45620</v>
      </c>
      <c r="D215" s="77">
        <f>Data!I213</f>
        <v>-1.0152371464017962E-2</v>
      </c>
      <c r="E215" s="77">
        <f>Data!Q213</f>
        <v>-2.9542118974315201E-3</v>
      </c>
      <c r="F215" s="77">
        <f>Data!Y213</f>
        <v>-1.2578618010707818E-3</v>
      </c>
      <c r="G215" s="77">
        <f>Data!AG213</f>
        <v>-3.9858334433782918E-3</v>
      </c>
      <c r="H215" s="77">
        <f>Data!AO213</f>
        <v>-1.0680170625573148E-2</v>
      </c>
      <c r="I215" s="77">
        <f>Data!AW213</f>
        <v>-1.8497590311799162E-3</v>
      </c>
      <c r="J215" s="77">
        <f>Data!BE213</f>
        <v>-4.1385216162854246E-2</v>
      </c>
      <c r="K215" s="77">
        <f>Data!BM213</f>
        <v>4.5469386555434367E-3</v>
      </c>
      <c r="L215" s="675"/>
    </row>
    <row r="216" spans="2:12" x14ac:dyDescent="0.35">
      <c r="B216" s="675"/>
      <c r="C216" s="30">
        <v>45621</v>
      </c>
      <c r="D216" s="77">
        <f>Data!I214</f>
        <v>0</v>
      </c>
      <c r="E216" s="77">
        <f>Data!Q214</f>
        <v>-8.9153636579522803E-3</v>
      </c>
      <c r="F216" s="77">
        <f>Data!Y214</f>
        <v>-8.2148961188915938E-3</v>
      </c>
      <c r="G216" s="77">
        <f>Data!AG214</f>
        <v>-1.1100012239706988E-3</v>
      </c>
      <c r="H216" s="77">
        <f>Data!AO214</f>
        <v>-1.3352606587348598E-2</v>
      </c>
      <c r="I216" s="77">
        <f>Data!AW214</f>
        <v>-7.2262108604783963E-3</v>
      </c>
      <c r="J216" s="77">
        <f>Data!BE214</f>
        <v>3.2335380642936451E-2</v>
      </c>
      <c r="K216" s="77">
        <f>Data!BM214</f>
        <v>8.3898523751760237E-3</v>
      </c>
      <c r="L216" s="675"/>
    </row>
    <row r="217" spans="2:12" x14ac:dyDescent="0.35">
      <c r="B217" s="675"/>
      <c r="C217" s="30">
        <v>45622</v>
      </c>
      <c r="D217" s="77">
        <f>Data!I215</f>
        <v>0</v>
      </c>
      <c r="E217" s="77">
        <f>Data!Q215</f>
        <v>-1.5037877364540559E-2</v>
      </c>
      <c r="F217" s="77">
        <f>Data!Y215</f>
        <v>1.1356588932335975E-2</v>
      </c>
      <c r="G217" s="77">
        <f>Data!AG215</f>
        <v>-2.5576883556730373E-3</v>
      </c>
      <c r="H217" s="77">
        <f>Data!AO215</f>
        <v>-1.3371121482985974E-2</v>
      </c>
      <c r="I217" s="77">
        <f>Data!AW215</f>
        <v>6.2143968856467533E-4</v>
      </c>
      <c r="J217" s="77">
        <f>Data!BE215</f>
        <v>-1.373019281190202E-2</v>
      </c>
      <c r="K217" s="77">
        <f>Data!BM215</f>
        <v>-1.7504498809274589E-2</v>
      </c>
      <c r="L217" s="675"/>
    </row>
    <row r="218" spans="2:12" x14ac:dyDescent="0.35">
      <c r="B218" s="675"/>
      <c r="C218" s="30">
        <v>45623</v>
      </c>
      <c r="D218" s="77">
        <f>Data!I216</f>
        <v>3.0153038170687457E-2</v>
      </c>
      <c r="E218" s="77">
        <f>Data!Q216</f>
        <v>1.5037877364540502E-2</v>
      </c>
      <c r="F218" s="77">
        <f>Data!Y216</f>
        <v>7.1886541794082904E-3</v>
      </c>
      <c r="G218" s="77">
        <f>Data!AG216</f>
        <v>7.6535230230219695E-3</v>
      </c>
      <c r="H218" s="77">
        <f>Data!AO216</f>
        <v>3.3176886531186001E-2</v>
      </c>
      <c r="I218" s="77">
        <f>Data!AW216</f>
        <v>4.7515841903988405E-3</v>
      </c>
      <c r="J218" s="77">
        <f>Data!BE216</f>
        <v>1.3730192811902037E-2</v>
      </c>
      <c r="K218" s="77">
        <f>Data!BM216</f>
        <v>2.3271897045191225E-2</v>
      </c>
      <c r="L218" s="675"/>
    </row>
    <row r="219" spans="2:12" x14ac:dyDescent="0.35">
      <c r="B219" s="675"/>
      <c r="C219" s="30">
        <v>45624</v>
      </c>
      <c r="D219" s="77">
        <f>Data!I217</f>
        <v>-9.950330853168092E-3</v>
      </c>
      <c r="E219" s="77">
        <f>Data!Q217</f>
        <v>-2.9895388483660483E-3</v>
      </c>
      <c r="F219" s="77">
        <f>Data!Y217</f>
        <v>-4.3695450296725767E-3</v>
      </c>
      <c r="G219" s="77">
        <f>Data!AG217</f>
        <v>-8.6561410538727977E-3</v>
      </c>
      <c r="H219" s="77">
        <f>Data!AO217</f>
        <v>4.7055133799006501E-4</v>
      </c>
      <c r="I219" s="77">
        <f>Data!AW217</f>
        <v>5.9591258232068135E-3</v>
      </c>
      <c r="J219" s="77">
        <f>Data!BE217</f>
        <v>4.0094457201877994E-2</v>
      </c>
      <c r="K219" s="77">
        <f>Data!BM217</f>
        <v>-1.6103407566578735E-2</v>
      </c>
      <c r="L219" s="675"/>
    </row>
    <row r="220" spans="2:12" x14ac:dyDescent="0.35">
      <c r="B220" s="675"/>
      <c r="C220" s="30">
        <v>45627</v>
      </c>
      <c r="D220" s="77">
        <f>Data!I218</f>
        <v>-1.0050335853501451E-2</v>
      </c>
      <c r="E220" s="77">
        <f>Data!Q218</f>
        <v>0</v>
      </c>
      <c r="F220" s="77">
        <f>Data!Y218</f>
        <v>-5.9608019631800435E-3</v>
      </c>
      <c r="G220" s="77">
        <f>Data!AG218</f>
        <v>3.1159606782575474E-3</v>
      </c>
      <c r="H220" s="77">
        <f>Data!AO218</f>
        <v>4.2250278013334841E-3</v>
      </c>
      <c r="I220" s="77">
        <f>Data!AW218</f>
        <v>-3.4889722411446467E-3</v>
      </c>
      <c r="J220" s="77">
        <f>Data!BE218</f>
        <v>3.8548670117235243E-2</v>
      </c>
      <c r="K220" s="77">
        <f>Data!BM218</f>
        <v>-3.9037134804732923E-3</v>
      </c>
      <c r="L220" s="675"/>
    </row>
    <row r="221" spans="2:12" x14ac:dyDescent="0.35">
      <c r="B221" s="675"/>
      <c r="C221" s="30">
        <v>45628</v>
      </c>
      <c r="D221" s="77">
        <f>Data!I219</f>
        <v>2.0000666706669435E-2</v>
      </c>
      <c r="E221" s="77">
        <f>Data!Q219</f>
        <v>-2.9985029962566689E-3</v>
      </c>
      <c r="F221" s="77">
        <f>Data!Y219</f>
        <v>4.3956114730381293E-3</v>
      </c>
      <c r="G221" s="77">
        <f>Data!AG219</f>
        <v>-1.1111728440796455E-4</v>
      </c>
      <c r="H221" s="77">
        <f>Data!AO219</f>
        <v>6.2441463158984867E-4</v>
      </c>
      <c r="I221" s="77">
        <f>Data!AW219</f>
        <v>-6.1696660054735039E-4</v>
      </c>
      <c r="J221" s="77">
        <f>Data!BE219</f>
        <v>4.1928782600359578E-3</v>
      </c>
      <c r="K221" s="77">
        <f>Data!BM219</f>
        <v>1.1665718815962414E-2</v>
      </c>
      <c r="L221" s="675"/>
    </row>
    <row r="222" spans="2:12" x14ac:dyDescent="0.35">
      <c r="B222" s="675"/>
      <c r="C222" s="30">
        <v>45629</v>
      </c>
      <c r="D222" s="77">
        <f>Data!I220</f>
        <v>-2.0000666706669428E-2</v>
      </c>
      <c r="E222" s="77">
        <f>Data!Q220</f>
        <v>2.9985029962566329E-3</v>
      </c>
      <c r="F222" s="77">
        <f>Data!Y220</f>
        <v>1.4308175667881177E-2</v>
      </c>
      <c r="G222" s="77">
        <f>Data!AG220</f>
        <v>-1.890885386265075E-3</v>
      </c>
      <c r="H222" s="77">
        <f>Data!AO220</f>
        <v>4.8260387899884474E-3</v>
      </c>
      <c r="I222" s="77">
        <f>Data!AW220</f>
        <v>-2.0593088002389551E-3</v>
      </c>
      <c r="J222" s="77">
        <f>Data!BE220</f>
        <v>-1.2631746905900462E-2</v>
      </c>
      <c r="K222" s="77">
        <f>Data!BM220</f>
        <v>8.3414022310895012E-3</v>
      </c>
      <c r="L222" s="675"/>
    </row>
    <row r="223" spans="2:12" x14ac:dyDescent="0.35">
      <c r="B223" s="675"/>
      <c r="C223" s="30">
        <v>45630</v>
      </c>
      <c r="D223" s="77">
        <f>Data!I221</f>
        <v>0</v>
      </c>
      <c r="E223" s="77">
        <f>Data!Q221</f>
        <v>2.3669744085904922E-2</v>
      </c>
      <c r="F223" s="77">
        <f>Data!Y221</f>
        <v>-1.0243764882810012E-2</v>
      </c>
      <c r="G223" s="77">
        <f>Data!AG221</f>
        <v>7.7903292571575376E-4</v>
      </c>
      <c r="H223" s="77">
        <f>Data!AO221</f>
        <v>7.7351870829849047E-3</v>
      </c>
      <c r="I223" s="77">
        <f>Data!AW221</f>
        <v>1.236094100528306E-3</v>
      </c>
      <c r="J223" s="77">
        <f>Data!BE221</f>
        <v>4.2283361095211049E-3</v>
      </c>
      <c r="K223" s="77">
        <f>Data!BM221</f>
        <v>2.8969280202720771E-2</v>
      </c>
      <c r="L223" s="675"/>
    </row>
    <row r="224" spans="2:12" x14ac:dyDescent="0.35">
      <c r="B224" s="675"/>
      <c r="C224" s="30">
        <v>45631</v>
      </c>
      <c r="D224" s="77">
        <f>Data!I222</f>
        <v>-1.0152371464017962E-2</v>
      </c>
      <c r="E224" s="77">
        <f>Data!Q222</f>
        <v>-2.9675768146116551E-2</v>
      </c>
      <c r="F224" s="77">
        <f>Data!Y222</f>
        <v>-9.0895469877440276E-3</v>
      </c>
      <c r="G224" s="77">
        <f>Data!AG222</f>
        <v>-4.450873557398436E-4</v>
      </c>
      <c r="H224" s="77">
        <f>Data!AO222</f>
        <v>3.3846186156937822E-3</v>
      </c>
      <c r="I224" s="77">
        <f>Data!AW222</f>
        <v>-3.7128755524263243E-3</v>
      </c>
      <c r="J224" s="77">
        <f>Data!BE222</f>
        <v>-1.2739025777429826E-2</v>
      </c>
      <c r="K224" s="77">
        <f>Data!BM222</f>
        <v>-1.2492354839187498E-2</v>
      </c>
      <c r="L224" s="675"/>
    </row>
    <row r="225" spans="2:12" x14ac:dyDescent="0.35">
      <c r="B225" s="675"/>
      <c r="C225" s="30">
        <v>45634</v>
      </c>
      <c r="D225" s="77">
        <f>Data!I223</f>
        <v>-3.1090587070031119E-2</v>
      </c>
      <c r="E225" s="77">
        <f>Data!Q223</f>
        <v>-3.0165935394256792E-3</v>
      </c>
      <c r="F225" s="77">
        <f>Data!Y223</f>
        <v>1.8873865307057287E-3</v>
      </c>
      <c r="G225" s="77">
        <f>Data!AG223</f>
        <v>-1.6708441648176058E-3</v>
      </c>
      <c r="H225" s="77">
        <f>Data!AO223</f>
        <v>-1.9071823901959085E-2</v>
      </c>
      <c r="I225" s="77">
        <f>Data!AW223</f>
        <v>-2.0667562334587789E-4</v>
      </c>
      <c r="J225" s="77">
        <f>Data!BE223</f>
        <v>-2.5975486403260563E-2</v>
      </c>
      <c r="K225" s="77">
        <f>Data!BM223</f>
        <v>-8.2045269319671824E-3</v>
      </c>
      <c r="L225" s="675"/>
    </row>
    <row r="226" spans="2:12" x14ac:dyDescent="0.35">
      <c r="B226" s="675"/>
      <c r="C226" s="30">
        <v>45635</v>
      </c>
      <c r="D226" s="77">
        <f>Data!I224</f>
        <v>-3.208831455150063E-2</v>
      </c>
      <c r="E226" s="77">
        <f>Data!Q224</f>
        <v>-9.1047669929193165E-3</v>
      </c>
      <c r="F226" s="77">
        <f>Data!Y224</f>
        <v>-9.4324798692950441E-4</v>
      </c>
      <c r="G226" s="77">
        <f>Data!AG224</f>
        <v>1.6708441648177223E-3</v>
      </c>
      <c r="H226" s="77">
        <f>Data!AO224</f>
        <v>2.1892111949053657E-3</v>
      </c>
      <c r="I226" s="77">
        <f>Data!AW224</f>
        <v>1.8585446754034412E-3</v>
      </c>
      <c r="J226" s="77">
        <f>Data!BE224</f>
        <v>-8.810629682154807E-3</v>
      </c>
      <c r="K226" s="77">
        <f>Data!BM224</f>
        <v>-6.995259049798877E-3</v>
      </c>
      <c r="L226" s="675"/>
    </row>
    <row r="227" spans="2:12" x14ac:dyDescent="0.35">
      <c r="B227" s="675"/>
      <c r="C227" s="30">
        <v>45636</v>
      </c>
      <c r="D227" s="77">
        <f>Data!I225</f>
        <v>2.1506205220963682E-2</v>
      </c>
      <c r="E227" s="77">
        <f>Data!Q225</f>
        <v>3.044142381228273E-3</v>
      </c>
      <c r="F227" s="77">
        <f>Data!Y225</f>
        <v>-5.0457376051537793E-3</v>
      </c>
      <c r="G227" s="77">
        <f>Data!AG225</f>
        <v>1.6680571006970134E-3</v>
      </c>
      <c r="H227" s="77">
        <f>Data!AO225</f>
        <v>-3.1289136916195777E-3</v>
      </c>
      <c r="I227" s="77">
        <f>Data!AW225</f>
        <v>2.0610065003688425E-3</v>
      </c>
      <c r="J227" s="77">
        <f>Data!BE225</f>
        <v>1.3187004281953681E-2</v>
      </c>
      <c r="K227" s="77">
        <f>Data!BM225</f>
        <v>1.6456067554027891E-2</v>
      </c>
      <c r="L227" s="675"/>
    </row>
    <row r="228" spans="2:12" x14ac:dyDescent="0.35">
      <c r="B228" s="675"/>
      <c r="C228" s="30">
        <v>45637</v>
      </c>
      <c r="D228" s="77">
        <f>Data!I226</f>
        <v>-1.0695289116747919E-2</v>
      </c>
      <c r="E228" s="77">
        <f>Data!Q226</f>
        <v>-3.4006367985194977E-2</v>
      </c>
      <c r="F228" s="77">
        <f>Data!Y226</f>
        <v>-8.8917702386277723E-3</v>
      </c>
      <c r="G228" s="77">
        <f>Data!AG226</f>
        <v>-1.1117288526904293E-3</v>
      </c>
      <c r="H228" s="77">
        <f>Data!AO226</f>
        <v>-3.6103955707811595E-3</v>
      </c>
      <c r="I228" s="77">
        <f>Data!AW226</f>
        <v>-4.7466810823164974E-3</v>
      </c>
      <c r="J228" s="77">
        <f>Data!BE226</f>
        <v>-4.3763745997987772E-3</v>
      </c>
      <c r="K228" s="77">
        <f>Data!BM226</f>
        <v>-3.3187474589932896E-2</v>
      </c>
      <c r="L228" s="675"/>
    </row>
    <row r="229" spans="2:12" x14ac:dyDescent="0.35">
      <c r="B229" s="675"/>
      <c r="C229" s="30">
        <v>45638</v>
      </c>
      <c r="D229" s="77">
        <f>Data!I227</f>
        <v>-1.081091610421573E-2</v>
      </c>
      <c r="E229" s="77">
        <f>Data!Q227</f>
        <v>0</v>
      </c>
      <c r="F229" s="77">
        <f>Data!Y227</f>
        <v>3.5026305512020745E-3</v>
      </c>
      <c r="G229" s="77">
        <f>Data!AG227</f>
        <v>-9.1630990884077144E-3</v>
      </c>
      <c r="H229" s="77">
        <f>Data!AO227</f>
        <v>0</v>
      </c>
      <c r="I229" s="77">
        <f>Data!AW227</f>
        <v>-3.1078446230955424E-3</v>
      </c>
      <c r="J229" s="77">
        <f>Data!BE227</f>
        <v>-8.810629682154807E-3</v>
      </c>
      <c r="K229" s="77">
        <f>Data!BM227</f>
        <v>2.5923540117301805E-3</v>
      </c>
      <c r="L229" s="675"/>
    </row>
    <row r="230" spans="2:12" x14ac:dyDescent="0.35">
      <c r="B230" s="675"/>
      <c r="C230" s="30">
        <v>45641</v>
      </c>
      <c r="D230" s="77">
        <f>Data!I228</f>
        <v>-1.0929070532190206E-2</v>
      </c>
      <c r="E230" s="77">
        <f>Data!Q228</f>
        <v>1.8692133012152546E-2</v>
      </c>
      <c r="F230" s="77">
        <f>Data!Y228</f>
        <v>-9.5404682065560896E-4</v>
      </c>
      <c r="G230" s="77">
        <f>Data!AG228</f>
        <v>8.9406049279614572E-3</v>
      </c>
      <c r="H230" s="77">
        <f>Data!AO228</f>
        <v>-3.1501049832414053E-3</v>
      </c>
      <c r="I230" s="77">
        <f>Data!AW228</f>
        <v>6.2234210078364501E-4</v>
      </c>
      <c r="J230" s="77">
        <f>Data!BE228</f>
        <v>0</v>
      </c>
      <c r="K230" s="77">
        <f>Data!BM228</f>
        <v>1.7960713726431994E-2</v>
      </c>
      <c r="L230" s="675"/>
    </row>
    <row r="231" spans="2:12" x14ac:dyDescent="0.35">
      <c r="B231" s="675"/>
      <c r="C231" s="30">
        <v>45643</v>
      </c>
      <c r="D231" s="77">
        <f>Data!I229</f>
        <v>1.092907053219023E-2</v>
      </c>
      <c r="E231" s="77">
        <f>Data!Q229</f>
        <v>9.2166551049240476E-3</v>
      </c>
      <c r="F231" s="77">
        <f>Data!Y229</f>
        <v>1.797305199025025E-2</v>
      </c>
      <c r="G231" s="77">
        <f>Data!AG229</f>
        <v>-3.5666555865743114E-3</v>
      </c>
      <c r="H231" s="77">
        <f>Data!AO229</f>
        <v>1.5186201828107456E-2</v>
      </c>
      <c r="I231" s="77">
        <f>Data!AW229</f>
        <v>6.4082906640997974E-3</v>
      </c>
      <c r="J231" s="77">
        <f>Data!BE229</f>
        <v>2.6202372394023902E-2</v>
      </c>
      <c r="K231" s="77">
        <f>Data!BM229</f>
        <v>-2.5461503252453177E-3</v>
      </c>
      <c r="L231" s="675"/>
    </row>
    <row r="232" spans="2:12" x14ac:dyDescent="0.35">
      <c r="B232" s="675"/>
      <c r="C232" s="30">
        <v>45644</v>
      </c>
      <c r="D232" s="77">
        <f>Data!I230</f>
        <v>-1.0929070532190206E-2</v>
      </c>
      <c r="E232" s="77">
        <f>Data!Q230</f>
        <v>-3.0627895305457668E-3</v>
      </c>
      <c r="F232" s="77">
        <f>Data!Y230</f>
        <v>1.3039613507803549E-2</v>
      </c>
      <c r="G232" s="77">
        <f>Data!AG230</f>
        <v>2.230650043832166E-3</v>
      </c>
      <c r="H232" s="77">
        <f>Data!AO230</f>
        <v>2.1823518636728372E-2</v>
      </c>
      <c r="I232" s="77">
        <f>Data!AW230</f>
        <v>1.8528054708523433E-3</v>
      </c>
      <c r="J232" s="77">
        <f>Data!BE230</f>
        <v>-2.1787354184907296E-2</v>
      </c>
      <c r="K232" s="77">
        <f>Data!BM230</f>
        <v>-4.471422333401389E-3</v>
      </c>
      <c r="L232" s="675"/>
    </row>
    <row r="233" spans="2:12" x14ac:dyDescent="0.35">
      <c r="B233" s="675"/>
      <c r="C233" s="30">
        <v>45645</v>
      </c>
      <c r="D233" s="77">
        <f>Data!I231</f>
        <v>0</v>
      </c>
      <c r="E233" s="77">
        <f>Data!Q231</f>
        <v>-1.2345835822299266E-2</v>
      </c>
      <c r="F233" s="77">
        <f>Data!Y231</f>
        <v>3.694585483361607E-3</v>
      </c>
      <c r="G233" s="77">
        <f>Data!AG231</f>
        <v>2.2279157939989478E-4</v>
      </c>
      <c r="H233" s="77">
        <f>Data!AO231</f>
        <v>-4.5710882579767147E-3</v>
      </c>
      <c r="I233" s="77">
        <f>Data!AW231</f>
        <v>5.1287423940860524E-3</v>
      </c>
      <c r="J233" s="77">
        <f>Data!BE231</f>
        <v>1.7467693040390999E-2</v>
      </c>
      <c r="K233" s="77">
        <f>Data!BM231</f>
        <v>0</v>
      </c>
      <c r="L233" s="675"/>
    </row>
    <row r="234" spans="2:12" x14ac:dyDescent="0.35">
      <c r="B234" s="675"/>
      <c r="C234" s="30">
        <v>45648</v>
      </c>
      <c r="D234" s="77">
        <f>Data!I232</f>
        <v>-1.1049836186584935E-2</v>
      </c>
      <c r="E234" s="77">
        <f>Data!Q232</f>
        <v>1.8462062839735352E-2</v>
      </c>
      <c r="F234" s="77">
        <f>Data!Y232</f>
        <v>-6.1481711128189421E-4</v>
      </c>
      <c r="G234" s="77">
        <f>Data!AG232</f>
        <v>2.2251900592400909E-3</v>
      </c>
      <c r="H234" s="77">
        <f>Data!AO232</f>
        <v>-1.6813148782957811E-3</v>
      </c>
      <c r="I234" s="77">
        <f>Data!AW232</f>
        <v>-4.0933279327166802E-4</v>
      </c>
      <c r="J234" s="77">
        <f>Data!BE232</f>
        <v>-2.1882711249507709E-2</v>
      </c>
      <c r="K234" s="77">
        <f>Data!BM232</f>
        <v>-5.7785072509440559E-3</v>
      </c>
      <c r="L234" s="675"/>
    </row>
    <row r="235" spans="2:12" x14ac:dyDescent="0.35">
      <c r="B235" s="675"/>
      <c r="C235" s="30">
        <v>45649</v>
      </c>
      <c r="D235" s="77">
        <f>Data!I233</f>
        <v>0</v>
      </c>
      <c r="E235" s="77">
        <f>Data!Q233</f>
        <v>-1.8462062839735217E-2</v>
      </c>
      <c r="F235" s="77">
        <f>Data!Y233</f>
        <v>-5.2412637327002558E-3</v>
      </c>
      <c r="G235" s="77">
        <f>Data!AG233</f>
        <v>1.1112963283090565E-4</v>
      </c>
      <c r="H235" s="77">
        <f>Data!AO233</f>
        <v>-7.5240278174809128E-3</v>
      </c>
      <c r="I235" s="77">
        <f>Data!AW233</f>
        <v>-8.191685897355384E-4</v>
      </c>
      <c r="J235" s="77">
        <f>Data!BE233</f>
        <v>-8.888947417246152E-3</v>
      </c>
      <c r="K235" s="77">
        <f>Data!BM233</f>
        <v>-5.1646338168413221E-3</v>
      </c>
      <c r="L235" s="675"/>
    </row>
    <row r="236" spans="2:12" x14ac:dyDescent="0.35">
      <c r="B236" s="675"/>
      <c r="C236" s="30">
        <v>45650</v>
      </c>
      <c r="D236" s="77">
        <f>Data!I234</f>
        <v>0</v>
      </c>
      <c r="E236" s="77">
        <f>Data!Q234</f>
        <v>2.4541108916117445E-2</v>
      </c>
      <c r="F236" s="77">
        <f>Data!Y234</f>
        <v>-3.095977705128121E-3</v>
      </c>
      <c r="G236" s="77">
        <f>Data!AG234</f>
        <v>-2.0022253629987919E-3</v>
      </c>
      <c r="H236" s="77">
        <f>Data!AO234</f>
        <v>1.9536640908278436E-2</v>
      </c>
      <c r="I236" s="77">
        <f>Data!AW234</f>
        <v>-2.6669417797296835E-3</v>
      </c>
      <c r="J236" s="77">
        <f>Data!BE234</f>
        <v>0</v>
      </c>
      <c r="K236" s="77">
        <f>Data!BM234</f>
        <v>7.0945154064911012E-3</v>
      </c>
      <c r="L236" s="675"/>
    </row>
    <row r="237" spans="2:12" x14ac:dyDescent="0.35">
      <c r="B237" s="675"/>
      <c r="C237" s="30">
        <v>45652</v>
      </c>
      <c r="D237" s="77">
        <f>Data!I235</f>
        <v>0</v>
      </c>
      <c r="E237" s="77">
        <f>Data!Q235</f>
        <v>3.0257209165371114E-3</v>
      </c>
      <c r="F237" s="77">
        <f>Data!Y235</f>
        <v>0</v>
      </c>
      <c r="G237" s="77">
        <f>Data!AG235</f>
        <v>-1.7831276317165157E-3</v>
      </c>
      <c r="H237" s="77">
        <f>Data!AO235</f>
        <v>-7.4338505125545766E-3</v>
      </c>
      <c r="I237" s="77">
        <f>Data!AW235</f>
        <v>4.9180426996450729E-3</v>
      </c>
      <c r="J237" s="77">
        <f>Data!BE235</f>
        <v>8.8889474172462145E-3</v>
      </c>
      <c r="K237" s="77">
        <f>Data!BM235</f>
        <v>1.3405882224701357E-2</v>
      </c>
      <c r="L237" s="675"/>
    </row>
    <row r="238" spans="2:12" x14ac:dyDescent="0.35">
      <c r="B238" s="675"/>
      <c r="C238" s="30">
        <v>45655</v>
      </c>
      <c r="D238" s="77">
        <f>Data!I236</f>
        <v>0</v>
      </c>
      <c r="E238" s="77">
        <f>Data!Q236</f>
        <v>-2.7566829832654592E-2</v>
      </c>
      <c r="F238" s="77">
        <f>Data!Y236</f>
        <v>0</v>
      </c>
      <c r="G238" s="77">
        <f>Data!AG236</f>
        <v>1.1533897408334425E-2</v>
      </c>
      <c r="H238" s="77">
        <f>Data!AO236</f>
        <v>-4.2937066620943057E-2</v>
      </c>
      <c r="I238" s="77">
        <f>Data!AW236</f>
        <v>-1.0225995369081222E-3</v>
      </c>
      <c r="J238" s="77">
        <f>Data!BE236</f>
        <v>0</v>
      </c>
      <c r="K238" s="77">
        <f>Data!BM236</f>
        <v>-1.0838486719455594E-2</v>
      </c>
      <c r="L238" s="675"/>
    </row>
    <row r="239" spans="2:12" ht="16" customHeight="1" x14ac:dyDescent="0.35">
      <c r="B239" s="675"/>
      <c r="C239" s="33">
        <v>45656</v>
      </c>
      <c r="D239" s="628">
        <f>Data!I237</f>
        <v>2.1978906718775167E-2</v>
      </c>
      <c r="E239" s="628">
        <f>Data!Q237</f>
        <v>1.5408625352845061E-2</v>
      </c>
      <c r="F239" s="628">
        <f>Data!Y237</f>
        <v>1.8587365946255636E-3</v>
      </c>
      <c r="G239" s="628">
        <f>Data!AG237</f>
        <v>-1.6553554516638203E-3</v>
      </c>
      <c r="H239" s="628">
        <f>Data!AO237</f>
        <v>9.4922402329451309E-3</v>
      </c>
      <c r="I239" s="628">
        <f>Data!AW237</f>
        <v>-2.4585138382072634E-3</v>
      </c>
      <c r="J239" s="628">
        <f>Data!BE237</f>
        <v>0</v>
      </c>
      <c r="K239" s="628">
        <f>Data!BM237</f>
        <v>1.2739025777429712E-2</v>
      </c>
      <c r="L239" s="675"/>
    </row>
    <row r="240" spans="2:12" x14ac:dyDescent="0.35">
      <c r="B240" s="675" t="s">
        <v>69</v>
      </c>
      <c r="C240" s="30">
        <v>45658</v>
      </c>
      <c r="D240" s="625">
        <f>Data!I238</f>
        <v>1.0810916104215676E-2</v>
      </c>
      <c r="E240" s="625">
        <f>Data!Q238</f>
        <v>0</v>
      </c>
      <c r="F240" s="625">
        <f>Data!Y238</f>
        <v>6.1709544794070906E-3</v>
      </c>
      <c r="G240" s="625">
        <f>Data!AG238</f>
        <v>2.0963211737249549E-3</v>
      </c>
      <c r="H240" s="625">
        <f>Data!AO238</f>
        <v>1.7305125061146643E-3</v>
      </c>
      <c r="I240" s="625">
        <f>Data!AW238</f>
        <v>3.8898605706692655E-3</v>
      </c>
      <c r="J240" s="625">
        <f>Data!BE238</f>
        <v>-8.888947417246152E-3</v>
      </c>
      <c r="K240" s="625">
        <f>Data!BM238</f>
        <v>-1.1457795621381274E-2</v>
      </c>
      <c r="L240" s="675">
        <v>61</v>
      </c>
    </row>
    <row r="241" spans="2:12" x14ac:dyDescent="0.35">
      <c r="B241" s="675"/>
      <c r="C241" s="30">
        <v>45659</v>
      </c>
      <c r="D241" s="77">
        <f>Data!I239</f>
        <v>3.174869831458027E-2</v>
      </c>
      <c r="E241" s="77">
        <f>Data!Q239</f>
        <v>-3.0627895305457668E-3</v>
      </c>
      <c r="F241" s="77">
        <f>Data!Y239</f>
        <v>-2.772218008284034E-3</v>
      </c>
      <c r="G241" s="77">
        <f>Data!AG239</f>
        <v>-8.9676770361565329E-3</v>
      </c>
      <c r="H241" s="77">
        <f>Data!AO239</f>
        <v>-4.2529795538500696E-3</v>
      </c>
      <c r="I241" s="77">
        <f>Data!AW239</f>
        <v>-1.0221814239713973E-3</v>
      </c>
      <c r="J241" s="77">
        <f>Data!BE239</f>
        <v>4.4543503493803746E-3</v>
      </c>
      <c r="K241" s="77">
        <f>Data!BM239</f>
        <v>-7.712120486338919E-3</v>
      </c>
      <c r="L241" s="675"/>
    </row>
    <row r="242" spans="2:12" x14ac:dyDescent="0.35">
      <c r="B242" s="675"/>
      <c r="C242" s="30">
        <v>45662</v>
      </c>
      <c r="D242" s="77">
        <f>Data!I240</f>
        <v>-1.0471299867295366E-2</v>
      </c>
      <c r="E242" s="77">
        <f>Data!Q240</f>
        <v>-3.0721990369702518E-3</v>
      </c>
      <c r="F242" s="77">
        <f>Data!Y240</f>
        <v>1.5410698072245224E-3</v>
      </c>
      <c r="G242" s="77">
        <f>Data!AG240</f>
        <v>-1.6695423767838853E-3</v>
      </c>
      <c r="H242" s="77">
        <f>Data!AO240</f>
        <v>-3.7956711709998857E-3</v>
      </c>
      <c r="I242" s="77">
        <f>Data!AW240</f>
        <v>-3.6885287721027584E-3</v>
      </c>
      <c r="J242" s="77">
        <f>Data!BE240</f>
        <v>-1.7937700686667207E-2</v>
      </c>
      <c r="K242" s="77">
        <f>Data!BM240</f>
        <v>4.5059619207059153E-3</v>
      </c>
      <c r="L242" s="675"/>
    </row>
    <row r="243" spans="2:12" x14ac:dyDescent="0.35">
      <c r="B243" s="675"/>
      <c r="C243" s="30">
        <v>45663</v>
      </c>
      <c r="D243" s="77">
        <f>Data!I241</f>
        <v>0</v>
      </c>
      <c r="E243" s="77">
        <f>Data!Q241</f>
        <v>0</v>
      </c>
      <c r="F243" s="77">
        <f>Data!Y241</f>
        <v>1.5386985648552947E-3</v>
      </c>
      <c r="G243" s="77">
        <f>Data!AG241</f>
        <v>6.2187873931549278E-3</v>
      </c>
      <c r="H243" s="77">
        <f>Data!AO241</f>
        <v>3.3219994166632395E-3</v>
      </c>
      <c r="I243" s="77">
        <f>Data!AW241</f>
        <v>3.2793634636121842E-3</v>
      </c>
      <c r="J243" s="77">
        <f>Data!BE241</f>
        <v>1.7937700686667252E-2</v>
      </c>
      <c r="K243" s="77">
        <f>Data!BM241</f>
        <v>-3.8610086574594311E-3</v>
      </c>
      <c r="L243" s="675"/>
    </row>
    <row r="244" spans="2:12" x14ac:dyDescent="0.35">
      <c r="B244" s="675"/>
      <c r="C244" s="30">
        <v>45664</v>
      </c>
      <c r="D244" s="77">
        <f>Data!I242</f>
        <v>1.0471299867295437E-2</v>
      </c>
      <c r="E244" s="77">
        <f>Data!Q242</f>
        <v>-9.2736367853291021E-3</v>
      </c>
      <c r="F244" s="77">
        <f>Data!Y242</f>
        <v>2.7637051216179423E-3</v>
      </c>
      <c r="G244" s="77">
        <f>Data!AG242</f>
        <v>-2.2165585934337162E-3</v>
      </c>
      <c r="H244" s="77">
        <f>Data!AO242</f>
        <v>-5.2252513789739063E-3</v>
      </c>
      <c r="I244" s="77">
        <f>Data!AW242</f>
        <v>-8.1883320849448647E-4</v>
      </c>
      <c r="J244" s="77">
        <f>Data!BE242</f>
        <v>-1.3423020332140774E-2</v>
      </c>
      <c r="K244" s="77">
        <f>Data!BM242</f>
        <v>-9.7182494689213392E-3</v>
      </c>
      <c r="L244" s="675"/>
    </row>
    <row r="245" spans="2:12" ht="15.5" customHeight="1" x14ac:dyDescent="0.35">
      <c r="B245" s="675"/>
      <c r="C245" s="30">
        <v>45665</v>
      </c>
      <c r="D245" s="77">
        <f>Data!I243</f>
        <v>-1.0471299867295366E-2</v>
      </c>
      <c r="E245" s="77">
        <f>Data!Q243</f>
        <v>-6.2305497506361975E-3</v>
      </c>
      <c r="F245" s="77">
        <f>Data!Y243</f>
        <v>1.8382358117509823E-3</v>
      </c>
      <c r="G245" s="77">
        <f>Data!AG243</f>
        <v>-8.9156948545706625E-3</v>
      </c>
      <c r="H245" s="77">
        <f>Data!AO243</f>
        <v>1.5874275769508074E-4</v>
      </c>
      <c r="I245" s="77">
        <f>Data!AW243</f>
        <v>-2.2552546719273509E-3</v>
      </c>
      <c r="J245" s="77">
        <f>Data!BE243</f>
        <v>8.9686699827603161E-3</v>
      </c>
      <c r="K245" s="77">
        <f>Data!BM243</f>
        <v>1.9512201312617493E-3</v>
      </c>
      <c r="L245" s="675"/>
    </row>
    <row r="246" spans="2:12" x14ac:dyDescent="0.35">
      <c r="B246" s="675"/>
      <c r="C246" s="30">
        <v>45666</v>
      </c>
      <c r="D246" s="77">
        <f>Data!I244</f>
        <v>0</v>
      </c>
      <c r="E246" s="77">
        <f>Data!Q244</f>
        <v>-9.4192219164916397E-3</v>
      </c>
      <c r="F246" s="77">
        <f>Data!Y244</f>
        <v>1.729674437426864E-2</v>
      </c>
      <c r="G246" s="77">
        <f>Data!AG244</f>
        <v>7.1389037152798374E-3</v>
      </c>
      <c r="H246" s="77">
        <f>Data!AO244</f>
        <v>-1.9065782705816427E-3</v>
      </c>
      <c r="I246" s="77">
        <f>Data!AW244</f>
        <v>-2.0546545136642517E-3</v>
      </c>
      <c r="J246" s="77">
        <f>Data!BE244</f>
        <v>-1.801850550267825E-2</v>
      </c>
      <c r="K246" s="77">
        <f>Data!BM244</f>
        <v>5.1847167341868951E-3</v>
      </c>
      <c r="L246" s="675"/>
    </row>
    <row r="247" spans="2:12" x14ac:dyDescent="0.35">
      <c r="B247" s="675"/>
      <c r="C247" s="30">
        <v>45669</v>
      </c>
      <c r="D247" s="77">
        <f>Data!I245</f>
        <v>0</v>
      </c>
      <c r="E247" s="77">
        <f>Data!Q245</f>
        <v>-6.3291350516475123E-3</v>
      </c>
      <c r="F247" s="77">
        <f>Data!Y245</f>
        <v>7.7914688437733448E-3</v>
      </c>
      <c r="G247" s="77">
        <f>Data!AG245</f>
        <v>-7.6987827960267301E-3</v>
      </c>
      <c r="H247" s="77">
        <f>Data!AO245</f>
        <v>-1.3771234448648098E-2</v>
      </c>
      <c r="I247" s="77">
        <f>Data!AW245</f>
        <v>2.0546545136643757E-3</v>
      </c>
      <c r="J247" s="77">
        <f>Data!BE245</f>
        <v>-9.1324835632724741E-3</v>
      </c>
      <c r="K247" s="77">
        <f>Data!BM245</f>
        <v>-3.2372964497913107E-3</v>
      </c>
      <c r="L247" s="675"/>
    </row>
    <row r="248" spans="2:12" x14ac:dyDescent="0.35">
      <c r="B248" s="675"/>
      <c r="C248" s="30">
        <v>45670</v>
      </c>
      <c r="D248" s="77">
        <f>Data!I246</f>
        <v>-1.0582109330536859E-2</v>
      </c>
      <c r="E248" s="77">
        <f>Data!Q246</f>
        <v>-2.8987536873252298E-2</v>
      </c>
      <c r="F248" s="77">
        <f>Data!Y246</f>
        <v>1.2164517306526498E-2</v>
      </c>
      <c r="G248" s="77">
        <f>Data!AG246</f>
        <v>-1.1201344173004818E-4</v>
      </c>
      <c r="H248" s="77">
        <f>Data!AO246</f>
        <v>-1.3309724154022593E-2</v>
      </c>
      <c r="I248" s="77">
        <f>Data!AW246</f>
        <v>8.1766604372455389E-3</v>
      </c>
      <c r="J248" s="77">
        <f>Data!BE246</f>
        <v>-4.5977092486295425E-3</v>
      </c>
      <c r="K248" s="77">
        <f>Data!BM246</f>
        <v>7.1545020626244595E-3</v>
      </c>
      <c r="L248" s="675"/>
    </row>
    <row r="249" spans="2:12" x14ac:dyDescent="0.35">
      <c r="B249" s="675"/>
      <c r="C249" s="30">
        <v>45671</v>
      </c>
      <c r="D249" s="77">
        <f>Data!I247</f>
        <v>-2.150620522096373E-2</v>
      </c>
      <c r="E249" s="77">
        <f>Data!Q247</f>
        <v>0</v>
      </c>
      <c r="F249" s="77">
        <f>Data!Y247</f>
        <v>-1.8452904550613828E-2</v>
      </c>
      <c r="G249" s="77">
        <f>Data!AG247</f>
        <v>7.8383073270182305E-4</v>
      </c>
      <c r="H249" s="77">
        <f>Data!AO247</f>
        <v>-5.5710450494553601E-3</v>
      </c>
      <c r="I249" s="77">
        <f>Data!AW247</f>
        <v>4.634417844117153E-2</v>
      </c>
      <c r="J249" s="77">
        <f>Data!BE247</f>
        <v>4.5977092486295494E-3</v>
      </c>
      <c r="K249" s="77">
        <f>Data!BM247</f>
        <v>4.526357550131456E-3</v>
      </c>
      <c r="L249" s="675"/>
    </row>
    <row r="250" spans="2:12" x14ac:dyDescent="0.35">
      <c r="B250" s="675"/>
      <c r="C250" s="30">
        <v>45672</v>
      </c>
      <c r="D250" s="77">
        <f>Data!I248</f>
        <v>-2.1978906718775115E-2</v>
      </c>
      <c r="E250" s="77">
        <f>Data!Q248</f>
        <v>-3.273325344969249E-3</v>
      </c>
      <c r="F250" s="77">
        <f>Data!Y248</f>
        <v>-1.0569326837439261E-2</v>
      </c>
      <c r="G250" s="77">
        <f>Data!AG248</f>
        <v>7.8321682325416351E-4</v>
      </c>
      <c r="H250" s="77">
        <f>Data!AO248</f>
        <v>-1.5899639347421442E-2</v>
      </c>
      <c r="I250" s="77">
        <f>Data!AW248</f>
        <v>-2.0024226191424618E-2</v>
      </c>
      <c r="J250" s="77">
        <f>Data!BE248</f>
        <v>-4.5977092486295425E-3</v>
      </c>
      <c r="K250" s="77">
        <f>Data!BM248</f>
        <v>3.8634948250446392E-3</v>
      </c>
      <c r="L250" s="675"/>
    </row>
    <row r="251" spans="2:12" x14ac:dyDescent="0.35">
      <c r="B251" s="675"/>
      <c r="C251" s="30">
        <v>45673</v>
      </c>
      <c r="D251" s="77">
        <f>Data!I249</f>
        <v>-1.1173300598125189E-2</v>
      </c>
      <c r="E251" s="77">
        <f>Data!Q249</f>
        <v>-3.2840752011899961E-3</v>
      </c>
      <c r="F251" s="77">
        <f>Data!Y249</f>
        <v>5.1476268096607323E-3</v>
      </c>
      <c r="G251" s="77">
        <f>Data!AG249</f>
        <v>-4.0345230115560286E-3</v>
      </c>
      <c r="H251" s="77">
        <f>Data!AO249</f>
        <v>-1.4969584052326255E-2</v>
      </c>
      <c r="I251" s="77">
        <f>Data!AW249</f>
        <v>-1.0164512027461756E-2</v>
      </c>
      <c r="J251" s="77">
        <f>Data!BE249</f>
        <v>4.5977092486295494E-3</v>
      </c>
      <c r="K251" s="77">
        <f>Data!BM249</f>
        <v>-2.6043138536019979E-2</v>
      </c>
      <c r="L251" s="675"/>
    </row>
    <row r="252" spans="2:12" x14ac:dyDescent="0.35">
      <c r="B252" s="675"/>
      <c r="C252" s="30">
        <v>45676</v>
      </c>
      <c r="D252" s="77">
        <f>Data!I250</f>
        <v>-1.1299555253933282E-2</v>
      </c>
      <c r="E252" s="77">
        <f>Data!Q250</f>
        <v>6.5574005461592607E-3</v>
      </c>
      <c r="F252" s="77">
        <f>Data!Y250</f>
        <v>4.2194155427080684E-3</v>
      </c>
      <c r="G252" s="77">
        <f>Data!AG250</f>
        <v>-3.4872637849072854E-3</v>
      </c>
      <c r="H252" s="77">
        <f>Data!AO250</f>
        <v>-5.0851768194727057E-4</v>
      </c>
      <c r="I252" s="77">
        <f>Data!AW250</f>
        <v>1.2012013456341492E-3</v>
      </c>
      <c r="J252" s="77">
        <f>Data!BE250</f>
        <v>-9.2166551049239522E-3</v>
      </c>
      <c r="K252" s="77">
        <f>Data!BM250</f>
        <v>1.180341572488464E-2</v>
      </c>
      <c r="L252" s="675"/>
    </row>
    <row r="253" spans="2:12" x14ac:dyDescent="0.35">
      <c r="B253" s="675"/>
      <c r="C253" s="30">
        <v>45677</v>
      </c>
      <c r="D253" s="77">
        <f>Data!I251</f>
        <v>1.1299555253933247E-2</v>
      </c>
      <c r="E253" s="77">
        <f>Data!Q251</f>
        <v>1.9418085857101516E-2</v>
      </c>
      <c r="F253" s="77">
        <f>Data!Y251</f>
        <v>1.802885103725125E-3</v>
      </c>
      <c r="G253" s="77">
        <f>Data!AG251</f>
        <v>3.4446065710371336E-2</v>
      </c>
      <c r="H253" s="77">
        <f>Data!AO251</f>
        <v>-1.5271064306507059E-3</v>
      </c>
      <c r="I253" s="77">
        <f>Data!AW251</f>
        <v>2.2748483685101593E-2</v>
      </c>
      <c r="J253" s="77">
        <f>Data!BE251</f>
        <v>1.8349138668196398E-2</v>
      </c>
      <c r="K253" s="77">
        <f>Data!BM251</f>
        <v>3.2541519116778229E-3</v>
      </c>
      <c r="L253" s="675"/>
    </row>
    <row r="254" spans="2:12" x14ac:dyDescent="0.35">
      <c r="B254" s="675"/>
      <c r="C254" s="30">
        <v>45678</v>
      </c>
      <c r="D254" s="77">
        <f>Data!I252</f>
        <v>-1.1299555253933282E-2</v>
      </c>
      <c r="E254" s="77">
        <f>Data!Q252</f>
        <v>0</v>
      </c>
      <c r="F254" s="77">
        <f>Data!Y252</f>
        <v>8.072999443806423E-3</v>
      </c>
      <c r="G254" s="77">
        <f>Data!AG252</f>
        <v>-1.735163235107106E-2</v>
      </c>
      <c r="H254" s="77">
        <f>Data!AO252</f>
        <v>1.1879509246017818E-3</v>
      </c>
      <c r="I254" s="77">
        <f>Data!AW252</f>
        <v>-1.9577140160277643E-3</v>
      </c>
      <c r="J254" s="77">
        <f>Data!BE252</f>
        <v>4.0094457201877994E-2</v>
      </c>
      <c r="K254" s="77">
        <f>Data!BM252</f>
        <v>-7.1731641124133678E-3</v>
      </c>
      <c r="L254" s="675"/>
    </row>
    <row r="255" spans="2:12" x14ac:dyDescent="0.35">
      <c r="B255" s="675"/>
      <c r="C255" s="30">
        <v>45679</v>
      </c>
      <c r="D255" s="77">
        <f>Data!I253</f>
        <v>-1.1428695823622968E-2</v>
      </c>
      <c r="E255" s="77">
        <f>Data!Q253</f>
        <v>-3.2102756302480988E-3</v>
      </c>
      <c r="F255" s="77">
        <f>Data!Y253</f>
        <v>-2.9784065745126434E-4</v>
      </c>
      <c r="G255" s="77">
        <f>Data!AG253</f>
        <v>-3.2177558970374331E-3</v>
      </c>
      <c r="H255" s="77">
        <f>Data!AO253</f>
        <v>-1.1257154524634558E-2</v>
      </c>
      <c r="I255" s="77">
        <f>Data!AW253</f>
        <v>-1.2819424151415994E-2</v>
      </c>
      <c r="J255" s="77">
        <f>Data!BE253</f>
        <v>-2.655023209412084E-2</v>
      </c>
      <c r="K255" s="77">
        <f>Data!BM253</f>
        <v>-6.5660117708905581E-3</v>
      </c>
      <c r="L255" s="675"/>
    </row>
    <row r="256" spans="2:12" x14ac:dyDescent="0.35">
      <c r="B256" s="675"/>
      <c r="C256" s="30">
        <v>45680</v>
      </c>
      <c r="D256" s="77">
        <f>Data!I254</f>
        <v>-1.1560822401075971E-2</v>
      </c>
      <c r="E256" s="77">
        <f>Data!Q254</f>
        <v>0</v>
      </c>
      <c r="F256" s="77">
        <f>Data!Y254</f>
        <v>-5.9755182286609079E-3</v>
      </c>
      <c r="G256" s="77">
        <f>Data!AG254</f>
        <v>-6.802368019725516E-3</v>
      </c>
      <c r="H256" s="77">
        <f>Data!AO254</f>
        <v>-6.0215235706860279E-3</v>
      </c>
      <c r="I256" s="77">
        <f>Data!AW254</f>
        <v>-8.5717658299015835E-3</v>
      </c>
      <c r="J256" s="77">
        <f>Data!BE254</f>
        <v>4.4742803949211069E-3</v>
      </c>
      <c r="K256" s="77">
        <f>Data!BM254</f>
        <v>3.9447782910163251E-3</v>
      </c>
      <c r="L256" s="675"/>
    </row>
    <row r="257" spans="2:12" x14ac:dyDescent="0.35">
      <c r="B257" s="675"/>
      <c r="C257" s="30">
        <v>45683</v>
      </c>
      <c r="D257" s="77">
        <f>Data!I255</f>
        <v>0</v>
      </c>
      <c r="E257" s="77">
        <f>Data!Q255</f>
        <v>3.2102756302481894E-3</v>
      </c>
      <c r="F257" s="77">
        <f>Data!Y255</f>
        <v>-1.0846746898180902E-2</v>
      </c>
      <c r="G257" s="77">
        <f>Data!AG255</f>
        <v>-1.9205289792806376E-2</v>
      </c>
      <c r="H257" s="77">
        <f>Data!AO255</f>
        <v>-4.6446062989203118E-2</v>
      </c>
      <c r="I257" s="77">
        <f>Data!AW255</f>
        <v>-8.04024431856557E-3</v>
      </c>
      <c r="J257" s="77">
        <f>Data!BE255</f>
        <v>-1.3483350337286875E-2</v>
      </c>
      <c r="K257" s="77">
        <f>Data!BM255</f>
        <v>-9.8912774787426674E-3</v>
      </c>
      <c r="L257" s="675"/>
    </row>
    <row r="258" spans="2:12" x14ac:dyDescent="0.35">
      <c r="B258" s="675"/>
      <c r="C258" s="30">
        <v>45684</v>
      </c>
      <c r="D258" s="77">
        <f>Data!I256</f>
        <v>1.1560822401076006E-2</v>
      </c>
      <c r="E258" s="77">
        <f>Data!Q256</f>
        <v>3.2000027306708497E-3</v>
      </c>
      <c r="F258" s="77">
        <f>Data!Y256</f>
        <v>2.1183242903888106E-3</v>
      </c>
      <c r="G258" s="77">
        <f>Data!AG256</f>
        <v>8.8576550052999886E-3</v>
      </c>
      <c r="H258" s="77">
        <f>Data!AO256</f>
        <v>-3.4949299114742635E-2</v>
      </c>
      <c r="I258" s="77">
        <f>Data!AW256</f>
        <v>1.6413498981562202E-2</v>
      </c>
      <c r="J258" s="77">
        <f>Data!BE256</f>
        <v>-4.5351551653913741E-3</v>
      </c>
      <c r="K258" s="77">
        <f>Data!BM256</f>
        <v>1.0547230273663014E-2</v>
      </c>
      <c r="L258" s="675"/>
    </row>
    <row r="259" spans="2:12" x14ac:dyDescent="0.35">
      <c r="B259" s="675"/>
      <c r="C259" s="30">
        <v>45685</v>
      </c>
      <c r="D259" s="77">
        <f>Data!I257</f>
        <v>1.142869582362285E-2</v>
      </c>
      <c r="E259" s="77">
        <f>Data!Q257</f>
        <v>-3.2000027306709027E-3</v>
      </c>
      <c r="F259" s="77">
        <f>Data!Y257</f>
        <v>2.7169828034704822E-3</v>
      </c>
      <c r="G259" s="77">
        <f>Data!AG257</f>
        <v>-3.6614727851836067E-2</v>
      </c>
      <c r="H259" s="77">
        <f>Data!AO257</f>
        <v>-1.5278991939098988E-2</v>
      </c>
      <c r="I259" s="77">
        <f>Data!AW257</f>
        <v>-1.2586321382300576E-2</v>
      </c>
      <c r="J259" s="77">
        <f>Data!BE257</f>
        <v>5.3109825313948332E-2</v>
      </c>
      <c r="K259" s="77">
        <f>Data!BM257</f>
        <v>9.7880063661629439E-3</v>
      </c>
      <c r="L259" s="675"/>
    </row>
    <row r="260" spans="2:12" x14ac:dyDescent="0.35">
      <c r="B260" s="675"/>
      <c r="C260" s="30">
        <v>45686</v>
      </c>
      <c r="D260" s="77">
        <f>Data!I258</f>
        <v>-1.1428695823622968E-2</v>
      </c>
      <c r="E260" s="77">
        <f>Data!Q258</f>
        <v>-6.4308903302904025E-3</v>
      </c>
      <c r="F260" s="77">
        <f>Data!Y258</f>
        <v>4.2117992466273128E-3</v>
      </c>
      <c r="G260" s="77">
        <f>Data!AG258</f>
        <v>3.3951914602465298E-3</v>
      </c>
      <c r="H260" s="77">
        <f>Data!AO258</f>
        <v>-3.4026093248146962E-2</v>
      </c>
      <c r="I260" s="77">
        <f>Data!AW258</f>
        <v>-1.6827563823992642E-2</v>
      </c>
      <c r="J260" s="77">
        <f>Data!BE258</f>
        <v>-2.1787354184907296E-2</v>
      </c>
      <c r="K260" s="77">
        <f>Data!BM258</f>
        <v>-2.6007817000573675E-3</v>
      </c>
      <c r="L260" s="675"/>
    </row>
    <row r="261" spans="2:12" x14ac:dyDescent="0.35">
      <c r="B261" s="675"/>
      <c r="C261" s="30">
        <v>45687</v>
      </c>
      <c r="D261" s="77">
        <f>Data!I259</f>
        <v>1.142869582362285E-2</v>
      </c>
      <c r="E261" s="77">
        <f>Data!Q259</f>
        <v>6.4308903302903314E-3</v>
      </c>
      <c r="F261" s="77">
        <f>Data!Y259</f>
        <v>6.881104189474266E-3</v>
      </c>
      <c r="G261" s="77">
        <f>Data!AG259</f>
        <v>2.1162975425247973E-2</v>
      </c>
      <c r="H261" s="77">
        <f>Data!AO259</f>
        <v>-1.8258097982051063E-2</v>
      </c>
      <c r="I261" s="77">
        <f>Data!AW259</f>
        <v>-2.4565007235200875E-3</v>
      </c>
      <c r="J261" s="77">
        <f>Data!BE259</f>
        <v>-2.2272635609123178E-2</v>
      </c>
      <c r="K261" s="77">
        <f>Data!BM259</f>
        <v>6.508298309782373E-4</v>
      </c>
      <c r="L261" s="675"/>
    </row>
    <row r="262" spans="2:12" x14ac:dyDescent="0.35">
      <c r="B262" s="675"/>
      <c r="C262" s="30">
        <v>45690</v>
      </c>
      <c r="D262" s="77">
        <f>Data!I260</f>
        <v>1.1299555253933247E-2</v>
      </c>
      <c r="E262" s="77">
        <f>Data!Q260</f>
        <v>-6.4308903302904025E-3</v>
      </c>
      <c r="F262" s="77">
        <f>Data!Y260</f>
        <v>4.1654329790633974E-3</v>
      </c>
      <c r="G262" s="77">
        <f>Data!AG260</f>
        <v>-3.4458070958044443E-2</v>
      </c>
      <c r="H262" s="77">
        <f>Data!AO260</f>
        <v>-3.4105760815938942E-3</v>
      </c>
      <c r="I262" s="77">
        <f>Data!AW260</f>
        <v>-4.5193174700923107E-3</v>
      </c>
      <c r="J262" s="77">
        <f>Data!BE260</f>
        <v>3.9740328649514121E-2</v>
      </c>
      <c r="K262" s="77">
        <f>Data!BM260</f>
        <v>-1.7060781265856223E-2</v>
      </c>
      <c r="L262" s="675"/>
    </row>
    <row r="263" spans="2:12" x14ac:dyDescent="0.35">
      <c r="B263" s="675"/>
      <c r="C263" s="30">
        <v>45691</v>
      </c>
      <c r="D263" s="77">
        <f>Data!I261</f>
        <v>0</v>
      </c>
      <c r="E263" s="77">
        <f>Data!Q261</f>
        <v>-3.2310205814465318E-3</v>
      </c>
      <c r="F263" s="77">
        <f>Data!Y261</f>
        <v>5.9364798419012012E-4</v>
      </c>
      <c r="G263" s="77">
        <f>Data!AG261</f>
        <v>2.2022677550157774E-2</v>
      </c>
      <c r="H263" s="77">
        <f>Data!AO261</f>
        <v>1.0992416072303239E-2</v>
      </c>
      <c r="I263" s="77">
        <f>Data!AW261</f>
        <v>2.4676138369561199E-3</v>
      </c>
      <c r="J263" s="77">
        <f>Data!BE261</f>
        <v>-2.6317308317373417E-2</v>
      </c>
      <c r="K263" s="77">
        <f>Data!BM261</f>
        <v>-7.9734641701417371E-3</v>
      </c>
      <c r="L263" s="675"/>
    </row>
    <row r="264" spans="2:12" x14ac:dyDescent="0.35">
      <c r="B264" s="675"/>
      <c r="C264" s="30">
        <v>45692</v>
      </c>
      <c r="D264" s="77">
        <f>Data!I262</f>
        <v>0</v>
      </c>
      <c r="E264" s="77">
        <f>Data!Q262</f>
        <v>0</v>
      </c>
      <c r="F264" s="77">
        <f>Data!Y262</f>
        <v>4.7365393466733356E-3</v>
      </c>
      <c r="G264" s="77">
        <f>Data!AG262</f>
        <v>-5.7947501186912101E-4</v>
      </c>
      <c r="H264" s="77">
        <f>Data!AO262</f>
        <v>-5.7809390537541935E-3</v>
      </c>
      <c r="I264" s="77">
        <f>Data!AW262</f>
        <v>0</v>
      </c>
      <c r="J264" s="77">
        <f>Data!BE262</f>
        <v>2.1978906718775167E-2</v>
      </c>
      <c r="K264" s="77">
        <f>Data!BM262</f>
        <v>-1.335113682969436E-3</v>
      </c>
      <c r="L264" s="675"/>
    </row>
    <row r="265" spans="2:12" x14ac:dyDescent="0.35">
      <c r="B265" s="675"/>
      <c r="C265" s="30">
        <v>45693</v>
      </c>
      <c r="D265" s="77">
        <f>Data!I263</f>
        <v>0</v>
      </c>
      <c r="E265" s="77">
        <f>Data!Q263</f>
        <v>1.6051709010507825E-2</v>
      </c>
      <c r="F265" s="77">
        <f>Data!Y263</f>
        <v>-1.7735742160161759E-3</v>
      </c>
      <c r="G265" s="77">
        <f>Data!AG263</f>
        <v>-1.0439019680216312E-3</v>
      </c>
      <c r="H265" s="77">
        <f>Data!AO263</f>
        <v>2.9943130466885859E-3</v>
      </c>
      <c r="I265" s="77">
        <f>Data!AW263</f>
        <v>2.6663947702044092E-3</v>
      </c>
      <c r="J265" s="77">
        <f>Data!BE263</f>
        <v>8.6580627431145311E-3</v>
      </c>
      <c r="K265" s="77">
        <f>Data!BM263</f>
        <v>0</v>
      </c>
      <c r="L265" s="675"/>
    </row>
    <row r="266" spans="2:12" x14ac:dyDescent="0.35">
      <c r="B266" s="675"/>
      <c r="C266" s="30">
        <v>45694</v>
      </c>
      <c r="D266" s="77">
        <f>Data!I264</f>
        <v>-1.1299555253933282E-2</v>
      </c>
      <c r="E266" s="77">
        <f>Data!Q264</f>
        <v>9.5087879690273561E-3</v>
      </c>
      <c r="F266" s="77">
        <f>Data!Y264</f>
        <v>-5.9189110931906356E-4</v>
      </c>
      <c r="G266" s="77">
        <f>Data!AG264</f>
        <v>-1.5097848521461938E-3</v>
      </c>
      <c r="H266" s="77">
        <f>Data!AO264</f>
        <v>-7.976072207495575E-4</v>
      </c>
      <c r="I266" s="77">
        <f>Data!AW264</f>
        <v>-7.6077266280387213E-3</v>
      </c>
      <c r="J266" s="77">
        <f>Data!BE264</f>
        <v>-1.7391742711869107E-2</v>
      </c>
      <c r="K266" s="77">
        <f>Data!BM264</f>
        <v>-6.682258852057307E-4</v>
      </c>
      <c r="L266" s="675"/>
    </row>
    <row r="267" spans="2:12" x14ac:dyDescent="0.35">
      <c r="B267" s="675"/>
      <c r="C267" s="30">
        <v>45697</v>
      </c>
      <c r="D267" s="77">
        <f>Data!I265</f>
        <v>0</v>
      </c>
      <c r="E267" s="77">
        <f>Data!Q265</f>
        <v>-6.3291350516475123E-3</v>
      </c>
      <c r="F267" s="77">
        <f>Data!Y265</f>
        <v>-3.5587226169939952E-3</v>
      </c>
      <c r="G267" s="77">
        <f>Data!AG265</f>
        <v>-1.0280464374250569E-2</v>
      </c>
      <c r="H267" s="77">
        <f>Data!AO265</f>
        <v>-3.7973464237849425E-3</v>
      </c>
      <c r="I267" s="77">
        <f>Data!AW265</f>
        <v>3.9138993211363148E-3</v>
      </c>
      <c r="J267" s="77">
        <f>Data!BE265</f>
        <v>2.1692824611259754E-2</v>
      </c>
      <c r="K267" s="77">
        <f>Data!BM265</f>
        <v>-2.6773777707164029E-3</v>
      </c>
      <c r="L267" s="675"/>
    </row>
    <row r="268" spans="2:12" x14ac:dyDescent="0.35">
      <c r="B268" s="675"/>
      <c r="C268" s="30">
        <v>45698</v>
      </c>
      <c r="D268" s="77">
        <f>Data!I266</f>
        <v>-1.1428695823622968E-2</v>
      </c>
      <c r="E268" s="77">
        <f>Data!Q266</f>
        <v>-9.5694510161507852E-3</v>
      </c>
      <c r="F268" s="77">
        <f>Data!Y266</f>
        <v>2.9664809650965271E-3</v>
      </c>
      <c r="G268" s="77">
        <f>Data!AG266</f>
        <v>3.8675700128635499E-3</v>
      </c>
      <c r="H268" s="77">
        <f>Data!AO266</f>
        <v>-6.025324515220646E-3</v>
      </c>
      <c r="I268" s="77">
        <f>Data!AW266</f>
        <v>6.3531313186078915E-3</v>
      </c>
      <c r="J268" s="77">
        <f>Data!BE266</f>
        <v>8.5470605784583476E-3</v>
      </c>
      <c r="K268" s="77">
        <f>Data!BM266</f>
        <v>1.3395849290565674E-3</v>
      </c>
      <c r="L268" s="675"/>
    </row>
    <row r="269" spans="2:12" x14ac:dyDescent="0.35">
      <c r="B269" s="675"/>
      <c r="C269" s="30">
        <v>45699</v>
      </c>
      <c r="D269" s="77">
        <f>Data!I267</f>
        <v>0</v>
      </c>
      <c r="E269" s="77">
        <f>Data!Q267</f>
        <v>9.5694510161506725E-3</v>
      </c>
      <c r="F269" s="77">
        <f>Data!Y267</f>
        <v>-1.4821404817870576E-3</v>
      </c>
      <c r="G269" s="77">
        <f>Data!AG267</f>
        <v>6.1804173174479166E-3</v>
      </c>
      <c r="H269" s="77">
        <f>Data!AO267</f>
        <v>1.2014561823536824E-2</v>
      </c>
      <c r="I269" s="77">
        <f>Data!AW267</f>
        <v>2.0408170348527664E-3</v>
      </c>
      <c r="J269" s="77">
        <f>Data!BE267</f>
        <v>-8.5470605784584083E-3</v>
      </c>
      <c r="K269" s="77">
        <f>Data!BM267</f>
        <v>4.6744659406991757E-3</v>
      </c>
      <c r="L269" s="675"/>
    </row>
    <row r="270" spans="2:12" x14ac:dyDescent="0.35">
      <c r="B270" s="675"/>
      <c r="C270" s="30">
        <v>45700</v>
      </c>
      <c r="D270" s="77">
        <f>Data!I268</f>
        <v>0</v>
      </c>
      <c r="E270" s="77">
        <f>Data!Q268</f>
        <v>0</v>
      </c>
      <c r="F270" s="77">
        <f>Data!Y268</f>
        <v>-5.9347182750795358E-4</v>
      </c>
      <c r="G270" s="77">
        <f>Data!AG268</f>
        <v>-1.1625879220217528E-4</v>
      </c>
      <c r="H270" s="77">
        <f>Data!AO268</f>
        <v>-1.5936258352779249E-3</v>
      </c>
      <c r="I270" s="77">
        <f>Data!AW268</f>
        <v>-4.0858075225802936E-3</v>
      </c>
      <c r="J270" s="77">
        <f>Data!BE268</f>
        <v>9.0225091592725501E-2</v>
      </c>
      <c r="K270" s="77">
        <f>Data!BM268</f>
        <v>-6.0140508697558081E-3</v>
      </c>
      <c r="L270" s="675"/>
    </row>
    <row r="271" spans="2:12" x14ac:dyDescent="0.35">
      <c r="B271" s="675"/>
      <c r="C271" s="30">
        <v>45701</v>
      </c>
      <c r="D271" s="77">
        <f>Data!I269</f>
        <v>1.142869582362285E-2</v>
      </c>
      <c r="E271" s="77">
        <f>Data!Q269</f>
        <v>-6.3694482854798227E-3</v>
      </c>
      <c r="F271" s="77">
        <f>Data!Y269</f>
        <v>5.0333192865278792E-3</v>
      </c>
      <c r="G271" s="77">
        <f>Data!AG269</f>
        <v>1.0458428702969681E-3</v>
      </c>
      <c r="H271" s="77">
        <f>Data!AO269</f>
        <v>3.9098021293732278E-2</v>
      </c>
      <c r="I271" s="77">
        <f>Data!AW269</f>
        <v>1.0230179920344864E-3</v>
      </c>
      <c r="J271" s="77">
        <f>Data!BE269</f>
        <v>3.9138993211363148E-3</v>
      </c>
      <c r="K271" s="77">
        <f>Data!BM269</f>
        <v>-6.7046599896768719E-4</v>
      </c>
      <c r="L271" s="675"/>
    </row>
    <row r="272" spans="2:12" x14ac:dyDescent="0.35">
      <c r="B272" s="675"/>
      <c r="C272" s="30">
        <v>45704</v>
      </c>
      <c r="D272" s="77">
        <f>Data!I270</f>
        <v>-1.1428695823622968E-2</v>
      </c>
      <c r="E272" s="77">
        <f>Data!Q270</f>
        <v>6.3694482854799285E-3</v>
      </c>
      <c r="F272" s="77">
        <f>Data!Y270</f>
        <v>5.8892985295529452E-3</v>
      </c>
      <c r="G272" s="77">
        <f>Data!AG270</f>
        <v>4.7506027585977988E-3</v>
      </c>
      <c r="H272" s="77">
        <f>Data!AO270</f>
        <v>-4.8044677792598162E-3</v>
      </c>
      <c r="I272" s="77">
        <f>Data!AW270</f>
        <v>-6.5654729067999018E-3</v>
      </c>
      <c r="J272" s="77">
        <f>Data!BE270</f>
        <v>-3.9845908547199674E-2</v>
      </c>
      <c r="K272" s="77">
        <f>Data!BM270</f>
        <v>-6.7295004969396052E-3</v>
      </c>
      <c r="L272" s="675"/>
    </row>
    <row r="273" spans="2:12" x14ac:dyDescent="0.35">
      <c r="B273" s="675"/>
      <c r="C273" s="30">
        <v>45705</v>
      </c>
      <c r="D273" s="77">
        <f>Data!I271</f>
        <v>1.142869582362285E-2</v>
      </c>
      <c r="E273" s="77">
        <f>Data!Q271</f>
        <v>6.3291350516475296E-3</v>
      </c>
      <c r="F273" s="77">
        <f>Data!Y271</f>
        <v>1.5151805020602246E-2</v>
      </c>
      <c r="G273" s="77">
        <f>Data!AG271</f>
        <v>-1.2723383822730481E-3</v>
      </c>
      <c r="H273" s="77">
        <f>Data!AO271</f>
        <v>3.4615419179624481E-3</v>
      </c>
      <c r="I273" s="77">
        <f>Data!AW271</f>
        <v>-5.3663699474669454E-3</v>
      </c>
      <c r="J273" s="77">
        <f>Data!BE271</f>
        <v>0</v>
      </c>
      <c r="K273" s="77">
        <f>Data!BM271</f>
        <v>-1.3596402517099265E-2</v>
      </c>
      <c r="L273" s="675"/>
    </row>
    <row r="274" spans="2:12" x14ac:dyDescent="0.35">
      <c r="B274" s="675"/>
      <c r="C274" s="30">
        <v>45706</v>
      </c>
      <c r="D274" s="77">
        <f>Data!I272</f>
        <v>1.1299555253933247E-2</v>
      </c>
      <c r="E274" s="77">
        <f>Data!Q272</f>
        <v>-1.2698583337127319E-2</v>
      </c>
      <c r="F274" s="77">
        <f>Data!Y272</f>
        <v>-5.8004803004412363E-3</v>
      </c>
      <c r="G274" s="77">
        <f>Data!AG272</f>
        <v>-1.0003573011247407E-2</v>
      </c>
      <c r="H274" s="77">
        <f>Data!AO272</f>
        <v>-2.6912742118637258E-3</v>
      </c>
      <c r="I274" s="77">
        <f>Data!AW272</f>
        <v>-2.4865325700048164E-3</v>
      </c>
      <c r="J274" s="77">
        <f>Data!BE272</f>
        <v>-4.5746021788203924E-2</v>
      </c>
      <c r="K274" s="77">
        <f>Data!BM272</f>
        <v>3.8272546204875933E-2</v>
      </c>
      <c r="L274" s="675"/>
    </row>
    <row r="275" spans="2:12" x14ac:dyDescent="0.35">
      <c r="B275" s="675"/>
      <c r="C275" s="30">
        <v>45707</v>
      </c>
      <c r="D275" s="77">
        <f>Data!I273</f>
        <v>0</v>
      </c>
      <c r="E275" s="77">
        <f>Data!Q273</f>
        <v>-3.2000027306709027E-3</v>
      </c>
      <c r="F275" s="77">
        <f>Data!Y273</f>
        <v>-2.9090909296078951E-4</v>
      </c>
      <c r="G275" s="77">
        <f>Data!AG273</f>
        <v>-7.2744659637070967E-3</v>
      </c>
      <c r="H275" s="77">
        <f>Data!AO273</f>
        <v>-1.1556241655882185E-3</v>
      </c>
      <c r="I275" s="77">
        <f>Data!AW273</f>
        <v>-5.4087920503164133E-3</v>
      </c>
      <c r="J275" s="77">
        <f>Data!BE273</f>
        <v>-1.2848142477849024E-2</v>
      </c>
      <c r="K275" s="77">
        <f>Data!BM273</f>
        <v>-9.9305682026007997E-3</v>
      </c>
      <c r="L275" s="675"/>
    </row>
    <row r="276" spans="2:12" x14ac:dyDescent="0.35">
      <c r="B276" s="675"/>
      <c r="C276" s="30">
        <v>45708</v>
      </c>
      <c r="D276" s="77">
        <f>Data!I274</f>
        <v>1.1173300598125255E-2</v>
      </c>
      <c r="E276" s="77">
        <f>Data!Q274</f>
        <v>-3.2102756302480988E-3</v>
      </c>
      <c r="F276" s="77">
        <f>Data!Y274</f>
        <v>5.8021630717907417E-3</v>
      </c>
      <c r="G276" s="77">
        <f>Data!AG274</f>
        <v>7.2744659637071678E-3</v>
      </c>
      <c r="H276" s="77">
        <f>Data!AO274</f>
        <v>-3.6683118652647731E-3</v>
      </c>
      <c r="I276" s="77">
        <f>Data!AW274</f>
        <v>-2.0881193638620458E-3</v>
      </c>
      <c r="J276" s="77">
        <f>Data!BE274</f>
        <v>-2.6202372394023961E-2</v>
      </c>
      <c r="K276" s="77">
        <f>Data!BM274</f>
        <v>-1.2048338516174593E-2</v>
      </c>
      <c r="L276" s="675"/>
    </row>
    <row r="277" spans="2:12" x14ac:dyDescent="0.35">
      <c r="B277" s="675"/>
      <c r="C277" s="30">
        <v>45711</v>
      </c>
      <c r="D277" s="77">
        <f>Data!I275</f>
        <v>2.1978906718775167E-2</v>
      </c>
      <c r="E277" s="77">
        <f>Data!Q275</f>
        <v>6.4102783609190188E-3</v>
      </c>
      <c r="F277" s="77">
        <f>Data!Y275</f>
        <v>2.0228297607012623E-3</v>
      </c>
      <c r="G277" s="77">
        <f>Data!AG275</f>
        <v>-5.1570672194340972E-3</v>
      </c>
      <c r="H277" s="77">
        <f>Data!AO275</f>
        <v>-4.6529746607852614E-3</v>
      </c>
      <c r="I277" s="77">
        <f>Data!AW275</f>
        <v>-4.6092685836595431E-3</v>
      </c>
      <c r="J277" s="77">
        <f>Data!BE275</f>
        <v>2.1882711249507587E-2</v>
      </c>
      <c r="K277" s="77">
        <f>Data!BM275</f>
        <v>3.3613477027049274E-3</v>
      </c>
      <c r="L277" s="675"/>
    </row>
    <row r="278" spans="2:12" x14ac:dyDescent="0.35">
      <c r="B278" s="675"/>
      <c r="C278" s="30">
        <v>45712</v>
      </c>
      <c r="D278" s="77">
        <f>Data!I276</f>
        <v>0</v>
      </c>
      <c r="E278" s="77">
        <f>Data!Q276</f>
        <v>1.5848192240023713E-2</v>
      </c>
      <c r="F278" s="77">
        <f>Data!Y276</f>
        <v>-4.3396567454848205E-3</v>
      </c>
      <c r="G278" s="77">
        <f>Data!AG276</f>
        <v>0</v>
      </c>
      <c r="H278" s="77">
        <f>Data!AO276</f>
        <v>-9.7210078618483104E-4</v>
      </c>
      <c r="I278" s="77">
        <f>Data!AW276</f>
        <v>-3.3655900510991881E-3</v>
      </c>
      <c r="J278" s="77">
        <f>Data!BE276</f>
        <v>0</v>
      </c>
      <c r="K278" s="77">
        <f>Data!BM276</f>
        <v>-1.0118130165584667E-2</v>
      </c>
      <c r="L278" s="675"/>
    </row>
    <row r="279" spans="2:12" x14ac:dyDescent="0.35">
      <c r="B279" s="675"/>
      <c r="C279" s="30">
        <v>45713</v>
      </c>
      <c r="D279" s="77">
        <f>Data!I277</f>
        <v>7.3331273085549722E-2</v>
      </c>
      <c r="E279" s="77">
        <f>Data!Q277</f>
        <v>6.269613013595395E-3</v>
      </c>
      <c r="F279" s="77">
        <f>Data!Y277</f>
        <v>-2.3222071393603828E-3</v>
      </c>
      <c r="G279" s="77">
        <f>Data!AG277</f>
        <v>-3.0599058828467895E-3</v>
      </c>
      <c r="H279" s="77">
        <f>Data!AO277</f>
        <v>7.7775621264536833E-4</v>
      </c>
      <c r="I279" s="77">
        <f>Data!AW277</f>
        <v>-4.4345970678657531E-3</v>
      </c>
      <c r="J279" s="77">
        <f>Data!BE277</f>
        <v>1.2903404835907782E-2</v>
      </c>
      <c r="K279" s="77">
        <f>Data!BM277</f>
        <v>-3.3955890011381604E-3</v>
      </c>
      <c r="L279" s="675"/>
    </row>
    <row r="280" spans="2:12" x14ac:dyDescent="0.35">
      <c r="B280" s="675"/>
      <c r="C280" s="30">
        <v>45714</v>
      </c>
      <c r="D280" s="77">
        <f>Data!I278</f>
        <v>0</v>
      </c>
      <c r="E280" s="77">
        <f>Data!Q278</f>
        <v>-1.5748356968139168E-2</v>
      </c>
      <c r="F280" s="77">
        <f>Data!Y278</f>
        <v>0</v>
      </c>
      <c r="G280" s="77">
        <f>Data!AG278</f>
        <v>1.1786198375358155E-4</v>
      </c>
      <c r="H280" s="77">
        <f>Data!AO278</f>
        <v>-2.1402868370643574E-3</v>
      </c>
      <c r="I280" s="77">
        <f>Data!AW278</f>
        <v>-4.8796108278283505E-3</v>
      </c>
      <c r="J280" s="77">
        <f>Data!BE278</f>
        <v>-2.1599111803461815E-2</v>
      </c>
      <c r="K280" s="77">
        <f>Data!BM278</f>
        <v>6.8004082865546665E-4</v>
      </c>
      <c r="L280" s="675"/>
    </row>
    <row r="281" spans="2:12" x14ac:dyDescent="0.35">
      <c r="B281" s="675"/>
      <c r="C281" s="30">
        <v>45715</v>
      </c>
      <c r="D281" s="77">
        <f>Data!I279</f>
        <v>7.7708984327316113E-2</v>
      </c>
      <c r="E281" s="77">
        <f>Data!Q279</f>
        <v>2.1978906718775382E-2</v>
      </c>
      <c r="F281" s="77">
        <f>Data!Y279</f>
        <v>3.1916464058381858E-3</v>
      </c>
      <c r="G281" s="77">
        <f>Data!AG279</f>
        <v>-9.4328505992103155E-4</v>
      </c>
      <c r="H281" s="77">
        <f>Data!AO279</f>
        <v>-9.9834439841831497E-3</v>
      </c>
      <c r="I281" s="77">
        <f>Data!AW279</f>
        <v>8.5034018729296629E-4</v>
      </c>
      <c r="J281" s="77">
        <f>Data!BE279</f>
        <v>4.3573053689558473E-3</v>
      </c>
      <c r="K281" s="77">
        <f>Data!BM279</f>
        <v>-7.5060058990553073E-3</v>
      </c>
      <c r="L281" s="675"/>
    </row>
    <row r="282" spans="2:12" x14ac:dyDescent="0.35">
      <c r="B282" s="675"/>
      <c r="C282" s="30">
        <v>45718</v>
      </c>
      <c r="D282" s="77">
        <f>Data!I280</f>
        <v>-3.8099846232270293E-2</v>
      </c>
      <c r="E282" s="77">
        <f>Data!Q280</f>
        <v>-1.2500162764231494E-2</v>
      </c>
      <c r="F282" s="77">
        <f>Data!Y280</f>
        <v>-1.0105735980935976E-2</v>
      </c>
      <c r="G282" s="77">
        <f>Data!AG280</f>
        <v>-3.5396142190115016E-4</v>
      </c>
      <c r="H282" s="77">
        <f>Data!AO280</f>
        <v>-3.5475007641188219E-3</v>
      </c>
      <c r="I282" s="77">
        <f>Data!AW280</f>
        <v>-1.0630382631772403E-3</v>
      </c>
      <c r="J282" s="77">
        <f>Data!BE280</f>
        <v>-1.3129291441792736E-2</v>
      </c>
      <c r="K282" s="77">
        <f>Data!BM280</f>
        <v>6.8259650703998906E-3</v>
      </c>
      <c r="L282" s="675"/>
    </row>
    <row r="283" spans="2:12" x14ac:dyDescent="0.35">
      <c r="B283" s="675"/>
      <c r="C283" s="30">
        <v>45719</v>
      </c>
      <c r="D283" s="77">
        <f>Data!I281</f>
        <v>-9.756174945364798E-3</v>
      </c>
      <c r="E283" s="77">
        <f>Data!Q281</f>
        <v>3.1397200046676247E-3</v>
      </c>
      <c r="F283" s="77">
        <f>Data!Y281</f>
        <v>6.1368710551102552E-3</v>
      </c>
      <c r="G283" s="77">
        <f>Data!AG281</f>
        <v>1.8863481188885474E-3</v>
      </c>
      <c r="H283" s="77">
        <f>Data!AO281</f>
        <v>1.1838991122353241E-3</v>
      </c>
      <c r="I283" s="77">
        <f>Data!AW281</f>
        <v>0</v>
      </c>
      <c r="J283" s="77">
        <f>Data!BE281</f>
        <v>0</v>
      </c>
      <c r="K283" s="77">
        <f>Data!BM281</f>
        <v>-2.0429016298002933E-3</v>
      </c>
      <c r="L283" s="675"/>
    </row>
    <row r="284" spans="2:12" x14ac:dyDescent="0.35">
      <c r="B284" s="675"/>
      <c r="C284" s="30">
        <v>45720</v>
      </c>
      <c r="D284" s="77">
        <f>Data!I282</f>
        <v>-1.9802627296179643E-2</v>
      </c>
      <c r="E284" s="77">
        <f>Data!Q282</f>
        <v>-1.2618463959211462E-2</v>
      </c>
      <c r="F284" s="77">
        <f>Data!Y282</f>
        <v>-4.5991189452275595E-3</v>
      </c>
      <c r="G284" s="77">
        <f>Data!AG282</f>
        <v>-2.4321656668045873E-2</v>
      </c>
      <c r="H284" s="77">
        <f>Data!AO282</f>
        <v>-1.3500304306814044E-2</v>
      </c>
      <c r="I284" s="77">
        <f>Data!AW282</f>
        <v>-2.1294726956724986E-3</v>
      </c>
      <c r="J284" s="77">
        <f>Data!BE282</f>
        <v>0</v>
      </c>
      <c r="K284" s="77">
        <f>Data!BM282</f>
        <v>-2.7303771228572682E-3</v>
      </c>
      <c r="L284" s="675"/>
    </row>
    <row r="285" spans="2:12" x14ac:dyDescent="0.35">
      <c r="B285" s="675"/>
      <c r="C285" s="30">
        <v>45721</v>
      </c>
      <c r="D285" s="77">
        <f>Data!I283</f>
        <v>3.9220713153281329E-2</v>
      </c>
      <c r="E285" s="77">
        <f>Data!Q283</f>
        <v>-1.2779726646398882E-2</v>
      </c>
      <c r="F285" s="77">
        <f>Data!Y283</f>
        <v>-3.0736130563153964E-4</v>
      </c>
      <c r="G285" s="77">
        <f>Data!AG283</f>
        <v>-4.5302408426934705E-2</v>
      </c>
      <c r="H285" s="77">
        <f>Data!AO283</f>
        <v>5.9946050351455992E-4</v>
      </c>
      <c r="I285" s="77">
        <f>Data!AW283</f>
        <v>1.4911068903999734E-3</v>
      </c>
      <c r="J285" s="77">
        <f>Data!BE283</f>
        <v>4.3956114730381293E-3</v>
      </c>
      <c r="K285" s="77">
        <f>Data!BM283</f>
        <v>-2.7378524973386935E-3</v>
      </c>
      <c r="L285" s="675"/>
    </row>
    <row r="286" spans="2:12" x14ac:dyDescent="0.35">
      <c r="B286" s="675"/>
      <c r="C286" s="30">
        <v>45722</v>
      </c>
      <c r="D286" s="77">
        <f>Data!I284</f>
        <v>2.843793532053341E-2</v>
      </c>
      <c r="E286" s="77">
        <f>Data!Q284</f>
        <v>6.4102783609190188E-3</v>
      </c>
      <c r="F286" s="77">
        <f>Data!Y284</f>
        <v>-1.5382251917829383E-3</v>
      </c>
      <c r="G286" s="77">
        <f>Data!AG284</f>
        <v>3.8156492958517883E-2</v>
      </c>
      <c r="H286" s="77">
        <f>Data!AO284</f>
        <v>2.5935176632140562E-3</v>
      </c>
      <c r="I286" s="77">
        <f>Data!AW284</f>
        <v>2.1283388395749371E-4</v>
      </c>
      <c r="J286" s="77">
        <f>Data!BE284</f>
        <v>-4.3956114730381093E-3</v>
      </c>
      <c r="K286" s="77">
        <f>Data!BM284</f>
        <v>2.7378524973387993E-3</v>
      </c>
      <c r="L286" s="675"/>
    </row>
    <row r="287" spans="2:12" x14ac:dyDescent="0.35">
      <c r="B287" s="675"/>
      <c r="C287" s="30">
        <v>45725</v>
      </c>
      <c r="D287" s="77">
        <f>Data!I285</f>
        <v>-1.8868484304382691E-2</v>
      </c>
      <c r="E287" s="77">
        <f>Data!Q285</f>
        <v>-3.2000027306709027E-3</v>
      </c>
      <c r="F287" s="77">
        <f>Data!Y285</f>
        <v>-2.7747821102393311E-3</v>
      </c>
      <c r="G287" s="77">
        <f>Data!AG285</f>
        <v>-6.0793971110658382E-4</v>
      </c>
      <c r="H287" s="77">
        <f>Data!AO285</f>
        <v>6.9492982932059444E-3</v>
      </c>
      <c r="I287" s="77">
        <f>Data!AW285</f>
        <v>-4.0516101911232671E-3</v>
      </c>
      <c r="J287" s="77">
        <f>Data!BE285</f>
        <v>-8.8496152769824993E-3</v>
      </c>
      <c r="K287" s="77">
        <f>Data!BM285</f>
        <v>-8.2361481359365541E-3</v>
      </c>
      <c r="L287" s="675"/>
    </row>
    <row r="288" spans="2:12" x14ac:dyDescent="0.35">
      <c r="B288" s="675"/>
      <c r="C288" s="30">
        <v>45726</v>
      </c>
      <c r="D288" s="77">
        <f>Data!I286</f>
        <v>0</v>
      </c>
      <c r="E288" s="77">
        <f>Data!Q286</f>
        <v>-1.6155440222285256E-2</v>
      </c>
      <c r="F288" s="77">
        <f>Data!Y286</f>
        <v>8.9135368085642621E-3</v>
      </c>
      <c r="G288" s="77">
        <f>Data!AG286</f>
        <v>-6.8342955783026686E-3</v>
      </c>
      <c r="H288" s="77">
        <f>Data!AO286</f>
        <v>-3.1708310355839388E-3</v>
      </c>
      <c r="I288" s="77">
        <f>Data!AW286</f>
        <v>-2.136980454761337E-4</v>
      </c>
      <c r="J288" s="77">
        <f>Data!BE286</f>
        <v>-1.3423020332140774E-2</v>
      </c>
      <c r="K288" s="77">
        <f>Data!BM286</f>
        <v>-2.7605262527040241E-3</v>
      </c>
      <c r="L288" s="675"/>
    </row>
    <row r="289" spans="2:12" x14ac:dyDescent="0.35">
      <c r="B289" s="675"/>
      <c r="C289" s="30">
        <v>45727</v>
      </c>
      <c r="D289" s="77">
        <f>Data!I287</f>
        <v>2.8170876966696439E-2</v>
      </c>
      <c r="E289" s="77">
        <f>Data!Q287</f>
        <v>9.7245498919947809E-3</v>
      </c>
      <c r="F289" s="77">
        <f>Data!Y287</f>
        <v>-5.8309203107933215E-3</v>
      </c>
      <c r="G289" s="77">
        <f>Data!AG287</f>
        <v>2.8490579849806352E-2</v>
      </c>
      <c r="H289" s="77">
        <f>Data!AO287</f>
        <v>5.9529717007536737E-4</v>
      </c>
      <c r="I289" s="77">
        <f>Data!AW287</f>
        <v>5.966350534925959E-3</v>
      </c>
      <c r="J289" s="77">
        <f>Data!BE287</f>
        <v>1.3423020332140771E-2</v>
      </c>
      <c r="K289" s="77">
        <f>Data!BM287</f>
        <v>1.1679967889773176E-2</v>
      </c>
      <c r="L289" s="675"/>
    </row>
    <row r="290" spans="2:12" x14ac:dyDescent="0.35">
      <c r="B290" s="675"/>
      <c r="C290" s="30">
        <v>45728</v>
      </c>
      <c r="D290" s="77">
        <f>Data!I288</f>
        <v>1.8349138668196398E-2</v>
      </c>
      <c r="E290" s="77">
        <f>Data!Q288</f>
        <v>3.2206147000421572E-3</v>
      </c>
      <c r="F290" s="77">
        <f>Data!Y288</f>
        <v>1.8450189735692967E-3</v>
      </c>
      <c r="G290" s="77">
        <f>Data!AG288</f>
        <v>6.997597195173429E-3</v>
      </c>
      <c r="H290" s="77">
        <f>Data!AO288</f>
        <v>-7.9380833698036626E-4</v>
      </c>
      <c r="I290" s="77">
        <f>Data!AW288</f>
        <v>-4.684846728619717E-3</v>
      </c>
      <c r="J290" s="77">
        <f>Data!BE288</f>
        <v>0</v>
      </c>
      <c r="K290" s="77">
        <f>Data!BM288</f>
        <v>-6.8329350113247663E-4</v>
      </c>
      <c r="L290" s="675"/>
    </row>
    <row r="291" spans="2:12" x14ac:dyDescent="0.35">
      <c r="B291" s="675"/>
      <c r="C291" s="30">
        <v>45729</v>
      </c>
      <c r="D291" s="77">
        <f>Data!I289</f>
        <v>2.6907452919924402E-2</v>
      </c>
      <c r="E291" s="77">
        <f>Data!Q289</f>
        <v>6.4102783609190188E-3</v>
      </c>
      <c r="F291" s="77">
        <f>Data!Y289</f>
        <v>-3.0726686368662623E-4</v>
      </c>
      <c r="G291" s="77">
        <f>Data!AG289</f>
        <v>-2.8405747588741764E-3</v>
      </c>
      <c r="H291" s="77">
        <f>Data!AO289</f>
        <v>1.9833405946118937E-3</v>
      </c>
      <c r="I291" s="77">
        <f>Data!AW289</f>
        <v>-5.7797442282362856E-3</v>
      </c>
      <c r="J291" s="77">
        <f>Data!BE289</f>
        <v>8.8496152769826E-3</v>
      </c>
      <c r="K291" s="77">
        <f>Data!BM289</f>
        <v>-2.7378524973386935E-3</v>
      </c>
      <c r="L291" s="675"/>
    </row>
    <row r="292" spans="2:12" x14ac:dyDescent="0.35">
      <c r="B292" s="675"/>
      <c r="C292" s="30">
        <v>45732</v>
      </c>
      <c r="D292" s="77">
        <f>Data!I290</f>
        <v>3.4786116085415389E-2</v>
      </c>
      <c r="E292" s="77">
        <f>Data!Q290</f>
        <v>-1.286191364240781E-2</v>
      </c>
      <c r="F292" s="77">
        <f>Data!Y290</f>
        <v>-1.8455864974144165E-3</v>
      </c>
      <c r="G292" s="77">
        <f>Data!AG290</f>
        <v>-9.5272841641905158E-3</v>
      </c>
      <c r="H292" s="77">
        <f>Data!AO290</f>
        <v>-2.3804811875997429E-3</v>
      </c>
      <c r="I292" s="77">
        <f>Data!AW290</f>
        <v>4.0707072815999298E-3</v>
      </c>
      <c r="J292" s="77">
        <f>Data!BE290</f>
        <v>2.6088436084297874E-2</v>
      </c>
      <c r="K292" s="77">
        <f>Data!BM290</f>
        <v>-8.2588218913018617E-3</v>
      </c>
      <c r="L292" s="675"/>
    </row>
    <row r="293" spans="2:12" x14ac:dyDescent="0.35">
      <c r="B293" s="675"/>
      <c r="C293" s="30">
        <v>45733</v>
      </c>
      <c r="D293" s="77">
        <f>Data!I291</f>
        <v>5.0010420574661416E-2</v>
      </c>
      <c r="E293" s="77">
        <f>Data!Q291</f>
        <v>-6.4935293105482308E-3</v>
      </c>
      <c r="F293" s="77">
        <f>Data!Y291</f>
        <v>-6.7964425964143205E-3</v>
      </c>
      <c r="G293" s="77">
        <f>Data!AG291</f>
        <v>-9.618927116040359E-3</v>
      </c>
      <c r="H293" s="77">
        <f>Data!AO291</f>
        <v>-7.947546613440912E-4</v>
      </c>
      <c r="I293" s="77">
        <f>Data!AW291</f>
        <v>-2.5690444444419597E-3</v>
      </c>
      <c r="J293" s="77">
        <f>Data!BE291</f>
        <v>-2.6088436084297967E-2</v>
      </c>
      <c r="K293" s="77">
        <f>Data!BM291</f>
        <v>2.0711087831363196E-3</v>
      </c>
      <c r="L293" s="675"/>
    </row>
    <row r="294" spans="2:12" x14ac:dyDescent="0.35">
      <c r="B294" s="675"/>
      <c r="C294" s="30">
        <v>45734</v>
      </c>
      <c r="D294" s="77">
        <f>Data!I292</f>
        <v>3.9845908547199563E-2</v>
      </c>
      <c r="E294" s="77">
        <f>Data!Q292</f>
        <v>6.4935293105483115E-3</v>
      </c>
      <c r="F294" s="77">
        <f>Data!Y292</f>
        <v>-4.3491836185019896E-3</v>
      </c>
      <c r="G294" s="77">
        <f>Data!AG292</f>
        <v>3.979024964098017E-3</v>
      </c>
      <c r="H294" s="77">
        <f>Data!AO292</f>
        <v>-9.9433238778099948E-4</v>
      </c>
      <c r="I294" s="77">
        <f>Data!AW292</f>
        <v>-3.6508147496970142E-3</v>
      </c>
      <c r="J294" s="77">
        <f>Data!BE292</f>
        <v>4.3956114730381293E-3</v>
      </c>
      <c r="K294" s="77">
        <f>Data!BM292</f>
        <v>1.2337373759840784E-2</v>
      </c>
      <c r="L294" s="675"/>
    </row>
    <row r="295" spans="2:12" x14ac:dyDescent="0.35">
      <c r="B295" s="675"/>
      <c r="C295" s="30">
        <v>45735</v>
      </c>
      <c r="D295" s="77">
        <f>Data!I293</f>
        <v>1.5504186535965254E-2</v>
      </c>
      <c r="E295" s="77">
        <f>Data!Q293</f>
        <v>-3.2414939241709557E-3</v>
      </c>
      <c r="F295" s="77">
        <f>Data!Y293</f>
        <v>-4.6809260068108628E-3</v>
      </c>
      <c r="G295" s="77">
        <f>Data!AG293</f>
        <v>-3.9790249640980447E-3</v>
      </c>
      <c r="H295" s="77">
        <f>Data!AO293</f>
        <v>2.9800359790932785E-3</v>
      </c>
      <c r="I295" s="77">
        <f>Data!AW293</f>
        <v>-3.4482792789160442E-3</v>
      </c>
      <c r="J295" s="77">
        <f>Data!BE293</f>
        <v>-4.3956114730381093E-3</v>
      </c>
      <c r="K295" s="77">
        <f>Data!BM293</f>
        <v>-1.3633267278641645E-3</v>
      </c>
      <c r="L295" s="675"/>
    </row>
    <row r="296" spans="2:12" x14ac:dyDescent="0.35">
      <c r="B296" s="675"/>
      <c r="C296" s="30">
        <v>45736</v>
      </c>
      <c r="D296" s="77">
        <f>Data!I294</f>
        <v>-7.1743904858841301E-2</v>
      </c>
      <c r="E296" s="77">
        <f>Data!Q294</f>
        <v>1.2903404835907782E-2</v>
      </c>
      <c r="F296" s="77">
        <f>Data!Y294</f>
        <v>-3.128421736760684E-4</v>
      </c>
      <c r="G296" s="77">
        <f>Data!AG294</f>
        <v>-1.9349383228905244E-3</v>
      </c>
      <c r="H296" s="77">
        <f>Data!AO294</f>
        <v>-1.3895783873697537E-3</v>
      </c>
      <c r="I296" s="77">
        <f>Data!AW294</f>
        <v>-4.3187217255137789E-4</v>
      </c>
      <c r="J296" s="77">
        <f>Data!BE294</f>
        <v>0</v>
      </c>
      <c r="K296" s="77">
        <f>Data!BM294</f>
        <v>-4.1011677442146779E-3</v>
      </c>
      <c r="L296" s="675"/>
    </row>
    <row r="297" spans="2:12" x14ac:dyDescent="0.35">
      <c r="B297" s="675"/>
      <c r="C297" s="30">
        <v>45739</v>
      </c>
      <c r="D297" s="77">
        <f>Data!I295</f>
        <v>-4.2200354490376416E-2</v>
      </c>
      <c r="E297" s="77">
        <f>Data!Q295</f>
        <v>-2.2691411202070765E-2</v>
      </c>
      <c r="F297" s="77">
        <f>Data!Y295</f>
        <v>9.3823306335258762E-4</v>
      </c>
      <c r="G297" s="77">
        <f>Data!AG295</f>
        <v>2.659576035758796E-3</v>
      </c>
      <c r="H297" s="77">
        <f>Data!AO295</f>
        <v>-2.3866359777308553E-3</v>
      </c>
      <c r="I297" s="77">
        <f>Data!AW295</f>
        <v>-4.7629447045526184E-3</v>
      </c>
      <c r="J297" s="77">
        <f>Data!BE295</f>
        <v>-8.8496152769824993E-3</v>
      </c>
      <c r="K297" s="77">
        <f>Data!BM295</f>
        <v>5.4644944720787453E-3</v>
      </c>
      <c r="L297" s="675"/>
    </row>
    <row r="298" spans="2:12" x14ac:dyDescent="0.35">
      <c r="B298" s="675"/>
      <c r="C298" s="30">
        <v>45740</v>
      </c>
      <c r="D298" s="77">
        <f>Data!I296</f>
        <v>-4.4059989794030543E-2</v>
      </c>
      <c r="E298" s="77">
        <f>Data!Q296</f>
        <v>-3.2840752011899961E-3</v>
      </c>
      <c r="F298" s="77">
        <f>Data!Y296</f>
        <v>-4.699992985244348E-3</v>
      </c>
      <c r="G298" s="77">
        <f>Data!AG296</f>
        <v>-9.4614970740728409E-3</v>
      </c>
      <c r="H298" s="77">
        <f>Data!AO296</f>
        <v>-7.9681279116264466E-4</v>
      </c>
      <c r="I298" s="77">
        <f>Data!AW296</f>
        <v>-2.1703743981024891E-4</v>
      </c>
      <c r="J298" s="77">
        <f>Data!BE296</f>
        <v>-4.4543503493803087E-3</v>
      </c>
      <c r="K298" s="77">
        <f>Data!BM296</f>
        <v>-4.7797974237615629E-3</v>
      </c>
      <c r="L298" s="675"/>
    </row>
    <row r="299" spans="2:12" x14ac:dyDescent="0.35">
      <c r="B299" s="675"/>
      <c r="C299" s="30">
        <v>45741</v>
      </c>
      <c r="D299" s="77">
        <f>Data!I297</f>
        <v>8.9686699827603161E-3</v>
      </c>
      <c r="E299" s="77">
        <f>Data!Q297</f>
        <v>4.1874072471059016E-2</v>
      </c>
      <c r="F299" s="77">
        <f>Data!Y297</f>
        <v>3.4488198473617056E-3</v>
      </c>
      <c r="G299" s="77">
        <f>Data!AG297</f>
        <v>2.0029627135865143E-2</v>
      </c>
      <c r="H299" s="77">
        <f>Data!AO297</f>
        <v>1.9926272856598146E-4</v>
      </c>
      <c r="I299" s="77">
        <f>Data!AW297</f>
        <v>5.1959415448350147E-3</v>
      </c>
      <c r="J299" s="77">
        <f>Data!BE297</f>
        <v>8.8889474172462145E-3</v>
      </c>
      <c r="K299" s="77">
        <f>Data!BM297</f>
        <v>1.2245050960100387E-2</v>
      </c>
      <c r="L299" s="675"/>
    </row>
    <row r="300" spans="2:12" ht="16" customHeight="1" x14ac:dyDescent="0.35">
      <c r="B300" s="675"/>
      <c r="C300" s="34">
        <v>45743</v>
      </c>
      <c r="D300" s="629">
        <f>Data!I298</f>
        <v>-1.801850550267825E-2</v>
      </c>
      <c r="E300" s="629">
        <f>Data!Q298</f>
        <v>-9.5087879690273006E-3</v>
      </c>
      <c r="F300" s="629">
        <f>Data!Y298</f>
        <v>7.4836644871728274E-3</v>
      </c>
      <c r="G300" s="629">
        <f>Data!AG298</f>
        <v>-2.8711588093197453E-3</v>
      </c>
      <c r="H300" s="629">
        <f>Data!AO298</f>
        <v>-2.7932979056127108E-3</v>
      </c>
      <c r="I300" s="629">
        <f>Data!AW298</f>
        <v>-8.6411757375245437E-4</v>
      </c>
      <c r="J300" s="629">
        <f>Data!BE298</f>
        <v>0</v>
      </c>
      <c r="K300" s="629">
        <f>Data!BM298</f>
        <v>-4.7441634219783767E-3</v>
      </c>
      <c r="L300" s="675"/>
    </row>
    <row r="301" spans="2:12" x14ac:dyDescent="0.35">
      <c r="B301" s="675" t="s">
        <v>70</v>
      </c>
      <c r="C301" s="30">
        <v>45753</v>
      </c>
      <c r="D301" s="625">
        <f>Data!I299</f>
        <v>1.8018505502678212E-2</v>
      </c>
      <c r="E301" s="625">
        <f>Data!Q299</f>
        <v>-9.6000737290191183E-3</v>
      </c>
      <c r="F301" s="625">
        <f>Data!Y299</f>
        <v>-3.4230623124029756E-3</v>
      </c>
      <c r="G301" s="625">
        <f>Data!AG299</f>
        <v>-8.6632716054731006E-3</v>
      </c>
      <c r="H301" s="625">
        <f>Data!AO299</f>
        <v>2.3947327349320663E-3</v>
      </c>
      <c r="I301" s="625">
        <f>Data!AW299</f>
        <v>-5.4177183116883611E-3</v>
      </c>
      <c r="J301" s="625">
        <f>Data!BE299</f>
        <v>-4.4345970678658642E-3</v>
      </c>
      <c r="K301" s="625">
        <f>Data!BM299</f>
        <v>-1.9204979836049924E-2</v>
      </c>
      <c r="L301" s="675">
        <v>55</v>
      </c>
    </row>
    <row r="302" spans="2:12" x14ac:dyDescent="0.35">
      <c r="B302" s="675"/>
      <c r="C302" s="30">
        <v>45754</v>
      </c>
      <c r="D302" s="77">
        <f>Data!I300</f>
        <v>-1.801850550267825E-2</v>
      </c>
      <c r="E302" s="77">
        <f>Data!Q300</f>
        <v>6.4102783609190188E-3</v>
      </c>
      <c r="F302" s="77">
        <f>Data!Y300</f>
        <v>5.2852602434676566E-3</v>
      </c>
      <c r="G302" s="77">
        <f>Data!AG300</f>
        <v>-1.4362466944683233E-2</v>
      </c>
      <c r="H302" s="77">
        <f>Data!AO300</f>
        <v>-7.0007286621272232E-3</v>
      </c>
      <c r="I302" s="77">
        <f>Data!AW300</f>
        <v>-2.1732043984256736E-4</v>
      </c>
      <c r="J302" s="77">
        <f>Data!BE300</f>
        <v>4.4345970678657748E-3</v>
      </c>
      <c r="K302" s="77">
        <f>Data!BM300</f>
        <v>8.2759093038596611E-3</v>
      </c>
      <c r="L302" s="675"/>
    </row>
    <row r="303" spans="2:12" x14ac:dyDescent="0.35">
      <c r="B303" s="675"/>
      <c r="C303" s="30">
        <v>45755</v>
      </c>
      <c r="D303" s="77">
        <f>Data!I301</f>
        <v>-1.834913866819643E-2</v>
      </c>
      <c r="E303" s="77">
        <f>Data!Q301</f>
        <v>-9.6308930609613E-3</v>
      </c>
      <c r="F303" s="77">
        <f>Data!Y301</f>
        <v>-6.2208598751025057E-3</v>
      </c>
      <c r="G303" s="77">
        <f>Data!AG301</f>
        <v>-2.7007136474422782E-3</v>
      </c>
      <c r="H303" s="77">
        <f>Data!AO301</f>
        <v>-3.4181193428527296E-3</v>
      </c>
      <c r="I303" s="77">
        <f>Data!AW301</f>
        <v>-4.3478261554484701E-4</v>
      </c>
      <c r="J303" s="77">
        <f>Data!BE301</f>
        <v>2.6202372394023902E-2</v>
      </c>
      <c r="K303" s="77">
        <f>Data!BM301</f>
        <v>2.7101929777791179E-2</v>
      </c>
      <c r="L303" s="675"/>
    </row>
    <row r="304" spans="2:12" x14ac:dyDescent="0.35">
      <c r="B304" s="675"/>
      <c r="C304" s="30">
        <v>45756</v>
      </c>
      <c r="D304" s="77">
        <f>Data!I302</f>
        <v>0</v>
      </c>
      <c r="E304" s="77">
        <f>Data!Q302</f>
        <v>-9.7245498919947444E-3</v>
      </c>
      <c r="F304" s="77">
        <f>Data!Y302</f>
        <v>9.3559963163476767E-4</v>
      </c>
      <c r="G304" s="77">
        <f>Data!AG302</f>
        <v>1.0029438278049798E-2</v>
      </c>
      <c r="H304" s="77">
        <f>Data!AO302</f>
        <v>1.6099822354656683E-3</v>
      </c>
      <c r="I304" s="77">
        <f>Data!AW302</f>
        <v>1.8100041643617937E-2</v>
      </c>
      <c r="J304" s="77">
        <f>Data!BE302</f>
        <v>2.9726180265200689E-2</v>
      </c>
      <c r="K304" s="77">
        <f>Data!BM302</f>
        <v>4.4451762570834011E-2</v>
      </c>
      <c r="L304" s="675"/>
    </row>
    <row r="305" spans="2:12" ht="15.5" customHeight="1" x14ac:dyDescent="0.35">
      <c r="B305" s="675"/>
      <c r="C305" s="30">
        <v>45757</v>
      </c>
      <c r="D305" s="77">
        <f>Data!I303</f>
        <v>-1.8692133012152633E-2</v>
      </c>
      <c r="E305" s="77">
        <f>Data!Q303</f>
        <v>0</v>
      </c>
      <c r="F305" s="77">
        <f>Data!Y303</f>
        <v>-6.2363581690684001E-4</v>
      </c>
      <c r="G305" s="77">
        <f>Data!AG303</f>
        <v>-3.2912810840728442E-3</v>
      </c>
      <c r="H305" s="77">
        <f>Data!AO303</f>
        <v>4.2139121249798565E-3</v>
      </c>
      <c r="I305" s="77">
        <f>Data!AW303</f>
        <v>-9.6556913680647411E-3</v>
      </c>
      <c r="J305" s="77">
        <f>Data!BE303</f>
        <v>-8.4034107963795041E-3</v>
      </c>
      <c r="K305" s="77">
        <f>Data!BM303</f>
        <v>-1.1575691957889151E-2</v>
      </c>
      <c r="L305" s="675"/>
    </row>
    <row r="306" spans="2:12" x14ac:dyDescent="0.35">
      <c r="B306" s="675"/>
      <c r="C306" s="30">
        <v>45760</v>
      </c>
      <c r="D306" s="77">
        <f>Data!I304</f>
        <v>-2.8710105882431253E-2</v>
      </c>
      <c r="E306" s="77">
        <f>Data!Q304</f>
        <v>-6.5359709797855334E-3</v>
      </c>
      <c r="F306" s="77">
        <f>Data!Y304</f>
        <v>-1.5607931996352328E-3</v>
      </c>
      <c r="G306" s="77">
        <f>Data!AG304</f>
        <v>7.3233251167526307E-4</v>
      </c>
      <c r="H306" s="77">
        <f>Data!AO304</f>
        <v>-2.0026033910920657E-4</v>
      </c>
      <c r="I306" s="77">
        <f>Data!AW304</f>
        <v>4.9467785572639006E-3</v>
      </c>
      <c r="J306" s="77">
        <f>Data!BE304</f>
        <v>-2.5642430613337555E-2</v>
      </c>
      <c r="K306" s="77">
        <f>Data!BM304</f>
        <v>4.3664006509389577E-2</v>
      </c>
      <c r="L306" s="675"/>
    </row>
    <row r="307" spans="2:12" x14ac:dyDescent="0.35">
      <c r="B307" s="675"/>
      <c r="C307" s="30">
        <v>45762</v>
      </c>
      <c r="D307" s="77">
        <f>Data!I305</f>
        <v>-1.9608471388376424E-2</v>
      </c>
      <c r="E307" s="77">
        <f>Data!Q305</f>
        <v>0</v>
      </c>
      <c r="F307" s="77">
        <f>Data!Y305</f>
        <v>2.1844290165419881E-3</v>
      </c>
      <c r="G307" s="77">
        <f>Data!AG305</f>
        <v>1.2193636433409519E-3</v>
      </c>
      <c r="H307" s="77">
        <f>Data!AO305</f>
        <v>2.6002614911102085E-3</v>
      </c>
      <c r="I307" s="77">
        <f>Data!AW305</f>
        <v>1.4483746271134808E-2</v>
      </c>
      <c r="J307" s="77">
        <f>Data!BE305</f>
        <v>-1.3072081567352775E-2</v>
      </c>
      <c r="K307" s="77">
        <f>Data!BM305</f>
        <v>-1.1208087441744589E-2</v>
      </c>
      <c r="L307" s="675"/>
    </row>
    <row r="308" spans="2:12" x14ac:dyDescent="0.35">
      <c r="B308" s="675"/>
      <c r="C308" s="30">
        <v>45763</v>
      </c>
      <c r="D308" s="77">
        <f>Data!I306</f>
        <v>-2.0000666706669428E-2</v>
      </c>
      <c r="E308" s="77">
        <f>Data!Q306</f>
        <v>-6.578971098042511E-3</v>
      </c>
      <c r="F308" s="77">
        <f>Data!Y306</f>
        <v>3.1167212345175054E-4</v>
      </c>
      <c r="G308" s="77">
        <f>Data!AG306</f>
        <v>6.0912470665728234E-4</v>
      </c>
      <c r="H308" s="77">
        <f>Data!AO306</f>
        <v>-1.9996007462512416E-3</v>
      </c>
      <c r="I308" s="77">
        <f>Data!AW306</f>
        <v>-1.3625929362431545E-2</v>
      </c>
      <c r="J308" s="77">
        <f>Data!BE306</f>
        <v>-1.324522675002068E-2</v>
      </c>
      <c r="K308" s="77">
        <f>Data!BM306</f>
        <v>-2.4723921784318682E-2</v>
      </c>
      <c r="L308" s="675"/>
    </row>
    <row r="309" spans="2:12" x14ac:dyDescent="0.35">
      <c r="B309" s="675"/>
      <c r="C309" s="30">
        <v>45764</v>
      </c>
      <c r="D309" s="77">
        <f>Data!I307</f>
        <v>7.7708984327316113E-2</v>
      </c>
      <c r="E309" s="77">
        <f>Data!Q307</f>
        <v>6.5789710980425605E-3</v>
      </c>
      <c r="F309" s="77">
        <f>Data!Y307</f>
        <v>-3.1211011603388228E-3</v>
      </c>
      <c r="G309" s="77">
        <f>Data!AG307</f>
        <v>-2.8050509276087211E-3</v>
      </c>
      <c r="H309" s="77">
        <f>Data!AO307</f>
        <v>6.0030016810199761E-4</v>
      </c>
      <c r="I309" s="77">
        <f>Data!AW307</f>
        <v>-1.5554428955650755E-2</v>
      </c>
      <c r="J309" s="77">
        <f>Data!BE307</f>
        <v>0</v>
      </c>
      <c r="K309" s="77">
        <f>Data!BM307</f>
        <v>-1.9274018173591249E-3</v>
      </c>
      <c r="L309" s="675"/>
    </row>
    <row r="310" spans="2:12" x14ac:dyDescent="0.35">
      <c r="B310" s="675"/>
      <c r="C310" s="30">
        <v>45767</v>
      </c>
      <c r="D310" s="77">
        <f>Data!I308</f>
        <v>1.8519047767237531E-2</v>
      </c>
      <c r="E310" s="77">
        <f>Data!Q308</f>
        <v>1.9481135571822489E-2</v>
      </c>
      <c r="F310" s="77">
        <f>Data!Y308</f>
        <v>3.7441541399959978E-3</v>
      </c>
      <c r="G310" s="77">
        <f>Data!AG308</f>
        <v>-1.1176045095065725E-2</v>
      </c>
      <c r="H310" s="77">
        <f>Data!AO308</f>
        <v>-5.013547050220394E-3</v>
      </c>
      <c r="I310" s="77">
        <f>Data!AW308</f>
        <v>-5.020200437543032E-3</v>
      </c>
      <c r="J310" s="77">
        <f>Data!BE308</f>
        <v>-3.6203048663960589E-2</v>
      </c>
      <c r="K310" s="77">
        <f>Data!BM308</f>
        <v>-2.2765210773012433E-2</v>
      </c>
      <c r="L310" s="675"/>
    </row>
    <row r="311" spans="2:12" x14ac:dyDescent="0.35">
      <c r="B311" s="675"/>
      <c r="C311" s="30">
        <v>45768</v>
      </c>
      <c r="D311" s="77">
        <f>Data!I309</f>
        <v>-1.8519047767237642E-2</v>
      </c>
      <c r="E311" s="77">
        <f>Data!Q309</f>
        <v>-6.4516352814887193E-3</v>
      </c>
      <c r="F311" s="77">
        <f>Data!Y309</f>
        <v>-4.995327277878844E-3</v>
      </c>
      <c r="G311" s="77">
        <f>Data!AG309</f>
        <v>-1.7692960914227129E-2</v>
      </c>
      <c r="H311" s="77">
        <f>Data!AO309</f>
        <v>-8.045052726755286E-4</v>
      </c>
      <c r="I311" s="77">
        <f>Data!AW309</f>
        <v>-4.1662158716083584E-3</v>
      </c>
      <c r="J311" s="77">
        <f>Data!BE309</f>
        <v>-2.8039220064392932E-2</v>
      </c>
      <c r="K311" s="77">
        <f>Data!BM309</f>
        <v>-2.6350476380051138E-3</v>
      </c>
      <c r="L311" s="675"/>
    </row>
    <row r="312" spans="2:12" x14ac:dyDescent="0.35">
      <c r="B312" s="675"/>
      <c r="C312" s="30">
        <v>45769</v>
      </c>
      <c r="D312" s="77">
        <f>Data!I310</f>
        <v>-2.8437935320533399E-2</v>
      </c>
      <c r="E312" s="77">
        <f>Data!Q310</f>
        <v>-6.4935293105482308E-3</v>
      </c>
      <c r="F312" s="77">
        <f>Data!Y310</f>
        <v>6.2578224820614516E-4</v>
      </c>
      <c r="G312" s="77">
        <f>Data!AG310</f>
        <v>5.6408798900857062E-3</v>
      </c>
      <c r="H312" s="77">
        <f>Data!AO310</f>
        <v>-2.0122748835391246E-4</v>
      </c>
      <c r="I312" s="77">
        <f>Data!AW310</f>
        <v>-1.3192614050628047E-3</v>
      </c>
      <c r="J312" s="77">
        <f>Data!BE310</f>
        <v>4.7281411959458957E-3</v>
      </c>
      <c r="K312" s="77">
        <f>Data!BM310</f>
        <v>8.5386397267454266E-3</v>
      </c>
      <c r="L312" s="675"/>
    </row>
    <row r="313" spans="2:12" x14ac:dyDescent="0.35">
      <c r="B313" s="675"/>
      <c r="C313" s="30">
        <v>45770</v>
      </c>
      <c r="D313" s="77">
        <f>Data!I311</f>
        <v>-2.9270382300113338E-2</v>
      </c>
      <c r="E313" s="77">
        <f>Data!Q311</f>
        <v>-3.2626456348162714E-3</v>
      </c>
      <c r="F313" s="77">
        <f>Data!Y311</f>
        <v>4.9922100560170673E-3</v>
      </c>
      <c r="G313" s="77">
        <f>Data!AG311</f>
        <v>-1.5011261262672026E-3</v>
      </c>
      <c r="H313" s="77">
        <f>Data!AO311</f>
        <v>-1.4097273505742781E-3</v>
      </c>
      <c r="I313" s="77">
        <f>Data!AW311</f>
        <v>-5.5157337853023293E-3</v>
      </c>
      <c r="J313" s="77">
        <f>Data!BE311</f>
        <v>0</v>
      </c>
      <c r="K313" s="77">
        <f>Data!BM311</f>
        <v>1.4930494814101547E-2</v>
      </c>
      <c r="L313" s="675"/>
    </row>
    <row r="314" spans="2:12" x14ac:dyDescent="0.35">
      <c r="B314" s="675"/>
      <c r="C314" s="30">
        <v>45771</v>
      </c>
      <c r="D314" s="77">
        <f>Data!I312</f>
        <v>0</v>
      </c>
      <c r="E314" s="77">
        <f>Data!Q312</f>
        <v>-6.5574005461591636E-3</v>
      </c>
      <c r="F314" s="77">
        <f>Data!Y312</f>
        <v>-2.4929897610881106E-3</v>
      </c>
      <c r="G314" s="77">
        <f>Data!AG312</f>
        <v>-2.757930794116235E-3</v>
      </c>
      <c r="H314" s="77">
        <f>Data!AO312</f>
        <v>-7.2815855712630084E-3</v>
      </c>
      <c r="I314" s="77">
        <f>Data!AW312</f>
        <v>-5.5463259205562601E-3</v>
      </c>
      <c r="J314" s="77">
        <f>Data!BE312</f>
        <v>-1.9048194970694363E-2</v>
      </c>
      <c r="K314" s="77">
        <f>Data!BM312</f>
        <v>-1.820596449657241E-2</v>
      </c>
      <c r="L314" s="675"/>
    </row>
    <row r="315" spans="2:12" x14ac:dyDescent="0.35">
      <c r="B315" s="675"/>
      <c r="C315" s="30">
        <v>45774</v>
      </c>
      <c r="D315" s="77">
        <f>Data!I313</f>
        <v>9.8522964430116395E-3</v>
      </c>
      <c r="E315" s="77">
        <f>Data!Q313</f>
        <v>-9.9174366573459155E-3</v>
      </c>
      <c r="F315" s="77">
        <f>Data!Y313</f>
        <v>-4.0432054955945797E-2</v>
      </c>
      <c r="G315" s="77">
        <f>Data!AG313</f>
        <v>-7.5348490316089526E-4</v>
      </c>
      <c r="H315" s="77">
        <f>Data!AO313</f>
        <v>0</v>
      </c>
      <c r="I315" s="77">
        <f>Data!AW313</f>
        <v>8.8948193545163663E-4</v>
      </c>
      <c r="J315" s="77">
        <f>Data!BE313</f>
        <v>4.7961722634930135E-3</v>
      </c>
      <c r="K315" s="77">
        <f>Data!BM313</f>
        <v>-1.3131978249605835E-3</v>
      </c>
      <c r="L315" s="675"/>
    </row>
    <row r="316" spans="2:12" x14ac:dyDescent="0.35">
      <c r="B316" s="675"/>
      <c r="C316" s="30">
        <v>45775</v>
      </c>
      <c r="D316" s="77">
        <f>Data!I314</f>
        <v>-9.8522964430115944E-3</v>
      </c>
      <c r="E316" s="77">
        <f>Data!Q314</f>
        <v>0</v>
      </c>
      <c r="F316" s="77">
        <f>Data!Y314</f>
        <v>-1.7368943933882781E-2</v>
      </c>
      <c r="G316" s="77">
        <f>Data!AG314</f>
        <v>-1.2570711900510918E-3</v>
      </c>
      <c r="H316" s="77">
        <f>Data!AO314</f>
        <v>-1.2187691941294547E-3</v>
      </c>
      <c r="I316" s="77">
        <f>Data!AW314</f>
        <v>-2.2251900592401806E-3</v>
      </c>
      <c r="J316" s="77">
        <f>Data!BE314</f>
        <v>4.7732787526578117E-3</v>
      </c>
      <c r="K316" s="77">
        <f>Data!BM314</f>
        <v>-1.1897033911845942E-2</v>
      </c>
      <c r="L316" s="675"/>
    </row>
    <row r="317" spans="2:12" x14ac:dyDescent="0.35">
      <c r="B317" s="675"/>
      <c r="C317" s="30">
        <v>45776</v>
      </c>
      <c r="D317" s="77">
        <f>Data!I315</f>
        <v>0</v>
      </c>
      <c r="E317" s="77">
        <f>Data!Q315</f>
        <v>-6.6666913581893451E-3</v>
      </c>
      <c r="F317" s="77">
        <f>Data!Y315</f>
        <v>-7.632358271534633E-3</v>
      </c>
      <c r="G317" s="77">
        <f>Data!AG315</f>
        <v>-1.1894357614075788E-2</v>
      </c>
      <c r="H317" s="77">
        <f>Data!AO315</f>
        <v>-2.2382754283013823E-3</v>
      </c>
      <c r="I317" s="77">
        <f>Data!AW315</f>
        <v>-6.032863789454326E-3</v>
      </c>
      <c r="J317" s="77">
        <f>Data!BE315</f>
        <v>-4.7732787526577709E-3</v>
      </c>
      <c r="K317" s="77">
        <f>Data!BM315</f>
        <v>4.6434577629543691E-3</v>
      </c>
      <c r="L317" s="675"/>
    </row>
    <row r="318" spans="2:12" x14ac:dyDescent="0.35">
      <c r="B318" s="675"/>
      <c r="C318" s="30">
        <v>45777</v>
      </c>
      <c r="D318" s="77">
        <f>Data!I316</f>
        <v>9.8522964430116395E-3</v>
      </c>
      <c r="E318" s="77">
        <f>Data!Q316</f>
        <v>-6.7114345879868038E-3</v>
      </c>
      <c r="F318" s="77">
        <f>Data!Y316</f>
        <v>-2.0006675562970599E-3</v>
      </c>
      <c r="G318" s="77">
        <f>Data!AG316</f>
        <v>1.7804913771469707E-3</v>
      </c>
      <c r="H318" s="77">
        <f>Data!AO316</f>
        <v>0</v>
      </c>
      <c r="I318" s="77">
        <f>Data!AW316</f>
        <v>-2.692999832191911E-3</v>
      </c>
      <c r="J318" s="77">
        <f>Data!BE316</f>
        <v>0</v>
      </c>
      <c r="K318" s="77">
        <f>Data!BM316</f>
        <v>6.5963299865533093E-3</v>
      </c>
      <c r="L318" s="675"/>
    </row>
    <row r="319" spans="2:12" x14ac:dyDescent="0.35">
      <c r="B319" s="675"/>
      <c r="C319" s="30">
        <v>45781</v>
      </c>
      <c r="D319" s="77">
        <f>Data!I317</f>
        <v>2.8987536873252406E-2</v>
      </c>
      <c r="E319" s="77">
        <f>Data!Q317</f>
        <v>0</v>
      </c>
      <c r="F319" s="77">
        <f>Data!Y317</f>
        <v>2.0006675562969688E-3</v>
      </c>
      <c r="G319" s="77">
        <f>Data!AG317</f>
        <v>-8.165393670888638E-3</v>
      </c>
      <c r="H319" s="77">
        <f>Data!AO317</f>
        <v>-3.8779515891347442E-3</v>
      </c>
      <c r="I319" s="77">
        <f>Data!AW317</f>
        <v>-1.5627087346387375E-2</v>
      </c>
      <c r="J319" s="77">
        <f>Data!BE317</f>
        <v>2.3641763057040494E-2</v>
      </c>
      <c r="K319" s="77">
        <f>Data!BM317</f>
        <v>-4.6128582618987181E-3</v>
      </c>
      <c r="L319" s="675"/>
    </row>
    <row r="320" spans="2:12" x14ac:dyDescent="0.35">
      <c r="B320" s="675"/>
      <c r="C320" s="30">
        <v>45782</v>
      </c>
      <c r="D320" s="77">
        <f>Data!I318</f>
        <v>-1.9231361927887533E-2</v>
      </c>
      <c r="E320" s="77">
        <f>Data!Q318</f>
        <v>6.7114345879867778E-3</v>
      </c>
      <c r="F320" s="77">
        <f>Data!Y318</f>
        <v>1.2907675483957578E-2</v>
      </c>
      <c r="G320" s="77">
        <f>Data!AG318</f>
        <v>-6.4145738093917617E-2</v>
      </c>
      <c r="H320" s="77">
        <f>Data!AO318</f>
        <v>3.8779515891348339E-3</v>
      </c>
      <c r="I320" s="77">
        <f>Data!AW318</f>
        <v>-1.240254758901374E-2</v>
      </c>
      <c r="J320" s="77">
        <f>Data!BE318</f>
        <v>-3.8099846232270293E-2</v>
      </c>
      <c r="K320" s="77">
        <f>Data!BM318</f>
        <v>-3.9708854294926198E-3</v>
      </c>
      <c r="L320" s="675"/>
    </row>
    <row r="321" spans="2:12" x14ac:dyDescent="0.35">
      <c r="B321" s="675"/>
      <c r="C321" s="30">
        <v>45783</v>
      </c>
      <c r="D321" s="77">
        <f>Data!I319</f>
        <v>2.871010588243136E-2</v>
      </c>
      <c r="E321" s="77">
        <f>Data!Q319</f>
        <v>1.6584128015535261E-2</v>
      </c>
      <c r="F321" s="77">
        <f>Data!Y319</f>
        <v>-6.5985062906926632E-3</v>
      </c>
      <c r="G321" s="77">
        <f>Data!AG319</f>
        <v>3.4898186409661212E-2</v>
      </c>
      <c r="H321" s="77">
        <f>Data!AO319</f>
        <v>-3.2646427689288393E-3</v>
      </c>
      <c r="I321" s="77">
        <f>Data!AW319</f>
        <v>-2.8362383962239595E-2</v>
      </c>
      <c r="J321" s="77">
        <f>Data!BE319</f>
        <v>1.9231361927887592E-2</v>
      </c>
      <c r="K321" s="77">
        <f>Data!BM319</f>
        <v>-1.2008149628396607E-2</v>
      </c>
      <c r="L321" s="675"/>
    </row>
    <row r="322" spans="2:12" x14ac:dyDescent="0.35">
      <c r="B322" s="675"/>
      <c r="C322" s="30">
        <v>45784</v>
      </c>
      <c r="D322" s="77">
        <f>Data!I320</f>
        <v>-2.8710105882431253E-2</v>
      </c>
      <c r="E322" s="77">
        <f>Data!Q320</f>
        <v>-2.3295562603522068E-2</v>
      </c>
      <c r="F322" s="77">
        <f>Data!Y320</f>
        <v>-1.6016358388574379E-2</v>
      </c>
      <c r="G322" s="77">
        <f>Data!AG320</f>
        <v>-1.6491928512509017E-2</v>
      </c>
      <c r="H322" s="77">
        <f>Data!AO320</f>
        <v>-2.1483990946514306E-2</v>
      </c>
      <c r="I322" s="77">
        <f>Data!AW320</f>
        <v>-4.2001561389276937E-2</v>
      </c>
      <c r="J322" s="77">
        <f>Data!BE320</f>
        <v>-4.8790164169432056E-2</v>
      </c>
      <c r="K322" s="77">
        <f>Data!BM320</f>
        <v>-2.1024850416719136E-2</v>
      </c>
      <c r="L322" s="675"/>
    </row>
    <row r="323" spans="2:12" x14ac:dyDescent="0.35">
      <c r="B323" s="675"/>
      <c r="C323" s="30">
        <v>45785</v>
      </c>
      <c r="D323" s="77">
        <f>Data!I321</f>
        <v>1.9231361927887592E-2</v>
      </c>
      <c r="E323" s="77">
        <f>Data!Q321</f>
        <v>2.3295562603522082E-2</v>
      </c>
      <c r="F323" s="77">
        <f>Data!Y321</f>
        <v>2.3517565013524023E-3</v>
      </c>
      <c r="G323" s="77">
        <f>Data!AG321</f>
        <v>5.7498319806070326E-3</v>
      </c>
      <c r="H323" s="77">
        <f>Data!AO321</f>
        <v>9.5595075447853194E-3</v>
      </c>
      <c r="I323" s="77">
        <f>Data!AW321</f>
        <v>2.8838753179670721E-2</v>
      </c>
      <c r="J323" s="77">
        <f>Data!BE321</f>
        <v>2.9558802241544429E-2</v>
      </c>
      <c r="K323" s="77">
        <f>Data!BM321</f>
        <v>1.4966265745013E-2</v>
      </c>
      <c r="L323" s="675"/>
    </row>
    <row r="324" spans="2:12" x14ac:dyDescent="0.35">
      <c r="B324" s="675"/>
      <c r="C324" s="30">
        <v>45789</v>
      </c>
      <c r="D324" s="77">
        <f>Data!I322</f>
        <v>9.0971778205726786E-2</v>
      </c>
      <c r="E324" s="77">
        <f>Data!Q322</f>
        <v>0</v>
      </c>
      <c r="F324" s="77">
        <f>Data!Y322</f>
        <v>3.3551417862135921E-4</v>
      </c>
      <c r="G324" s="77">
        <f>Data!AG322</f>
        <v>2.7960873020014092E-3</v>
      </c>
      <c r="H324" s="77">
        <f>Data!AO322</f>
        <v>2.3506447675341317E-2</v>
      </c>
      <c r="I324" s="77">
        <f>Data!AW322</f>
        <v>-3.8619405952471124E-3</v>
      </c>
      <c r="J324" s="77">
        <f>Data!BE322</f>
        <v>0</v>
      </c>
      <c r="K324" s="77">
        <f>Data!BM322</f>
        <v>-6.7544750963796684E-4</v>
      </c>
      <c r="L324" s="675"/>
    </row>
    <row r="325" spans="2:12" x14ac:dyDescent="0.35">
      <c r="B325" s="675"/>
      <c r="C325" s="30">
        <v>45790</v>
      </c>
      <c r="D325" s="77">
        <f>Data!I323</f>
        <v>2.5752496102414764E-2</v>
      </c>
      <c r="E325" s="77">
        <f>Data!Q323</f>
        <v>4.3135106686087055E-2</v>
      </c>
      <c r="F325" s="77">
        <f>Data!Y323</f>
        <v>-3.6968618813262031E-3</v>
      </c>
      <c r="G325" s="77">
        <f>Data!AG323</f>
        <v>-1.9332055942100742E-2</v>
      </c>
      <c r="H325" s="77">
        <f>Data!AO323</f>
        <v>2.2197567383130316E-3</v>
      </c>
      <c r="I325" s="77">
        <f>Data!AW323</f>
        <v>-1.9365777052099463E-3</v>
      </c>
      <c r="J325" s="77">
        <f>Data!BE323</f>
        <v>-2.4571260730505317E-2</v>
      </c>
      <c r="K325" s="77">
        <f>Data!BM323</f>
        <v>-1.7036187152567852E-2</v>
      </c>
      <c r="L325" s="675"/>
    </row>
    <row r="326" spans="2:12" x14ac:dyDescent="0.35">
      <c r="B326" s="675"/>
      <c r="C326" s="30">
        <v>45791</v>
      </c>
      <c r="D326" s="77">
        <f>Data!I324</f>
        <v>-1.7094433359300183E-2</v>
      </c>
      <c r="E326" s="77">
        <f>Data!Q324</f>
        <v>-8.0538862484012361E-2</v>
      </c>
      <c r="F326" s="77">
        <f>Data!Y324</f>
        <v>-3.36757032985576E-4</v>
      </c>
      <c r="G326" s="77">
        <f>Data!AG324</f>
        <v>2.5722616227131781E-3</v>
      </c>
      <c r="H326" s="77">
        <f>Data!AO324</f>
        <v>-9.315579719782011E-3</v>
      </c>
      <c r="I326" s="77">
        <f>Data!AW324</f>
        <v>-8.0282635313470001E-3</v>
      </c>
      <c r="J326" s="77">
        <f>Data!BE324</f>
        <v>-4.580953603129434E-2</v>
      </c>
      <c r="K326" s="77">
        <f>Data!BM324</f>
        <v>1.3736265896119398E-3</v>
      </c>
      <c r="L326" s="675"/>
    </row>
    <row r="327" spans="2:12" x14ac:dyDescent="0.35">
      <c r="B327" s="675"/>
      <c r="C327" s="30">
        <v>45792</v>
      </c>
      <c r="D327" s="77">
        <f>Data!I325</f>
        <v>-5.3109825313948408E-2</v>
      </c>
      <c r="E327" s="77">
        <f>Data!Q325</f>
        <v>-2.1739986636405764E-2</v>
      </c>
      <c r="F327" s="77">
        <f>Data!Y325</f>
        <v>-6.7590659484835763E-3</v>
      </c>
      <c r="G327" s="77">
        <f>Data!AG325</f>
        <v>3.9241514201654927E-2</v>
      </c>
      <c r="H327" s="77">
        <f>Data!AO325</f>
        <v>-6.1056275428854367E-4</v>
      </c>
      <c r="I327" s="77">
        <f>Data!AW325</f>
        <v>-1.1052550189073758E-2</v>
      </c>
      <c r="J327" s="77">
        <f>Data!BE325</f>
        <v>-5.2219439811516007E-3</v>
      </c>
      <c r="K327" s="77">
        <f>Data!BM325</f>
        <v>-1.5214678001483281E-2</v>
      </c>
      <c r="L327" s="675"/>
    </row>
    <row r="328" spans="2:12" x14ac:dyDescent="0.35">
      <c r="B328" s="675"/>
      <c r="C328" s="30">
        <v>45794</v>
      </c>
      <c r="D328" s="77">
        <f>Data!I326</f>
        <v>9.0498355199178562E-3</v>
      </c>
      <c r="E328" s="77">
        <f>Data!Q326</f>
        <v>1.8149318505677269E-2</v>
      </c>
      <c r="F328" s="77">
        <f>Data!Y326</f>
        <v>-6.7842607758151758E-4</v>
      </c>
      <c r="G328" s="77">
        <f>Data!AG326</f>
        <v>7.0517103603856712E-2</v>
      </c>
      <c r="H328" s="77">
        <f>Data!AO326</f>
        <v>-2.241924917430865E-3</v>
      </c>
      <c r="I328" s="77">
        <f>Data!AW326</f>
        <v>7.3819232853972435E-3</v>
      </c>
      <c r="J328" s="77">
        <f>Data!BE326</f>
        <v>-2.6526754333428597E-2</v>
      </c>
      <c r="K328" s="77">
        <f>Data!BM326</f>
        <v>2.0884100872706744E-3</v>
      </c>
      <c r="L328" s="675"/>
    </row>
    <row r="329" spans="2:12" x14ac:dyDescent="0.35">
      <c r="B329" s="675"/>
      <c r="C329" s="30">
        <v>45795</v>
      </c>
      <c r="D329" s="77">
        <f>Data!I327</f>
        <v>-3.670136685042804E-2</v>
      </c>
      <c r="E329" s="77">
        <f>Data!Q327</f>
        <v>-1.8149318505677334E-2</v>
      </c>
      <c r="F329" s="77">
        <f>Data!Y327</f>
        <v>5.0770120900492915E-3</v>
      </c>
      <c r="G329" s="77">
        <f>Data!AG327</f>
        <v>7.2315026522810716E-2</v>
      </c>
      <c r="H329" s="77">
        <f>Data!AO327</f>
        <v>-1.3558137022152795E-2</v>
      </c>
      <c r="I329" s="77">
        <f>Data!AW327</f>
        <v>-2.4518818315783121E-4</v>
      </c>
      <c r="J329" s="77">
        <f>Data!BE327</f>
        <v>0</v>
      </c>
      <c r="K329" s="77">
        <f>Data!BM327</f>
        <v>-1.1892410183891509E-2</v>
      </c>
      <c r="L329" s="675"/>
    </row>
    <row r="330" spans="2:12" x14ac:dyDescent="0.35">
      <c r="B330" s="675"/>
      <c r="C330" s="30">
        <v>45796</v>
      </c>
      <c r="D330" s="77">
        <f>Data!I328</f>
        <v>5.4558984250434608E-2</v>
      </c>
      <c r="E330" s="77">
        <f>Data!Q328</f>
        <v>3.6563112031104792E-3</v>
      </c>
      <c r="F330" s="77">
        <f>Data!Y328</f>
        <v>-7.115056273748901E-3</v>
      </c>
      <c r="G330" s="77">
        <f>Data!AG328</f>
        <v>-1.9804881327797029E-2</v>
      </c>
      <c r="H330" s="77">
        <f>Data!AO328</f>
        <v>4.9515265185083425E-3</v>
      </c>
      <c r="I330" s="77">
        <f>Data!AW328</f>
        <v>-6.6429079317099149E-3</v>
      </c>
      <c r="J330" s="77">
        <f>Data!BE328</f>
        <v>1.069528911674795E-2</v>
      </c>
      <c r="K330" s="77">
        <f>Data!BM328</f>
        <v>8.4092997310713288E-3</v>
      </c>
      <c r="L330" s="675"/>
    </row>
    <row r="331" spans="2:12" x14ac:dyDescent="0.35">
      <c r="B331" s="675"/>
      <c r="C331" s="30">
        <v>45797</v>
      </c>
      <c r="D331" s="77">
        <f>Data!I329</f>
        <v>-6.3948724600273524E-2</v>
      </c>
      <c r="E331" s="77">
        <f>Data!Q329</f>
        <v>3.6429912785012298E-3</v>
      </c>
      <c r="F331" s="77">
        <f>Data!Y329</f>
        <v>1.3591575316919615E-3</v>
      </c>
      <c r="G331" s="77">
        <f>Data!AG329</f>
        <v>-1.4706998914073035E-2</v>
      </c>
      <c r="H331" s="77">
        <f>Data!AO329</f>
        <v>-5.1583731424747125E-3</v>
      </c>
      <c r="I331" s="77">
        <f>Data!AW329</f>
        <v>-1.9767735619196855E-3</v>
      </c>
      <c r="J331" s="77">
        <f>Data!BE329</f>
        <v>-1.0695289116747919E-2</v>
      </c>
      <c r="K331" s="77">
        <f>Data!BM329</f>
        <v>-1.3966482717210872E-3</v>
      </c>
      <c r="L331" s="675"/>
    </row>
    <row r="332" spans="2:12" x14ac:dyDescent="0.35">
      <c r="B332" s="675"/>
      <c r="C332" s="30">
        <v>45798</v>
      </c>
      <c r="D332" s="77">
        <f>Data!I330</f>
        <v>-4.8318577270807683E-2</v>
      </c>
      <c r="E332" s="77">
        <f>Data!Q330</f>
        <v>-3.6429912785010919E-3</v>
      </c>
      <c r="F332" s="77">
        <f>Data!Y330</f>
        <v>-2.0930597680847516E-2</v>
      </c>
      <c r="G332" s="77">
        <f>Data!AG330</f>
        <v>-1.315190399319878E-2</v>
      </c>
      <c r="H332" s="77">
        <f>Data!AO330</f>
        <v>3.3044226681007136E-3</v>
      </c>
      <c r="I332" s="77">
        <f>Data!AW330</f>
        <v>2.7170573711743288E-3</v>
      </c>
      <c r="J332" s="77">
        <f>Data!BE330</f>
        <v>-1.081091610421573E-2</v>
      </c>
      <c r="K332" s="77">
        <f>Data!BM330</f>
        <v>-5.6061814665983763E-3</v>
      </c>
      <c r="L332" s="675"/>
    </row>
    <row r="333" spans="2:12" x14ac:dyDescent="0.35">
      <c r="B333" s="675"/>
      <c r="C333" s="30">
        <v>45799</v>
      </c>
      <c r="D333" s="77">
        <f>Data!I331</f>
        <v>0</v>
      </c>
      <c r="E333" s="77">
        <f>Data!Q331</f>
        <v>-3.6563112031104319E-3</v>
      </c>
      <c r="F333" s="77">
        <f>Data!Y331</f>
        <v>-2.2796007290727137E-2</v>
      </c>
      <c r="G333" s="77">
        <f>Data!AG331</f>
        <v>-2.319845752859127E-2</v>
      </c>
      <c r="H333" s="77">
        <f>Data!AO331</f>
        <v>-2.0620682617664704E-4</v>
      </c>
      <c r="I333" s="77">
        <f>Data!AW331</f>
        <v>-2.4697468715833316E-3</v>
      </c>
      <c r="J333" s="77">
        <f>Data!BE331</f>
        <v>5.4200674693393345E-3</v>
      </c>
      <c r="K333" s="77">
        <f>Data!BM331</f>
        <v>1.5342002456680073E-2</v>
      </c>
      <c r="L333" s="675"/>
    </row>
    <row r="334" spans="2:12" x14ac:dyDescent="0.35">
      <c r="B334" s="675"/>
      <c r="C334" s="30">
        <v>45801</v>
      </c>
      <c r="D334" s="77">
        <f>Data!I332</f>
        <v>9.8522964430116395E-3</v>
      </c>
      <c r="E334" s="77">
        <f>Data!Q332</f>
        <v>-7.352974305258806E-3</v>
      </c>
      <c r="F334" s="77">
        <f>Data!Y332</f>
        <v>-2.6601137170481508E-2</v>
      </c>
      <c r="G334" s="77">
        <f>Data!AG332</f>
        <v>3.9146262690723341E-2</v>
      </c>
      <c r="H334" s="77">
        <f>Data!AO332</f>
        <v>-3.3051052602681751E-3</v>
      </c>
      <c r="I334" s="77">
        <f>Data!AW332</f>
        <v>-4.9578683607868854E-3</v>
      </c>
      <c r="J334" s="77">
        <f>Data!BE332</f>
        <v>0</v>
      </c>
      <c r="K334" s="77">
        <f>Data!BM332</f>
        <v>-4.1608936591646705E-3</v>
      </c>
      <c r="L334" s="675"/>
    </row>
    <row r="335" spans="2:12" x14ac:dyDescent="0.35">
      <c r="B335" s="675"/>
      <c r="C335" s="30">
        <v>45802</v>
      </c>
      <c r="D335" s="77">
        <f>Data!I333</f>
        <v>4.7856021177635141E-2</v>
      </c>
      <c r="E335" s="77">
        <f>Data!Q333</f>
        <v>-3.6968618813262031E-3</v>
      </c>
      <c r="F335" s="77">
        <f>Data!Y333</f>
        <v>-8.0468612698713568E-3</v>
      </c>
      <c r="G335" s="77">
        <f>Data!AG333</f>
        <v>0</v>
      </c>
      <c r="H335" s="77">
        <f>Data!AO333</f>
        <v>2.6862295313869865E-3</v>
      </c>
      <c r="I335" s="77">
        <f>Data!AW333</f>
        <v>0</v>
      </c>
      <c r="J335" s="77">
        <f>Data!BE333</f>
        <v>5.3908486348765933E-3</v>
      </c>
      <c r="K335" s="77">
        <f>Data!BM333</f>
        <v>-8.3740894105315111E-3</v>
      </c>
      <c r="L335" s="675"/>
    </row>
    <row r="336" spans="2:12" x14ac:dyDescent="0.35">
      <c r="B336" s="675"/>
      <c r="C336" s="30">
        <v>45803</v>
      </c>
      <c r="D336" s="77">
        <f>Data!I334</f>
        <v>-4.78560211776351E-2</v>
      </c>
      <c r="E336" s="77">
        <f>Data!Q334</f>
        <v>-1.1173300598125302E-2</v>
      </c>
      <c r="F336" s="77">
        <f>Data!Y334</f>
        <v>-4.0478436134735295E-3</v>
      </c>
      <c r="G336" s="77">
        <f>Data!AG334</f>
        <v>0</v>
      </c>
      <c r="H336" s="77">
        <f>Data!AO334</f>
        <v>-3.9284657159781942E-3</v>
      </c>
      <c r="I336" s="77">
        <f>Data!AW334</f>
        <v>-2.9865626977489674E-3</v>
      </c>
      <c r="J336" s="77">
        <f>Data!BE334</f>
        <v>-5.3908486348765343E-3</v>
      </c>
      <c r="K336" s="77">
        <f>Data!BM334</f>
        <v>7.6789208041557477E-3</v>
      </c>
      <c r="L336" s="675"/>
    </row>
    <row r="337" spans="2:12" x14ac:dyDescent="0.35">
      <c r="B337" s="675"/>
      <c r="C337" s="30">
        <v>45804</v>
      </c>
      <c r="D337" s="77">
        <f>Data!I335</f>
        <v>-1.9802627296179643E-2</v>
      </c>
      <c r="E337" s="77">
        <f>Data!Q335</f>
        <v>-1.1299555253933394E-2</v>
      </c>
      <c r="F337" s="77">
        <f>Data!Y335</f>
        <v>8.8106296821551262E-3</v>
      </c>
      <c r="G337" s="77">
        <f>Data!AG335</f>
        <v>-2.5329739663494836E-2</v>
      </c>
      <c r="H337" s="77">
        <f>Data!AO335</f>
        <v>-7.0686365008616235E-3</v>
      </c>
      <c r="I337" s="77">
        <f>Data!AW335</f>
        <v>-2.0904929523366391E-2</v>
      </c>
      <c r="J337" s="77">
        <f>Data!BE335</f>
        <v>-1.6349138001529526E-2</v>
      </c>
      <c r="K337" s="77">
        <f>Data!BM335</f>
        <v>0</v>
      </c>
      <c r="L337" s="675"/>
    </row>
    <row r="338" spans="2:12" x14ac:dyDescent="0.35">
      <c r="B338" s="675"/>
      <c r="C338" s="30">
        <v>45805</v>
      </c>
      <c r="D338" s="77">
        <f>Data!I336</f>
        <v>0</v>
      </c>
      <c r="E338" s="77">
        <f>Data!Q336</f>
        <v>-1.5267472130788421E-2</v>
      </c>
      <c r="F338" s="77">
        <f>Data!Y336</f>
        <v>-1.4630580517605511E-3</v>
      </c>
      <c r="G338" s="77">
        <f>Data!AG336</f>
        <v>-3.3668249448253286E-2</v>
      </c>
      <c r="H338" s="77">
        <f>Data!AO336</f>
        <v>-1.7468612149167853E-2</v>
      </c>
      <c r="I338" s="77">
        <f>Data!AW336</f>
        <v>-3.1280823647203783E-2</v>
      </c>
      <c r="J338" s="77">
        <f>Data!BE336</f>
        <v>-1.1049836186584935E-2</v>
      </c>
      <c r="K338" s="77">
        <f>Data!BM336</f>
        <v>-9.7834463090709714E-3</v>
      </c>
      <c r="L338" s="675"/>
    </row>
    <row r="339" spans="2:12" x14ac:dyDescent="0.35">
      <c r="B339" s="675"/>
      <c r="C339" s="30">
        <v>45806</v>
      </c>
      <c r="D339" s="77">
        <f>Data!I337</f>
        <v>0</v>
      </c>
      <c r="E339" s="77">
        <f>Data!Q337</f>
        <v>3.0305349495329058E-2</v>
      </c>
      <c r="F339" s="77">
        <f>Data!Y337</f>
        <v>3.6655199559944944E-2</v>
      </c>
      <c r="G339" s="77">
        <f>Data!AG337</f>
        <v>2.6270241054188133E-2</v>
      </c>
      <c r="H339" s="77">
        <f>Data!AO337</f>
        <v>1.3706065904367296E-2</v>
      </c>
      <c r="I339" s="77">
        <f>Data!AW337</f>
        <v>2.1047938244491173E-2</v>
      </c>
      <c r="J339" s="77">
        <f>Data!BE337</f>
        <v>0</v>
      </c>
      <c r="K339" s="77">
        <f>Data!BM337</f>
        <v>1.4639508574611508E-2</v>
      </c>
      <c r="L339" s="675"/>
    </row>
    <row r="340" spans="2:12" x14ac:dyDescent="0.35">
      <c r="B340" s="675"/>
      <c r="C340" s="30">
        <v>45809</v>
      </c>
      <c r="D340" s="77">
        <f>Data!I338</f>
        <v>0</v>
      </c>
      <c r="E340" s="77">
        <f>Data!Q338</f>
        <v>1.1131840368844199E-2</v>
      </c>
      <c r="F340" s="77">
        <f>Data!Y338</f>
        <v>1.2971259870438291E-2</v>
      </c>
      <c r="G340" s="77">
        <f>Data!AG338</f>
        <v>1.7496675607378772E-2</v>
      </c>
      <c r="H340" s="77">
        <f>Data!AO338</f>
        <v>7.7188241797388358E-3</v>
      </c>
      <c r="I340" s="77">
        <f>Data!AW338</f>
        <v>2.7892274691071174E-2</v>
      </c>
      <c r="J340" s="77">
        <f>Data!BE338</f>
        <v>2.1978906718775167E-2</v>
      </c>
      <c r="K340" s="77">
        <f>Data!BM338</f>
        <v>3.4542348680876036E-3</v>
      </c>
      <c r="L340" s="675"/>
    </row>
    <row r="341" spans="2:12" x14ac:dyDescent="0.35">
      <c r="B341" s="675"/>
      <c r="C341" s="30">
        <v>45810</v>
      </c>
      <c r="D341" s="77">
        <f>Data!I339</f>
        <v>9.950330853168092E-3</v>
      </c>
      <c r="E341" s="77">
        <f>Data!Q339</f>
        <v>-7.4074412778619165E-3</v>
      </c>
      <c r="F341" s="77">
        <f>Data!Y339</f>
        <v>3.4825004705068879E-4</v>
      </c>
      <c r="G341" s="77">
        <f>Data!AG339</f>
        <v>-1.3124021974404119E-2</v>
      </c>
      <c r="H341" s="77">
        <f>Data!AO339</f>
        <v>-2.0803003133709665E-3</v>
      </c>
      <c r="I341" s="77">
        <f>Data!AW339</f>
        <v>1.1189971293543587E-2</v>
      </c>
      <c r="J341" s="77">
        <f>Data!BE339</f>
        <v>0</v>
      </c>
      <c r="K341" s="77">
        <f>Data!BM339</f>
        <v>1.3698844358161927E-2</v>
      </c>
      <c r="L341" s="675"/>
    </row>
    <row r="342" spans="2:12" x14ac:dyDescent="0.35">
      <c r="B342" s="675"/>
      <c r="C342" s="30">
        <v>45811</v>
      </c>
      <c r="D342" s="77">
        <f>Data!I340</f>
        <v>-2.0000666706669428E-2</v>
      </c>
      <c r="E342" s="77">
        <f>Data!Q340</f>
        <v>0</v>
      </c>
      <c r="F342" s="77">
        <f>Data!Y340</f>
        <v>-9.7971392449833807E-3</v>
      </c>
      <c r="G342" s="77">
        <f>Data!AG340</f>
        <v>-8.1533764728808529E-3</v>
      </c>
      <c r="H342" s="77">
        <f>Data!AO340</f>
        <v>-8.7848295557328027E-3</v>
      </c>
      <c r="I342" s="77">
        <f>Data!AW340</f>
        <v>-1.6958012363897219E-2</v>
      </c>
      <c r="J342" s="77">
        <f>Data!BE340</f>
        <v>1.6172859245600968E-2</v>
      </c>
      <c r="K342" s="77">
        <f>Data!BM340</f>
        <v>4.7506027585977988E-3</v>
      </c>
      <c r="L342" s="675"/>
    </row>
    <row r="343" spans="2:12" x14ac:dyDescent="0.35">
      <c r="B343" s="675"/>
      <c r="C343" s="30">
        <v>45812</v>
      </c>
      <c r="D343" s="77">
        <f>Data!I341</f>
        <v>1.0050335853501506E-2</v>
      </c>
      <c r="E343" s="77">
        <f>Data!Q341</f>
        <v>7.4074412778618176E-3</v>
      </c>
      <c r="F343" s="77">
        <f>Data!Y341</f>
        <v>6.3091691932647556E-3</v>
      </c>
      <c r="G343" s="77">
        <f>Data!AG341</f>
        <v>8.6380487227660768E-3</v>
      </c>
      <c r="H343" s="77">
        <f>Data!AO341</f>
        <v>7.3260400920728812E-3</v>
      </c>
      <c r="I343" s="77">
        <f>Data!AW341</f>
        <v>4.5169461992958168E-3</v>
      </c>
      <c r="J343" s="77">
        <f>Data!BE341</f>
        <v>0</v>
      </c>
      <c r="K343" s="77">
        <f>Data!BM341</f>
        <v>1.5452104558921714E-2</v>
      </c>
      <c r="L343" s="675"/>
    </row>
    <row r="344" spans="2:12" x14ac:dyDescent="0.35">
      <c r="B344" s="675"/>
      <c r="C344" s="30">
        <v>45823</v>
      </c>
      <c r="D344" s="77">
        <f>Data!I342</f>
        <v>0</v>
      </c>
      <c r="E344" s="77">
        <f>Data!Q342</f>
        <v>-3.6968618813262031E-3</v>
      </c>
      <c r="F344" s="77">
        <f>Data!Y342</f>
        <v>-6.6608484653963469E-3</v>
      </c>
      <c r="G344" s="77">
        <f>Data!AG342</f>
        <v>-1.1329840388477329E-2</v>
      </c>
      <c r="H344" s="77">
        <f>Data!AO342</f>
        <v>-4.8082040997319241E-3</v>
      </c>
      <c r="I344" s="77">
        <f>Data!AW342</f>
        <v>-8.0442867172642717E-3</v>
      </c>
      <c r="J344" s="77">
        <f>Data!BE342</f>
        <v>2.1164811192043331E-2</v>
      </c>
      <c r="K344" s="77">
        <f>Data!BM342</f>
        <v>1.332445233778473E-3</v>
      </c>
      <c r="L344" s="675"/>
    </row>
    <row r="345" spans="2:12" x14ac:dyDescent="0.35">
      <c r="B345" s="675"/>
      <c r="C345" s="30">
        <v>45824</v>
      </c>
      <c r="D345" s="77">
        <f>Data!I343</f>
        <v>3.9220713153281329E-2</v>
      </c>
      <c r="E345" s="77">
        <f>Data!Q343</f>
        <v>2.1978906718775382E-2</v>
      </c>
      <c r="F345" s="77">
        <f>Data!Y343</f>
        <v>7.3594164295363584E-3</v>
      </c>
      <c r="G345" s="77">
        <f>Data!AG343</f>
        <v>-5.4054185669080469E-3</v>
      </c>
      <c r="H345" s="77">
        <f>Data!AO343</f>
        <v>7.3076846761539029E-3</v>
      </c>
      <c r="I345" s="77">
        <f>Data!AW343</f>
        <v>2.2461638110077731E-2</v>
      </c>
      <c r="J345" s="77">
        <f>Data!BE343</f>
        <v>2.0726130517116952E-2</v>
      </c>
      <c r="K345" s="77">
        <f>Data!BM343</f>
        <v>1.125467027169292E-2</v>
      </c>
      <c r="L345" s="675"/>
    </row>
    <row r="346" spans="2:12" x14ac:dyDescent="0.35">
      <c r="B346" s="675"/>
      <c r="C346" s="30">
        <v>45825</v>
      </c>
      <c r="D346" s="77">
        <f>Data!I344</f>
        <v>-2.9270382300113338E-2</v>
      </c>
      <c r="E346" s="77">
        <f>Data!Q344</f>
        <v>-1.0929070532190317E-2</v>
      </c>
      <c r="F346" s="77">
        <f>Data!Y344</f>
        <v>-6.3047494307383878E-3</v>
      </c>
      <c r="G346" s="77">
        <f>Data!AG344</f>
        <v>-1.4517284548718959E-2</v>
      </c>
      <c r="H346" s="77">
        <f>Data!AO344</f>
        <v>-1.0406911127621415E-3</v>
      </c>
      <c r="I346" s="77">
        <f>Data!AW344</f>
        <v>-3.7087445156332366E-3</v>
      </c>
      <c r="J346" s="77">
        <f>Data!BE344</f>
        <v>-3.6557595733797577E-2</v>
      </c>
      <c r="K346" s="77">
        <f>Data!BM344</f>
        <v>-1.7934721832066843E-2</v>
      </c>
      <c r="L346" s="675"/>
    </row>
    <row r="347" spans="2:12" x14ac:dyDescent="0.35">
      <c r="B347" s="675"/>
      <c r="C347" s="30">
        <v>45826</v>
      </c>
      <c r="D347" s="77">
        <f>Data!I345</f>
        <v>9.8522964430116395E-3</v>
      </c>
      <c r="E347" s="77">
        <f>Data!Q345</f>
        <v>7.2993024816115351E-3</v>
      </c>
      <c r="F347" s="77">
        <f>Data!Y345</f>
        <v>2.3612208105352261E-2</v>
      </c>
      <c r="G347" s="77">
        <f>Data!AG345</f>
        <v>2.2980996526324245E-2</v>
      </c>
      <c r="H347" s="77">
        <f>Data!AO345</f>
        <v>1.3034217838906906E-2</v>
      </c>
      <c r="I347" s="77">
        <f>Data!AW345</f>
        <v>1.035001846461767E-2</v>
      </c>
      <c r="J347" s="77">
        <f>Data!BE345</f>
        <v>1.5831465216680662E-2</v>
      </c>
      <c r="K347" s="77">
        <f>Data!BM345</f>
        <v>1.3315775975772156E-2</v>
      </c>
      <c r="L347" s="675"/>
    </row>
    <row r="348" spans="2:12" x14ac:dyDescent="0.35">
      <c r="B348" s="675"/>
      <c r="C348" s="30">
        <v>45827</v>
      </c>
      <c r="D348" s="77">
        <f>Data!I346</f>
        <v>-9.8522964430115944E-3</v>
      </c>
      <c r="E348" s="77">
        <f>Data!Q346</f>
        <v>3.6297680505787311E-3</v>
      </c>
      <c r="F348" s="77">
        <f>Data!Y346</f>
        <v>9.5629144062328118E-3</v>
      </c>
      <c r="G348" s="77">
        <f>Data!AG346</f>
        <v>-5.3888679093169901E-3</v>
      </c>
      <c r="H348" s="77">
        <f>Data!AO346</f>
        <v>4.7165062313258106E-3</v>
      </c>
      <c r="I348" s="77">
        <f>Data!AW346</f>
        <v>-6.1478123056131432E-3</v>
      </c>
      <c r="J348" s="77">
        <f>Data!BE346</f>
        <v>-5.2493558861437901E-3</v>
      </c>
      <c r="K348" s="77">
        <f>Data!BM346</f>
        <v>-7.9681696491768449E-3</v>
      </c>
      <c r="L348" s="675"/>
    </row>
    <row r="349" spans="2:12" x14ac:dyDescent="0.35">
      <c r="B349" s="675"/>
      <c r="C349" s="30">
        <v>45830</v>
      </c>
      <c r="D349" s="77">
        <f>Data!I347</f>
        <v>-9.950330853168092E-3</v>
      </c>
      <c r="E349" s="77">
        <f>Data!Q347</f>
        <v>-1.0929070532190317E-2</v>
      </c>
      <c r="F349" s="77">
        <f>Data!Y347</f>
        <v>-1.4378885186817385E-2</v>
      </c>
      <c r="G349" s="77">
        <f>Data!AG347</f>
        <v>-8.3857933762739589E-3</v>
      </c>
      <c r="H349" s="77">
        <f>Data!AO347</f>
        <v>-1.6086137751624381E-2</v>
      </c>
      <c r="I349" s="77">
        <f>Data!AW347</f>
        <v>-2.1189874228879923E-2</v>
      </c>
      <c r="J349" s="77">
        <f>Data!BE347</f>
        <v>-2.1277398447284851E-2</v>
      </c>
      <c r="K349" s="77">
        <f>Data!BM347</f>
        <v>-2.3609865639133736E-2</v>
      </c>
      <c r="L349" s="675"/>
    </row>
    <row r="350" spans="2:12" x14ac:dyDescent="0.35">
      <c r="B350" s="675"/>
      <c r="C350" s="30">
        <v>45831</v>
      </c>
      <c r="D350" s="77">
        <f>Data!I348</f>
        <v>0</v>
      </c>
      <c r="E350" s="77">
        <f>Data!Q348</f>
        <v>-7.352974305258806E-3</v>
      </c>
      <c r="F350" s="77">
        <f>Data!Y348</f>
        <v>1.878791386563327E-2</v>
      </c>
      <c r="G350" s="77">
        <f>Data!AG348</f>
        <v>-5.9620099592804111E-3</v>
      </c>
      <c r="H350" s="77">
        <f>Data!AO348</f>
        <v>-1.4563614349825148E-3</v>
      </c>
      <c r="I350" s="77">
        <f>Data!AW348</f>
        <v>1.3762258996509767E-2</v>
      </c>
      <c r="J350" s="77">
        <f>Data!BE348</f>
        <v>-5.3908486348765343E-3</v>
      </c>
      <c r="K350" s="77">
        <f>Data!BM348</f>
        <v>1.153728440486438E-2</v>
      </c>
      <c r="L350" s="675"/>
    </row>
    <row r="351" spans="2:12" x14ac:dyDescent="0.35">
      <c r="B351" s="675"/>
      <c r="C351" s="30">
        <v>45832</v>
      </c>
      <c r="D351" s="77">
        <f>Data!I349</f>
        <v>0</v>
      </c>
      <c r="E351" s="77">
        <f>Data!Q349</f>
        <v>3.683245416296368E-3</v>
      </c>
      <c r="F351" s="77">
        <f>Data!Y349</f>
        <v>6.7659001227854312E-4</v>
      </c>
      <c r="G351" s="77">
        <f>Data!AG349</f>
        <v>-3.8694425112861686E-3</v>
      </c>
      <c r="H351" s="77">
        <f>Data!AO349</f>
        <v>1.3853214411811119E-2</v>
      </c>
      <c r="I351" s="77">
        <f>Data!AW349</f>
        <v>9.9354205887795745E-4</v>
      </c>
      <c r="J351" s="77">
        <f>Data!BE349</f>
        <v>2.139118998131756E-2</v>
      </c>
      <c r="K351" s="77">
        <f>Data!BM349</f>
        <v>-4.056800695614318E-3</v>
      </c>
      <c r="L351" s="675"/>
    </row>
    <row r="352" spans="2:12" x14ac:dyDescent="0.35">
      <c r="B352" s="675"/>
      <c r="C352" s="30">
        <v>45833</v>
      </c>
      <c r="D352" s="77">
        <f>Data!I350</f>
        <v>-1.0050335853501451E-2</v>
      </c>
      <c r="E352" s="77">
        <f>Data!Q350</f>
        <v>2.1819047394639888E-2</v>
      </c>
      <c r="F352" s="77">
        <f>Data!Y350</f>
        <v>3.3812341826804494E-4</v>
      </c>
      <c r="G352" s="77">
        <f>Data!AG350</f>
        <v>-3.7589318787011584E-3</v>
      </c>
      <c r="H352" s="77">
        <f>Data!AO350</f>
        <v>-4.1152321451065439E-3</v>
      </c>
      <c r="I352" s="77">
        <f>Data!AW350</f>
        <v>1.6252512382781893E-2</v>
      </c>
      <c r="J352" s="77">
        <f>Data!BE350</f>
        <v>1.0526412986987603E-2</v>
      </c>
      <c r="K352" s="77">
        <f>Data!BM350</f>
        <v>2.0121403199421028E-2</v>
      </c>
      <c r="L352" s="675"/>
    </row>
    <row r="353" spans="2:12" x14ac:dyDescent="0.35">
      <c r="B353" s="675"/>
      <c r="C353" s="30">
        <v>45834</v>
      </c>
      <c r="D353" s="77">
        <f>Data!I351</f>
        <v>1.0050335853501506E-2</v>
      </c>
      <c r="E353" s="77">
        <f>Data!Q351</f>
        <v>1.0733555643108633E-2</v>
      </c>
      <c r="F353" s="77">
        <f>Data!Y351</f>
        <v>2.3058665750973453E-2</v>
      </c>
      <c r="G353" s="77">
        <f>Data!AG351</f>
        <v>5.5082763208154249E-3</v>
      </c>
      <c r="H353" s="77">
        <f>Data!AO351</f>
        <v>9.4398402606331398E-3</v>
      </c>
      <c r="I353" s="77">
        <f>Data!AW351</f>
        <v>4.3870409137661695E-3</v>
      </c>
      <c r="J353" s="77">
        <f>Data!BE351</f>
        <v>1.041676085825558E-2</v>
      </c>
      <c r="K353" s="77">
        <f>Data!BM351</f>
        <v>-5.9940239402105251E-3</v>
      </c>
      <c r="L353" s="675"/>
    </row>
    <row r="354" spans="2:12" x14ac:dyDescent="0.35">
      <c r="B354" s="675"/>
      <c r="C354" s="30">
        <v>45837</v>
      </c>
      <c r="D354" s="77">
        <f>Data!I352</f>
        <v>0</v>
      </c>
      <c r="E354" s="77">
        <f>Data!Q352</f>
        <v>1.7637141486106876E-2</v>
      </c>
      <c r="F354" s="77">
        <f>Data!Y352</f>
        <v>2.6393944718801181E-3</v>
      </c>
      <c r="G354" s="77">
        <f>Data!AG352</f>
        <v>3.3651181503135548E-3</v>
      </c>
      <c r="H354" s="77">
        <f>Data!AO352</f>
        <v>1.6326534238853118E-3</v>
      </c>
      <c r="I354" s="77">
        <f>Data!AW352</f>
        <v>9.7228981893918609E-4</v>
      </c>
      <c r="J354" s="77">
        <f>Data!BE352</f>
        <v>1.5424470325631731E-2</v>
      </c>
      <c r="K354" s="77">
        <f>Data!BM352</f>
        <v>1.6562154002002841E-2</v>
      </c>
      <c r="L354" s="675"/>
    </row>
    <row r="355" spans="2:12" x14ac:dyDescent="0.35">
      <c r="B355" s="675"/>
      <c r="C355" s="35">
        <v>45838</v>
      </c>
      <c r="D355" s="630">
        <f>Data!I353</f>
        <v>-1.0050335853501451E-2</v>
      </c>
      <c r="E355" s="630">
        <f>Data!Q353</f>
        <v>1.3889112160667093E-2</v>
      </c>
      <c r="F355" s="630">
        <f>Data!Y353</f>
        <v>-1.31882643579544E-3</v>
      </c>
      <c r="G355" s="630">
        <f>Data!AG353</f>
        <v>-1.2450200811415307E-3</v>
      </c>
      <c r="H355" s="630">
        <f>Data!AO353</f>
        <v>-4.0866423854520164E-3</v>
      </c>
      <c r="I355" s="630">
        <f>Data!AW353</f>
        <v>-1.2960200966213468E-2</v>
      </c>
      <c r="J355" s="630">
        <f>Data!BE353</f>
        <v>-2.0619287202735818E-2</v>
      </c>
      <c r="K355" s="630">
        <f>Data!BM353</f>
        <v>8.5051215996664251E-3</v>
      </c>
      <c r="L355" s="675"/>
    </row>
    <row r="356" spans="2:12" x14ac:dyDescent="0.35">
      <c r="B356" s="675" t="s">
        <v>71</v>
      </c>
      <c r="C356" s="30">
        <v>45840</v>
      </c>
      <c r="D356" s="625">
        <f>Data!I354</f>
        <v>2.0000666706669435E-2</v>
      </c>
      <c r="E356" s="625">
        <f>Data!Q354</f>
        <v>-6.9204428445737952E-3</v>
      </c>
      <c r="F356" s="625">
        <f>Data!Y354</f>
        <v>-1.0613698308794217E-2</v>
      </c>
      <c r="G356" s="625">
        <f>Data!AG354</f>
        <v>3.3580032798224517E-3</v>
      </c>
      <c r="H356" s="625">
        <f>Data!AO354</f>
        <v>-2.4600258408623114E-3</v>
      </c>
      <c r="I356" s="625">
        <f>Data!AW354</f>
        <v>9.5530426445991617E-3</v>
      </c>
      <c r="J356" s="625">
        <f>Data!BE354</f>
        <v>5.1948168771041511E-3</v>
      </c>
      <c r="K356" s="625">
        <f>Data!BM354</f>
        <v>1.3020835172982007E-3</v>
      </c>
      <c r="L356" s="675">
        <v>63</v>
      </c>
    </row>
    <row r="357" spans="2:12" x14ac:dyDescent="0.35">
      <c r="B357" s="675"/>
      <c r="C357" s="30">
        <v>45841</v>
      </c>
      <c r="D357" s="77">
        <f>Data!I355</f>
        <v>0</v>
      </c>
      <c r="E357" s="77">
        <f>Data!Q355</f>
        <v>4.08219945202552E-2</v>
      </c>
      <c r="F357" s="77">
        <f>Data!Y355</f>
        <v>-3.0055123642769104E-3</v>
      </c>
      <c r="G357" s="77">
        <f>Data!AG355</f>
        <v>9.9280226571177277E-4</v>
      </c>
      <c r="H357" s="77">
        <f>Data!AO355</f>
        <v>-1.4378147696274715E-3</v>
      </c>
      <c r="I357" s="77">
        <f>Data!AW355</f>
        <v>2.9211315805766323E-3</v>
      </c>
      <c r="J357" s="77">
        <f>Data!BE355</f>
        <v>-1.0416760858255604E-2</v>
      </c>
      <c r="K357" s="77">
        <f>Data!BM355</f>
        <v>-1.6399186799117501E-2</v>
      </c>
      <c r="L357" s="675"/>
    </row>
    <row r="358" spans="2:12" x14ac:dyDescent="0.35">
      <c r="B358" s="675"/>
      <c r="C358" s="30">
        <v>45845</v>
      </c>
      <c r="D358" s="77">
        <f>Data!I356</f>
        <v>1.9608471388376337E-2</v>
      </c>
      <c r="E358" s="77">
        <f>Data!Q356</f>
        <v>2.9558802241544429E-2</v>
      </c>
      <c r="F358" s="77">
        <f>Data!Y356</f>
        <v>2.3384009319311195E-3</v>
      </c>
      <c r="G358" s="77">
        <f>Data!AG356</f>
        <v>6.2000125986316366E-4</v>
      </c>
      <c r="H358" s="77">
        <f>Data!AO356</f>
        <v>2.0533888118420066E-3</v>
      </c>
      <c r="I358" s="77">
        <f>Data!AW356</f>
        <v>1.0638398205055797E-2</v>
      </c>
      <c r="J358" s="77">
        <f>Data!BE356</f>
        <v>2.0726130517116952E-2</v>
      </c>
      <c r="K358" s="77">
        <f>Data!BM356</f>
        <v>1.1834457647003017E-2</v>
      </c>
      <c r="L358" s="675"/>
    </row>
    <row r="359" spans="2:12" x14ac:dyDescent="0.35">
      <c r="B359" s="675"/>
      <c r="C359" s="30">
        <v>45846</v>
      </c>
      <c r="D359" s="77">
        <f>Data!I357</f>
        <v>2.871010588243136E-2</v>
      </c>
      <c r="E359" s="77">
        <f>Data!Q357</f>
        <v>1.2861913642407822E-2</v>
      </c>
      <c r="F359" s="77">
        <f>Data!Y357</f>
        <v>-3.3422491005534478E-3</v>
      </c>
      <c r="G359" s="77">
        <f>Data!AG357</f>
        <v>2.5998157633328862E-3</v>
      </c>
      <c r="H359" s="77">
        <f>Data!AO357</f>
        <v>4.0941715326631468E-3</v>
      </c>
      <c r="I359" s="77">
        <f>Data!AW357</f>
        <v>-1.6849203649194119E-3</v>
      </c>
      <c r="J359" s="77">
        <f>Data!BE357</f>
        <v>5.1151006667704089E-3</v>
      </c>
      <c r="K359" s="77">
        <f>Data!BM357</f>
        <v>-4.5856614913192088E-3</v>
      </c>
      <c r="L359" s="675"/>
    </row>
    <row r="360" spans="2:12" x14ac:dyDescent="0.35">
      <c r="B360" s="675"/>
      <c r="C360" s="30">
        <v>45847</v>
      </c>
      <c r="D360" s="77">
        <f>Data!I358</f>
        <v>9.3897403498389171E-3</v>
      </c>
      <c r="E360" s="77">
        <f>Data!Q358</f>
        <v>-9.6308930609613E-3</v>
      </c>
      <c r="F360" s="77">
        <f>Data!Y358</f>
        <v>3.0085264210003592E-3</v>
      </c>
      <c r="G360" s="77">
        <f>Data!AG358</f>
        <v>1.0209818684400202E-2</v>
      </c>
      <c r="H360" s="77">
        <f>Data!AO358</f>
        <v>2.8559790934416939E-3</v>
      </c>
      <c r="I360" s="77">
        <f>Data!AW358</f>
        <v>2.6623868712171542E-2</v>
      </c>
      <c r="J360" s="77">
        <f>Data!BE358</f>
        <v>3.0153038170687457E-2</v>
      </c>
      <c r="K360" s="77">
        <f>Data!BM358</f>
        <v>8.4995608124555835E-3</v>
      </c>
      <c r="L360" s="675"/>
    </row>
    <row r="361" spans="2:12" x14ac:dyDescent="0.35">
      <c r="B361" s="675"/>
      <c r="C361" s="30">
        <v>45848</v>
      </c>
      <c r="D361" s="77">
        <f>Data!I359</f>
        <v>9.3023926623136306E-3</v>
      </c>
      <c r="E361" s="77">
        <f>Data!Q359</f>
        <v>0</v>
      </c>
      <c r="F361" s="77">
        <f>Data!Y359</f>
        <v>-1.0018367844111763E-3</v>
      </c>
      <c r="G361" s="77">
        <f>Data!AG359</f>
        <v>1.6146026020962309E-2</v>
      </c>
      <c r="H361" s="77">
        <f>Data!AO359</f>
        <v>-4.4916367878976857E-3</v>
      </c>
      <c r="I361" s="77">
        <f>Data!AW359</f>
        <v>2.3454908047015495E-4</v>
      </c>
      <c r="J361" s="77">
        <f>Data!BE359</f>
        <v>-9.950330853168092E-3</v>
      </c>
      <c r="K361" s="77">
        <f>Data!BM359</f>
        <v>2.7610100548024687E-2</v>
      </c>
      <c r="L361" s="675"/>
    </row>
    <row r="362" spans="2:12" x14ac:dyDescent="0.35">
      <c r="B362" s="675"/>
      <c r="C362" s="30">
        <v>45851</v>
      </c>
      <c r="D362" s="77">
        <f>Data!I360</f>
        <v>-3.7740327982847086E-2</v>
      </c>
      <c r="E362" s="77">
        <f>Data!Q360</f>
        <v>0</v>
      </c>
      <c r="F362" s="77">
        <f>Data!Y360</f>
        <v>1.3355594639642174E-3</v>
      </c>
      <c r="G362" s="77">
        <f>Data!AG360</f>
        <v>1.4822169518409856E-2</v>
      </c>
      <c r="H362" s="77">
        <f>Data!AO360</f>
        <v>0</v>
      </c>
      <c r="I362" s="77">
        <f>Data!AW360</f>
        <v>-1.2745039169253335E-2</v>
      </c>
      <c r="J362" s="77">
        <f>Data!BE360</f>
        <v>2.4692612590371414E-2</v>
      </c>
      <c r="K362" s="77">
        <f>Data!BM360</f>
        <v>7.5710140821447112E-3</v>
      </c>
      <c r="L362" s="675"/>
    </row>
    <row r="363" spans="2:12" x14ac:dyDescent="0.35">
      <c r="B363" s="675"/>
      <c r="C363" s="30">
        <v>45852</v>
      </c>
      <c r="D363" s="77">
        <f>Data!I361</f>
        <v>1.9048194970694411E-2</v>
      </c>
      <c r="E363" s="77">
        <f>Data!Q361</f>
        <v>6.4308903302903314E-3</v>
      </c>
      <c r="F363" s="77">
        <f>Data!Y361</f>
        <v>-5.6884878172130584E-3</v>
      </c>
      <c r="G363" s="77">
        <f>Data!AG361</f>
        <v>6.7404027442470541E-3</v>
      </c>
      <c r="H363" s="77">
        <f>Data!AO361</f>
        <v>2.4524843684199764E-3</v>
      </c>
      <c r="I363" s="77">
        <f>Data!AW361</f>
        <v>4.5029107960615159E-3</v>
      </c>
      <c r="J363" s="77">
        <f>Data!BE361</f>
        <v>3.3576295533604306E-2</v>
      </c>
      <c r="K363" s="77">
        <f>Data!BM361</f>
        <v>-1.2014055348635007E-2</v>
      </c>
      <c r="L363" s="675"/>
    </row>
    <row r="364" spans="2:12" x14ac:dyDescent="0.35">
      <c r="B364" s="675"/>
      <c r="C364" s="30">
        <v>45853</v>
      </c>
      <c r="D364" s="77">
        <f>Data!I362</f>
        <v>0</v>
      </c>
      <c r="E364" s="77">
        <f>Data!Q362</f>
        <v>5.9115187567580552E-2</v>
      </c>
      <c r="F364" s="77">
        <f>Data!Y362</f>
        <v>-1.3431835464676259E-3</v>
      </c>
      <c r="G364" s="77">
        <f>Data!AG362</f>
        <v>-1.6996902911436115E-2</v>
      </c>
      <c r="H364" s="77">
        <f>Data!AO362</f>
        <v>-3.2713175769144326E-3</v>
      </c>
      <c r="I364" s="77">
        <f>Data!AW362</f>
        <v>-9.4629768121430005E-4</v>
      </c>
      <c r="J364" s="77">
        <f>Data!BE362</f>
        <v>-3.3576295533604208E-2</v>
      </c>
      <c r="K364" s="77">
        <f>Data!BM362</f>
        <v>-5.7416425676750588E-3</v>
      </c>
      <c r="L364" s="675"/>
    </row>
    <row r="365" spans="2:12" ht="15.5" customHeight="1" x14ac:dyDescent="0.35">
      <c r="B365" s="675"/>
      <c r="C365" s="30">
        <v>45854</v>
      </c>
      <c r="D365" s="77">
        <f>Data!I363</f>
        <v>0</v>
      </c>
      <c r="E365" s="77">
        <f>Data!Q363</f>
        <v>6.1512800221034218E-2</v>
      </c>
      <c r="F365" s="77">
        <f>Data!Y363</f>
        <v>-2.6917916657114146E-3</v>
      </c>
      <c r="G365" s="77">
        <f>Data!AG363</f>
        <v>-1.9610845160097822E-2</v>
      </c>
      <c r="H365" s="77">
        <f>Data!AO363</f>
        <v>3.8835000263976122E-3</v>
      </c>
      <c r="I365" s="77">
        <f>Data!AW363</f>
        <v>5.193590521996993E-3</v>
      </c>
      <c r="J365" s="77">
        <f>Data!BE363</f>
        <v>1.4528100562909808E-2</v>
      </c>
      <c r="K365" s="77">
        <f>Data!BM363</f>
        <v>2.5559119345440677E-3</v>
      </c>
      <c r="L365" s="675"/>
    </row>
    <row r="366" spans="2:12" x14ac:dyDescent="0.35">
      <c r="B366" s="675"/>
      <c r="C366" s="30">
        <v>45855</v>
      </c>
      <c r="D366" s="77">
        <f>Data!I364</f>
        <v>-2.8710105882431253E-2</v>
      </c>
      <c r="E366" s="77">
        <f>Data!Q364</f>
        <v>-1.7192400540372875E-2</v>
      </c>
      <c r="F366" s="77">
        <f>Data!Y364</f>
        <v>1.1390407906136201E-2</v>
      </c>
      <c r="G366" s="77">
        <f>Data!AG364</f>
        <v>2.5109962425017767E-2</v>
      </c>
      <c r="H366" s="77">
        <f>Data!AO364</f>
        <v>7.7220460939103185E-3</v>
      </c>
      <c r="I366" s="77">
        <f>Data!AW364</f>
        <v>7.0389779136375502E-3</v>
      </c>
      <c r="J366" s="77">
        <f>Data!BE364</f>
        <v>4.7961722634930135E-3</v>
      </c>
      <c r="K366" s="77">
        <f>Data!BM364</f>
        <v>-4.4771421124380484E-3</v>
      </c>
      <c r="L366" s="675"/>
    </row>
    <row r="367" spans="2:12" x14ac:dyDescent="0.35">
      <c r="B367" s="675"/>
      <c r="C367" s="30">
        <v>45858</v>
      </c>
      <c r="D367" s="77">
        <f>Data!I365</f>
        <v>9.6619109117368901E-3</v>
      </c>
      <c r="E367" s="77">
        <f>Data!Q365</f>
        <v>8.8455420561863396E-2</v>
      </c>
      <c r="F367" s="77">
        <f>Data!Y365</f>
        <v>9.2838863100076583E-3</v>
      </c>
      <c r="G367" s="77">
        <f>Data!AG365</f>
        <v>5.7061495768546888E-3</v>
      </c>
      <c r="H367" s="77">
        <f>Data!AO365</f>
        <v>4.5313915014071122E-2</v>
      </c>
      <c r="I367" s="77">
        <f>Data!AW365</f>
        <v>2.8352711679443993E-2</v>
      </c>
      <c r="J367" s="77">
        <f>Data!BE365</f>
        <v>4.7732787526578117E-3</v>
      </c>
      <c r="K367" s="77">
        <f>Data!BM365</f>
        <v>1.9048194970694411E-2</v>
      </c>
      <c r="L367" s="675"/>
    </row>
    <row r="368" spans="2:12" x14ac:dyDescent="0.35">
      <c r="B368" s="675"/>
      <c r="C368" s="30">
        <v>45859</v>
      </c>
      <c r="D368" s="77">
        <f>Data!I366</f>
        <v>9.5694510161506725E-3</v>
      </c>
      <c r="E368" s="77">
        <f>Data!Q366</f>
        <v>5.2770571008438193E-3</v>
      </c>
      <c r="F368" s="77">
        <f>Data!Y366</f>
        <v>2.3162020597034209E-2</v>
      </c>
      <c r="G368" s="77">
        <f>Data!AG366</f>
        <v>2.1924789353659074E-2</v>
      </c>
      <c r="H368" s="77">
        <f>Data!AO366</f>
        <v>-9.6777322950621504E-4</v>
      </c>
      <c r="I368" s="77">
        <f>Data!AW366</f>
        <v>3.4840504660720181E-2</v>
      </c>
      <c r="J368" s="77">
        <f>Data!BE366</f>
        <v>-4.7732787526577709E-3</v>
      </c>
      <c r="K368" s="77">
        <f>Data!BM366</f>
        <v>-3.7807228399060443E-3</v>
      </c>
      <c r="L368" s="675"/>
    </row>
    <row r="369" spans="2:12" x14ac:dyDescent="0.35">
      <c r="B369" s="675"/>
      <c r="C369" s="30">
        <v>45860</v>
      </c>
      <c r="D369" s="77">
        <f>Data!I367</f>
        <v>0</v>
      </c>
      <c r="E369" s="77">
        <f>Data!Q367</f>
        <v>7.8637364602144513E-3</v>
      </c>
      <c r="F369" s="77">
        <f>Data!Y367</f>
        <v>1.0585503815516975E-2</v>
      </c>
      <c r="G369" s="77">
        <f>Data!AG367</f>
        <v>1.9864020722327333E-2</v>
      </c>
      <c r="H369" s="77">
        <f>Data!AO367</f>
        <v>1.7658808197913461E-2</v>
      </c>
      <c r="I369" s="77">
        <f>Data!AW367</f>
        <v>2.7066716732997743E-2</v>
      </c>
      <c r="J369" s="77">
        <f>Data!BE367</f>
        <v>9.138775158942869E-2</v>
      </c>
      <c r="K369" s="77">
        <f>Data!BM367</f>
        <v>-3.1615581187290527E-3</v>
      </c>
      <c r="L369" s="675"/>
    </row>
    <row r="370" spans="2:12" x14ac:dyDescent="0.35">
      <c r="B370" s="675"/>
      <c r="C370" s="30">
        <v>45861</v>
      </c>
      <c r="D370" s="77">
        <f>Data!I368</f>
        <v>1.8868484304382736E-2</v>
      </c>
      <c r="E370" s="77">
        <f>Data!Q368</f>
        <v>-5.2356140539449401E-3</v>
      </c>
      <c r="F370" s="77">
        <f>Data!Y368</f>
        <v>3.1100354809467053E-2</v>
      </c>
      <c r="G370" s="77">
        <f>Data!AG368</f>
        <v>3.836331277354376E-2</v>
      </c>
      <c r="H370" s="77">
        <f>Data!AO368</f>
        <v>3.2291793660231276E-3</v>
      </c>
      <c r="I370" s="77">
        <f>Data!AW368</f>
        <v>-1.8325402331424313E-2</v>
      </c>
      <c r="J370" s="77">
        <f>Data!BE368</f>
        <v>4.2741548377271114E-2</v>
      </c>
      <c r="K370" s="77">
        <f>Data!BM368</f>
        <v>5.4833568663050093E-2</v>
      </c>
      <c r="L370" s="675"/>
    </row>
    <row r="371" spans="2:12" x14ac:dyDescent="0.35">
      <c r="B371" s="675"/>
      <c r="C371" s="30">
        <v>45862</v>
      </c>
      <c r="D371" s="77">
        <f>Data!I369</f>
        <v>0</v>
      </c>
      <c r="E371" s="77">
        <f>Data!Q369</f>
        <v>7.0915780916100735E-2</v>
      </c>
      <c r="F371" s="77">
        <f>Data!Y369</f>
        <v>-6.8280836359190886E-3</v>
      </c>
      <c r="G371" s="77">
        <f>Data!AG369</f>
        <v>-7.3574152785667963E-3</v>
      </c>
      <c r="H371" s="77">
        <f>Data!AO369</f>
        <v>5.6732376066601573E-3</v>
      </c>
      <c r="I371" s="77">
        <f>Data!AW369</f>
        <v>2.1755683758151753E-4</v>
      </c>
      <c r="J371" s="77">
        <f>Data!BE369</f>
        <v>-3.8384243008315222E-2</v>
      </c>
      <c r="K371" s="77">
        <f>Data!BM369</f>
        <v>-1.9371065755999808E-2</v>
      </c>
      <c r="L371" s="675"/>
    </row>
    <row r="372" spans="2:12" x14ac:dyDescent="0.35">
      <c r="B372" s="675"/>
      <c r="C372" s="30">
        <v>45865</v>
      </c>
      <c r="D372" s="77">
        <f>Data!I370</f>
        <v>4.5670036833188266E-2</v>
      </c>
      <c r="E372" s="77">
        <f>Data!Q370</f>
        <v>-4.9019706002066685E-3</v>
      </c>
      <c r="F372" s="77">
        <f>Data!Y370</f>
        <v>-9.3472510310886961E-4</v>
      </c>
      <c r="G372" s="77">
        <f>Data!AG370</f>
        <v>-2.206775694188581E-3</v>
      </c>
      <c r="H372" s="77">
        <f>Data!AO370</f>
        <v>-7.0016370808751319E-3</v>
      </c>
      <c r="I372" s="77">
        <f>Data!AW370</f>
        <v>-1.1156191393739372E-2</v>
      </c>
      <c r="J372" s="77">
        <f>Data!BE370</f>
        <v>-2.6433257068155597E-2</v>
      </c>
      <c r="K372" s="77">
        <f>Data!BM370</f>
        <v>-1.106341954425522E-2</v>
      </c>
      <c r="L372" s="675"/>
    </row>
    <row r="373" spans="2:12" x14ac:dyDescent="0.35">
      <c r="B373" s="675"/>
      <c r="C373" s="30">
        <v>45866</v>
      </c>
      <c r="D373" s="77">
        <f>Data!I371</f>
        <v>-4.5670036833188321E-2</v>
      </c>
      <c r="E373" s="77">
        <f>Data!Q371</f>
        <v>4.9019706002066876E-3</v>
      </c>
      <c r="F373" s="77">
        <f>Data!Y371</f>
        <v>-4.6867762716231252E-3</v>
      </c>
      <c r="G373" s="77">
        <f>Data!AG371</f>
        <v>-5.6494196225622007E-3</v>
      </c>
      <c r="H373" s="77">
        <f>Data!AO371</f>
        <v>-1.8978811769070007E-2</v>
      </c>
      <c r="I373" s="77">
        <f>Data!AW371</f>
        <v>-1.5410019560229565E-3</v>
      </c>
      <c r="J373" s="77">
        <f>Data!BE371</f>
        <v>-3.6367644170874715E-2</v>
      </c>
      <c r="K373" s="77">
        <f>Data!BM371</f>
        <v>-1.1187189390564494E-2</v>
      </c>
      <c r="L373" s="675"/>
    </row>
    <row r="374" spans="2:12" x14ac:dyDescent="0.35">
      <c r="B374" s="675"/>
      <c r="C374" s="30">
        <v>45867</v>
      </c>
      <c r="D374" s="77">
        <f>Data!I372</f>
        <v>-2.8437935320533399E-2</v>
      </c>
      <c r="E374" s="77">
        <f>Data!Q372</f>
        <v>-7.3619964410690823E-3</v>
      </c>
      <c r="F374" s="77">
        <f>Data!Y372</f>
        <v>-2.248709163940469E-2</v>
      </c>
      <c r="G374" s="77">
        <f>Data!AG372</f>
        <v>1.6962627219579231E-2</v>
      </c>
      <c r="H374" s="77">
        <f>Data!AO372</f>
        <v>-1.050593320718546E-2</v>
      </c>
      <c r="I374" s="77">
        <f>Data!AW372</f>
        <v>-1.7109627463987729E-2</v>
      </c>
      <c r="J374" s="77">
        <f>Data!BE372</f>
        <v>1.8349138668196398E-2</v>
      </c>
      <c r="K374" s="77">
        <f>Data!BM372</f>
        <v>1.1187189390564376E-2</v>
      </c>
      <c r="L374" s="675"/>
    </row>
    <row r="375" spans="2:12" x14ac:dyDescent="0.35">
      <c r="B375" s="675"/>
      <c r="C375" s="30">
        <v>45868</v>
      </c>
      <c r="D375" s="77">
        <f>Data!I373</f>
        <v>-9.6619109117368589E-3</v>
      </c>
      <c r="E375" s="77">
        <f>Data!Q373</f>
        <v>2.6733062197068936E-2</v>
      </c>
      <c r="F375" s="77">
        <f>Data!Y373</f>
        <v>1.6002563824639954E-3</v>
      </c>
      <c r="G375" s="77">
        <f>Data!AG373</f>
        <v>6.206128036474746E-3</v>
      </c>
      <c r="H375" s="77">
        <f>Data!AO373</f>
        <v>1.563416382551178E-3</v>
      </c>
      <c r="I375" s="77">
        <f>Data!AW373</f>
        <v>-5.3932714999385643E-3</v>
      </c>
      <c r="J375" s="77">
        <f>Data!BE373</f>
        <v>0</v>
      </c>
      <c r="K375" s="77">
        <f>Data!BM373</f>
        <v>-6.1823804133028827E-4</v>
      </c>
      <c r="L375" s="675"/>
    </row>
    <row r="376" spans="2:12" x14ac:dyDescent="0.35">
      <c r="B376" s="675"/>
      <c r="C376" s="30">
        <v>45869</v>
      </c>
      <c r="D376" s="77">
        <f>Data!I374</f>
        <v>4.7402238894583899E-2</v>
      </c>
      <c r="E376" s="77">
        <f>Data!Q374</f>
        <v>1.664723343315621E-2</v>
      </c>
      <c r="F376" s="77">
        <f>Data!Y374</f>
        <v>9.589260763577473E-4</v>
      </c>
      <c r="G376" s="77">
        <f>Data!AG374</f>
        <v>-5.2133421656229514E-2</v>
      </c>
      <c r="H376" s="77">
        <f>Data!AO374</f>
        <v>-2.3460421317524267E-3</v>
      </c>
      <c r="I376" s="77">
        <f>Data!AW374</f>
        <v>2.3383762266864144E-2</v>
      </c>
      <c r="J376" s="77">
        <f>Data!BE374</f>
        <v>-4.5558165358608018E-3</v>
      </c>
      <c r="K376" s="77">
        <f>Data!BM374</f>
        <v>3.1652064084728343E-2</v>
      </c>
      <c r="L376" s="675"/>
    </row>
    <row r="377" spans="2:12" x14ac:dyDescent="0.35">
      <c r="B377" s="675"/>
      <c r="C377" s="30">
        <v>45872</v>
      </c>
      <c r="D377" s="77">
        <f>Data!I375</f>
        <v>7.1458963982144852E-2</v>
      </c>
      <c r="E377" s="77">
        <f>Data!Q375</f>
        <v>0</v>
      </c>
      <c r="F377" s="77">
        <f>Data!Y375</f>
        <v>1.741928447206488E-2</v>
      </c>
      <c r="G377" s="77">
        <f>Data!AG375</f>
        <v>1.5996347103864733E-3</v>
      </c>
      <c r="H377" s="77">
        <f>Data!AO375</f>
        <v>1.9554171267852022E-3</v>
      </c>
      <c r="I377" s="77">
        <f>Data!AW375</f>
        <v>1.5724281177549256E-2</v>
      </c>
      <c r="J377" s="77">
        <f>Data!BE375</f>
        <v>6.1966723749199842E-2</v>
      </c>
      <c r="K377" s="77">
        <f>Data!BM375</f>
        <v>3.5318562021455321E-2</v>
      </c>
      <c r="L377" s="675"/>
    </row>
    <row r="378" spans="2:12" x14ac:dyDescent="0.35">
      <c r="B378" s="675"/>
      <c r="C378" s="30">
        <v>45873</v>
      </c>
      <c r="D378" s="77">
        <f>Data!I376</f>
        <v>-5.3109825313948408E-2</v>
      </c>
      <c r="E378" s="77">
        <f>Data!Q376</f>
        <v>-3.3576295533604208E-2</v>
      </c>
      <c r="F378" s="77">
        <f>Data!Y376</f>
        <v>-4.0899852515251661E-3</v>
      </c>
      <c r="G378" s="77">
        <f>Data!AG376</f>
        <v>-1.3216304536312439E-2</v>
      </c>
      <c r="H378" s="77">
        <f>Data!AO376</f>
        <v>-2.3469598099393348E-3</v>
      </c>
      <c r="I378" s="77">
        <f>Data!AW376</f>
        <v>-1.9252399500993934E-2</v>
      </c>
      <c r="J378" s="77">
        <f>Data!BE376</f>
        <v>0</v>
      </c>
      <c r="K378" s="77">
        <f>Data!BM376</f>
        <v>-8.1301260832502883E-3</v>
      </c>
      <c r="L378" s="675"/>
    </row>
    <row r="379" spans="2:12" x14ac:dyDescent="0.35">
      <c r="B379" s="675"/>
      <c r="C379" s="30">
        <v>45875</v>
      </c>
      <c r="D379" s="77">
        <f>Data!I377</f>
        <v>-1.834913866819643E-2</v>
      </c>
      <c r="E379" s="77">
        <f>Data!Q377</f>
        <v>-2.2195732391784323E-2</v>
      </c>
      <c r="F379" s="77">
        <f>Data!Y377</f>
        <v>-6.3071588341232323E-4</v>
      </c>
      <c r="G379" s="77">
        <f>Data!AG377</f>
        <v>8.2949784377338524E-3</v>
      </c>
      <c r="H379" s="77">
        <f>Data!AO377</f>
        <v>-9.6409994177333903E-3</v>
      </c>
      <c r="I379" s="77">
        <f>Data!AW377</f>
        <v>2.8675435994351527E-3</v>
      </c>
      <c r="J379" s="77">
        <f>Data!BE377</f>
        <v>-1.2959144642505228E-2</v>
      </c>
      <c r="K379" s="77">
        <f>Data!BM377</f>
        <v>-7.6090504667208573E-3</v>
      </c>
      <c r="L379" s="675"/>
    </row>
    <row r="380" spans="2:12" x14ac:dyDescent="0.35">
      <c r="B380" s="675"/>
      <c r="C380" s="30">
        <v>45876</v>
      </c>
      <c r="D380" s="77">
        <f>Data!I378</f>
        <v>-1.8692133012152633E-2</v>
      </c>
      <c r="E380" s="77">
        <f>Data!Q378</f>
        <v>-5.0000104167057515E-3</v>
      </c>
      <c r="F380" s="77">
        <f>Data!Y378</f>
        <v>-4.1093783133346867E-3</v>
      </c>
      <c r="G380" s="77">
        <f>Data!AG378</f>
        <v>-1.0331172358948979E-3</v>
      </c>
      <c r="H380" s="77">
        <f>Data!AO378</f>
        <v>-1.0333955238190863E-2</v>
      </c>
      <c r="I380" s="77">
        <f>Data!AW378</f>
        <v>-1.6209969683275018E-2</v>
      </c>
      <c r="J380" s="77">
        <f>Data!BE378</f>
        <v>-3.0907537463076548E-2</v>
      </c>
      <c r="K380" s="77">
        <f>Data!BM378</f>
        <v>-1.0038466346857233E-2</v>
      </c>
      <c r="L380" s="675"/>
    </row>
    <row r="381" spans="2:12" x14ac:dyDescent="0.35">
      <c r="B381" s="675"/>
      <c r="C381" s="30">
        <v>45879</v>
      </c>
      <c r="D381" s="77">
        <f>Data!I379</f>
        <v>-1.9048194970694363E-2</v>
      </c>
      <c r="E381" s="77">
        <f>Data!Q379</f>
        <v>-2.5382073271417161E-2</v>
      </c>
      <c r="F381" s="77">
        <f>Data!Y379</f>
        <v>1.5825292114256609E-3</v>
      </c>
      <c r="G381" s="77">
        <f>Data!AG379</f>
        <v>-4.3738559599752974E-3</v>
      </c>
      <c r="H381" s="77">
        <f>Data!AO379</f>
        <v>-1.1653738479341032E-2</v>
      </c>
      <c r="I381" s="77">
        <f>Data!AW379</f>
        <v>1.7893093568371644E-3</v>
      </c>
      <c r="J381" s="77">
        <f>Data!BE379</f>
        <v>-1.810004164361799E-2</v>
      </c>
      <c r="K381" s="77">
        <f>Data!BM379</f>
        <v>-1.8568967202825467E-2</v>
      </c>
      <c r="L381" s="675"/>
    </row>
    <row r="382" spans="2:12" x14ac:dyDescent="0.35">
      <c r="B382" s="675"/>
      <c r="C382" s="30">
        <v>45880</v>
      </c>
      <c r="D382" s="77">
        <f>Data!I380</f>
        <v>-9.6619109117368589E-3</v>
      </c>
      <c r="E382" s="77">
        <f>Data!Q380</f>
        <v>2.0356937068744318E-2</v>
      </c>
      <c r="F382" s="77">
        <f>Data!Y380</f>
        <v>9.4831680885926E-4</v>
      </c>
      <c r="G382" s="77">
        <f>Data!AG380</f>
        <v>5.6364099296973853E-3</v>
      </c>
      <c r="H382" s="77">
        <f>Data!AO380</f>
        <v>-8.0873437485184105E-4</v>
      </c>
      <c r="I382" s="77">
        <f>Data!AW380</f>
        <v>4.6817608645713963E-3</v>
      </c>
      <c r="J382" s="77">
        <f>Data!BE380</f>
        <v>4.5558165358608824E-3</v>
      </c>
      <c r="K382" s="77">
        <f>Data!BM380</f>
        <v>-4.8484943466215206E-3</v>
      </c>
      <c r="L382" s="675"/>
    </row>
    <row r="383" spans="2:12" x14ac:dyDescent="0.35">
      <c r="B383" s="675"/>
      <c r="C383" s="30">
        <v>45881</v>
      </c>
      <c r="D383" s="77">
        <f>Data!I381</f>
        <v>0</v>
      </c>
      <c r="E383" s="77">
        <f>Data!Q381</f>
        <v>-2.5511587657408619E-2</v>
      </c>
      <c r="F383" s="77">
        <f>Data!Y381</f>
        <v>-3.7986750332156725E-3</v>
      </c>
      <c r="G383" s="77">
        <f>Data!AG381</f>
        <v>3.0922546543646848E-3</v>
      </c>
      <c r="H383" s="77">
        <f>Data!AO381</f>
        <v>-3.850445531337377E-3</v>
      </c>
      <c r="I383" s="77">
        <f>Data!AW381</f>
        <v>-3.3418767873839312E-3</v>
      </c>
      <c r="J383" s="77">
        <f>Data!BE381</f>
        <v>-1.834913866819643E-2</v>
      </c>
      <c r="K383" s="77">
        <f>Data!BM381</f>
        <v>-1.0381772634969895E-2</v>
      </c>
      <c r="L383" s="675"/>
    </row>
    <row r="384" spans="2:12" x14ac:dyDescent="0.35">
      <c r="B384" s="675"/>
      <c r="C384" s="30">
        <v>45882</v>
      </c>
      <c r="D384" s="77">
        <f>Data!I382</f>
        <v>-2.9558802241544505E-2</v>
      </c>
      <c r="E384" s="77">
        <f>Data!Q382</f>
        <v>-1.8253440309350461E-2</v>
      </c>
      <c r="F384" s="77">
        <f>Data!Y382</f>
        <v>0</v>
      </c>
      <c r="G384" s="77">
        <f>Data!AG382</f>
        <v>-3.8955136338104119E-3</v>
      </c>
      <c r="H384" s="77">
        <f>Data!AO382</f>
        <v>-4.4770119549559333E-3</v>
      </c>
      <c r="I384" s="77">
        <f>Data!AW382</f>
        <v>-4.4732796578783041E-3</v>
      </c>
      <c r="J384" s="77">
        <f>Data!BE382</f>
        <v>-4.6403795565022254E-3</v>
      </c>
      <c r="K384" s="77">
        <f>Data!BM382</f>
        <v>2.1858793812499017E-2</v>
      </c>
      <c r="L384" s="675"/>
    </row>
    <row r="385" spans="2:12" x14ac:dyDescent="0.35">
      <c r="B385" s="675"/>
      <c r="C385" s="30">
        <v>45883</v>
      </c>
      <c r="D385" s="77">
        <f>Data!I383</f>
        <v>1.980262729617973E-2</v>
      </c>
      <c r="E385" s="77">
        <f>Data!Q383</f>
        <v>1.3072081567352701E-2</v>
      </c>
      <c r="F385" s="77">
        <f>Data!Y383</f>
        <v>-3.3868742738523867E-2</v>
      </c>
      <c r="G385" s="77">
        <f>Data!AG383</f>
        <v>-4.9485111626424438E-3</v>
      </c>
      <c r="H385" s="77">
        <f>Data!AO383</f>
        <v>8.1251716557261301E-3</v>
      </c>
      <c r="I385" s="77">
        <f>Data!AW383</f>
        <v>8.0375516424424556E-3</v>
      </c>
      <c r="J385" s="77">
        <f>Data!BE383</f>
        <v>9.2593254127967262E-3</v>
      </c>
      <c r="K385" s="77">
        <f>Data!BM383</f>
        <v>-1.2019232216164766E-3</v>
      </c>
      <c r="L385" s="675"/>
    </row>
    <row r="386" spans="2:12" x14ac:dyDescent="0.35">
      <c r="B386" s="675"/>
      <c r="C386" s="30">
        <v>45886</v>
      </c>
      <c r="D386" s="77">
        <f>Data!I384</f>
        <v>1.9418085857101731E-2</v>
      </c>
      <c r="E386" s="77">
        <f>Data!Q384</f>
        <v>2.594035177046749E-3</v>
      </c>
      <c r="F386" s="77">
        <f>Data!Y384</f>
        <v>-3.2862336508187582E-3</v>
      </c>
      <c r="G386" s="77">
        <f>Data!AG384</f>
        <v>4.6136102317791003E-4</v>
      </c>
      <c r="H386" s="77">
        <f>Data!AO384</f>
        <v>3.4333064120137423E-3</v>
      </c>
      <c r="I386" s="77">
        <f>Data!AW384</f>
        <v>-3.3411324098350879E-3</v>
      </c>
      <c r="J386" s="77">
        <f>Data!BE384</f>
        <v>4.5977092486295494E-3</v>
      </c>
      <c r="K386" s="77">
        <f>Data!BM384</f>
        <v>-5.426603609291045E-3</v>
      </c>
      <c r="L386" s="675"/>
    </row>
    <row r="387" spans="2:12" x14ac:dyDescent="0.35">
      <c r="B387" s="675"/>
      <c r="C387" s="30">
        <v>45887</v>
      </c>
      <c r="D387" s="77">
        <f>Data!I385</f>
        <v>-1.9418085857101738E-2</v>
      </c>
      <c r="E387" s="77">
        <f>Data!Q385</f>
        <v>1.2870190520534956E-2</v>
      </c>
      <c r="F387" s="77">
        <f>Data!Y385</f>
        <v>3.9421864457391247E-3</v>
      </c>
      <c r="G387" s="77">
        <f>Data!AG385</f>
        <v>9.2208397496833878E-4</v>
      </c>
      <c r="H387" s="77">
        <f>Data!AO385</f>
        <v>3.0196298737198914E-3</v>
      </c>
      <c r="I387" s="77">
        <f>Data!AW385</f>
        <v>1.6156155333186515E-2</v>
      </c>
      <c r="J387" s="77">
        <f>Data!BE385</f>
        <v>2.2676708671029722E-2</v>
      </c>
      <c r="K387" s="77">
        <f>Data!BM385</f>
        <v>1.2616568675530095E-2</v>
      </c>
      <c r="L387" s="675"/>
    </row>
    <row r="388" spans="2:12" x14ac:dyDescent="0.35">
      <c r="B388" s="675"/>
      <c r="C388" s="30">
        <v>45888</v>
      </c>
      <c r="D388" s="77">
        <f>Data!I386</f>
        <v>-1.9802627296179643E-2</v>
      </c>
      <c r="E388" s="77">
        <f>Data!Q386</f>
        <v>-2.3286951378790541E-2</v>
      </c>
      <c r="F388" s="77">
        <f>Data!Y386</f>
        <v>-9.5536882147852688E-3</v>
      </c>
      <c r="G388" s="77">
        <f>Data!AG386</f>
        <v>-1.0374042772353926E-3</v>
      </c>
      <c r="H388" s="77">
        <f>Data!AO386</f>
        <v>-7.8700840074693648E-3</v>
      </c>
      <c r="I388" s="77">
        <f>Data!AW386</f>
        <v>1.0048140461409847E-2</v>
      </c>
      <c r="J388" s="77">
        <f>Data!BE386</f>
        <v>0</v>
      </c>
      <c r="K388" s="77">
        <f>Data!BM386</f>
        <v>1.5990864874152647E-2</v>
      </c>
      <c r="L388" s="675"/>
    </row>
    <row r="389" spans="2:12" x14ac:dyDescent="0.35">
      <c r="B389" s="675"/>
      <c r="C389" s="30">
        <v>45889</v>
      </c>
      <c r="D389" s="77">
        <f>Data!I387</f>
        <v>-1.0050335853501451E-2</v>
      </c>
      <c r="E389" s="77">
        <f>Data!Q387</f>
        <v>-7.8844035241489828E-3</v>
      </c>
      <c r="F389" s="77">
        <f>Data!Y387</f>
        <v>-9.9354205887778983E-4</v>
      </c>
      <c r="G389" s="77">
        <f>Data!AG387</f>
        <v>-6.9220122745406029E-4</v>
      </c>
      <c r="H389" s="77">
        <f>Data!AO387</f>
        <v>0</v>
      </c>
      <c r="I389" s="77">
        <f>Data!AW387</f>
        <v>-7.8551571263998539E-3</v>
      </c>
      <c r="J389" s="77">
        <f>Data!BE387</f>
        <v>-1.810004164361799E-2</v>
      </c>
      <c r="K389" s="77">
        <f>Data!BM387</f>
        <v>-2.0178726214627261E-2</v>
      </c>
      <c r="L389" s="675"/>
    </row>
    <row r="390" spans="2:12" x14ac:dyDescent="0.35">
      <c r="B390" s="675"/>
      <c r="C390" s="30">
        <v>45890</v>
      </c>
      <c r="D390" s="77">
        <f>Data!I388</f>
        <v>-2.0408871631207238E-2</v>
      </c>
      <c r="E390" s="77">
        <f>Data!Q388</f>
        <v>0</v>
      </c>
      <c r="F390" s="77">
        <f>Data!Y388</f>
        <v>-8.6523002334264569E-3</v>
      </c>
      <c r="G390" s="77">
        <f>Data!AG388</f>
        <v>-3.4628037513444339E-4</v>
      </c>
      <c r="H390" s="77">
        <f>Data!AO388</f>
        <v>-2.0881004321795491E-2</v>
      </c>
      <c r="I390" s="77">
        <f>Data!AW388</f>
        <v>-6.3729476214808168E-3</v>
      </c>
      <c r="J390" s="77">
        <f>Data!BE388</f>
        <v>0</v>
      </c>
      <c r="K390" s="77">
        <f>Data!BM388</f>
        <v>1.7969456767016347E-3</v>
      </c>
      <c r="L390" s="675"/>
    </row>
    <row r="391" spans="2:12" x14ac:dyDescent="0.35">
      <c r="B391" s="675"/>
      <c r="C391" s="30">
        <v>45893</v>
      </c>
      <c r="D391" s="77">
        <f>Data!I389</f>
        <v>0</v>
      </c>
      <c r="E391" s="77">
        <f>Data!Q389</f>
        <v>0</v>
      </c>
      <c r="F391" s="77">
        <f>Data!Y389</f>
        <v>-8.7278163964903243E-3</v>
      </c>
      <c r="G391" s="77">
        <f>Data!AG389</f>
        <v>-4.2806798750115753E-3</v>
      </c>
      <c r="H391" s="77">
        <f>Data!AO389</f>
        <v>-1.0188257376373671E-2</v>
      </c>
      <c r="I391" s="77">
        <f>Data!AW389</f>
        <v>-1.6448470415110217E-2</v>
      </c>
      <c r="J391" s="77">
        <f>Data!BE389</f>
        <v>-1.3793322132335648E-2</v>
      </c>
      <c r="K391" s="77">
        <f>Data!BM389</f>
        <v>-1.0225653011757038E-2</v>
      </c>
      <c r="L391" s="675"/>
    </row>
    <row r="392" spans="2:12" x14ac:dyDescent="0.35">
      <c r="B392" s="675"/>
      <c r="C392" s="30">
        <v>45894</v>
      </c>
      <c r="D392" s="77">
        <f>Data!I390</f>
        <v>0</v>
      </c>
      <c r="E392" s="77">
        <f>Data!Q390</f>
        <v>5.3928342025555645E-2</v>
      </c>
      <c r="F392" s="77">
        <f>Data!Y390</f>
        <v>7.0552955182323742E-3</v>
      </c>
      <c r="G392" s="77">
        <f>Data!AG390</f>
        <v>1.5061116210858725E-3</v>
      </c>
      <c r="H392" s="77">
        <f>Data!AO390</f>
        <v>-5.4484627659442371E-3</v>
      </c>
      <c r="I392" s="77">
        <f>Data!AW390</f>
        <v>5.3643400876757759E-3</v>
      </c>
      <c r="J392" s="77">
        <f>Data!BE390</f>
        <v>1.8349138668196398E-2</v>
      </c>
      <c r="K392" s="77">
        <f>Data!BM390</f>
        <v>1.5597196813667988E-2</v>
      </c>
      <c r="L392" s="675"/>
    </row>
    <row r="393" spans="2:12" x14ac:dyDescent="0.35">
      <c r="B393" s="675"/>
      <c r="C393" s="30">
        <v>45895</v>
      </c>
      <c r="D393" s="77">
        <f>Data!I391</f>
        <v>0</v>
      </c>
      <c r="E393" s="77">
        <f>Data!Q391</f>
        <v>-1.0050335853501451E-2</v>
      </c>
      <c r="F393" s="77">
        <f>Data!Y391</f>
        <v>-3.3484011697401098E-4</v>
      </c>
      <c r="G393" s="77">
        <f>Data!AG391</f>
        <v>-2.550134684421901E-3</v>
      </c>
      <c r="H393" s="77">
        <f>Data!AO391</f>
        <v>-2.3140853915517732E-3</v>
      </c>
      <c r="I393" s="77">
        <f>Data!AW391</f>
        <v>4.4573212237852881E-4</v>
      </c>
      <c r="J393" s="77">
        <f>Data!BE391</f>
        <v>3.5718082602079246E-2</v>
      </c>
      <c r="K393" s="77">
        <f>Data!BM391</f>
        <v>-1.2578782206860073E-2</v>
      </c>
      <c r="L393" s="675"/>
    </row>
    <row r="394" spans="2:12" x14ac:dyDescent="0.35">
      <c r="B394" s="675"/>
      <c r="C394" s="30">
        <v>45896</v>
      </c>
      <c r="D394" s="77">
        <f>Data!I392</f>
        <v>-1.0362787035546547E-2</v>
      </c>
      <c r="E394" s="77">
        <f>Data!Q392</f>
        <v>-1.2706651269114801E-2</v>
      </c>
      <c r="F394" s="77">
        <f>Data!Y392</f>
        <v>3.343366537974366E-3</v>
      </c>
      <c r="G394" s="77">
        <f>Data!AG392</f>
        <v>-2.3215322216863708E-4</v>
      </c>
      <c r="H394" s="77">
        <f>Data!AO392</f>
        <v>-4.2131873384972606E-4</v>
      </c>
      <c r="I394" s="77">
        <f>Data!AW392</f>
        <v>-2.9008164935765287E-3</v>
      </c>
      <c r="J394" s="77">
        <f>Data!BE392</f>
        <v>-8.810629682154807E-3</v>
      </c>
      <c r="K394" s="77">
        <f>Data!BM392</f>
        <v>-8.4746269909722321E-3</v>
      </c>
      <c r="L394" s="675"/>
    </row>
    <row r="395" spans="2:12" x14ac:dyDescent="0.35">
      <c r="B395" s="675"/>
      <c r="C395" s="30">
        <v>45897</v>
      </c>
      <c r="D395" s="77">
        <f>Data!I393</f>
        <v>2.0619287202735825E-2</v>
      </c>
      <c r="E395" s="77">
        <f>Data!Q393</f>
        <v>3.517950712117332E-2</v>
      </c>
      <c r="F395" s="77">
        <f>Data!Y393</f>
        <v>1.9174141141467437E-2</v>
      </c>
      <c r="G395" s="77">
        <f>Data!AG393</f>
        <v>-4.6544184561335133E-3</v>
      </c>
      <c r="H395" s="77">
        <f>Data!AO393</f>
        <v>0.13261836532245014</v>
      </c>
      <c r="I395" s="77">
        <f>Data!AW393</f>
        <v>8.0125066994402635E-3</v>
      </c>
      <c r="J395" s="77">
        <f>Data!BE393</f>
        <v>3.0503454293414625E-2</v>
      </c>
      <c r="K395" s="77">
        <f>Data!BM393</f>
        <v>1.0882815993455487E-2</v>
      </c>
      <c r="L395" s="675"/>
    </row>
    <row r="396" spans="2:12" x14ac:dyDescent="0.35">
      <c r="B396" s="675"/>
      <c r="C396" s="30">
        <v>45900</v>
      </c>
      <c r="D396" s="77">
        <f>Data!I394</f>
        <v>0</v>
      </c>
      <c r="E396" s="77">
        <f>Data!Q394</f>
        <v>-2.4721891453891483E-3</v>
      </c>
      <c r="F396" s="77">
        <f>Data!Y394</f>
        <v>1.6239395524531648E-2</v>
      </c>
      <c r="G396" s="77">
        <f>Data!AG394</f>
        <v>2.3514223090256983E-2</v>
      </c>
      <c r="H396" s="77">
        <f>Data!AO394</f>
        <v>-2.5047904013821148E-2</v>
      </c>
      <c r="I396" s="77">
        <f>Data!AW394</f>
        <v>8.3736234591067576E-2</v>
      </c>
      <c r="J396" s="77">
        <f>Data!BE394</f>
        <v>6.6414442899006887E-2</v>
      </c>
      <c r="K396" s="77">
        <f>Data!BM394</f>
        <v>2.1416642479004322E-2</v>
      </c>
      <c r="L396" s="675"/>
    </row>
    <row r="397" spans="2:12" x14ac:dyDescent="0.35">
      <c r="B397" s="675"/>
      <c r="C397" s="30">
        <v>45901</v>
      </c>
      <c r="D397" s="77">
        <f>Data!I395</f>
        <v>-1.0256500167189221E-2</v>
      </c>
      <c r="E397" s="77">
        <f>Data!Q395</f>
        <v>-2.4783160144670898E-3</v>
      </c>
      <c r="F397" s="77">
        <f>Data!Y395</f>
        <v>-1.1014040721866493E-2</v>
      </c>
      <c r="G397" s="77">
        <f>Data!AG395</f>
        <v>4.7732787526578117E-3</v>
      </c>
      <c r="H397" s="77">
        <f>Data!AO395</f>
        <v>-3.5828177249182316E-2</v>
      </c>
      <c r="I397" s="77">
        <f>Data!AW395</f>
        <v>3.4662390265160402E-2</v>
      </c>
      <c r="J397" s="77">
        <f>Data!BE395</f>
        <v>-2.4391453124159124E-2</v>
      </c>
      <c r="K397" s="77">
        <f>Data!BM395</f>
        <v>-2.3571018573814236E-3</v>
      </c>
      <c r="L397" s="675"/>
    </row>
    <row r="398" spans="2:12" x14ac:dyDescent="0.35">
      <c r="B398" s="675"/>
      <c r="C398" s="30">
        <v>45902</v>
      </c>
      <c r="D398" s="77">
        <f>Data!I396</f>
        <v>0</v>
      </c>
      <c r="E398" s="77">
        <f>Data!Q396</f>
        <v>1.9656652549551807E-2</v>
      </c>
      <c r="F398" s="77">
        <f>Data!Y396</f>
        <v>1.0691823867137323E-2</v>
      </c>
      <c r="G398" s="77">
        <f>Data!AG396</f>
        <v>-7.9396590117651199E-4</v>
      </c>
      <c r="H398" s="77">
        <f>Data!AO396</f>
        <v>-1.1836792374557611E-2</v>
      </c>
      <c r="I398" s="77">
        <f>Data!AW396</f>
        <v>-2.0291127845608329E-2</v>
      </c>
      <c r="J398" s="77">
        <f>Data!BE396</f>
        <v>6.3766618358989224E-2</v>
      </c>
      <c r="K398" s="77">
        <f>Data!BM396</f>
        <v>-1.4859114403749828E-2</v>
      </c>
      <c r="L398" s="675"/>
    </row>
    <row r="399" spans="2:12" x14ac:dyDescent="0.35">
      <c r="B399" s="675"/>
      <c r="C399" s="30">
        <v>45903</v>
      </c>
      <c r="D399" s="77">
        <f>Data!I397</f>
        <v>2.0408871631207252E-2</v>
      </c>
      <c r="E399" s="77">
        <f>Data!Q397</f>
        <v>4.854378464798143E-3</v>
      </c>
      <c r="F399" s="77">
        <f>Data!Y397</f>
        <v>-1.9354844751774372E-3</v>
      </c>
      <c r="G399" s="77">
        <f>Data!AG397</f>
        <v>1.4740067298321276E-3</v>
      </c>
      <c r="H399" s="77">
        <f>Data!AO397</f>
        <v>1.9843238481633295E-4</v>
      </c>
      <c r="I399" s="77">
        <f>Data!AW397</f>
        <v>-8.6790331852771609E-3</v>
      </c>
      <c r="J399" s="77">
        <f>Data!BE397</f>
        <v>3.7883317902301282E-2</v>
      </c>
      <c r="K399" s="77">
        <f>Data!BM397</f>
        <v>-1.1983224921086443E-3</v>
      </c>
      <c r="L399" s="675"/>
    </row>
    <row r="400" spans="2:12" x14ac:dyDescent="0.35">
      <c r="B400" s="675"/>
      <c r="C400" s="30">
        <v>45904</v>
      </c>
      <c r="D400" s="77">
        <f>Data!I398</f>
        <v>-1.0152371464017962E-2</v>
      </c>
      <c r="E400" s="77">
        <f>Data!Q398</f>
        <v>2.1557721074979271E-2</v>
      </c>
      <c r="F400" s="77">
        <f>Data!Y398</f>
        <v>-1.7261460991626364E-2</v>
      </c>
      <c r="G400" s="77">
        <f>Data!AG398</f>
        <v>2.2657754713438291E-4</v>
      </c>
      <c r="H400" s="77">
        <f>Data!AO398</f>
        <v>1.784121793501392E-3</v>
      </c>
      <c r="I400" s="77">
        <f>Data!AW398</f>
        <v>-2.4418982890721114E-2</v>
      </c>
      <c r="J400" s="77">
        <f>Data!BE398</f>
        <v>-3.4029748586311373E-2</v>
      </c>
      <c r="K400" s="77">
        <f>Data!BM398</f>
        <v>-7.8242951075288558E-3</v>
      </c>
      <c r="L400" s="675"/>
    </row>
    <row r="401" spans="2:12" x14ac:dyDescent="0.35">
      <c r="B401" s="675"/>
      <c r="C401" s="30">
        <v>45907</v>
      </c>
      <c r="D401" s="77">
        <f>Data!I399</f>
        <v>-1.0256500167189221E-2</v>
      </c>
      <c r="E401" s="77">
        <f>Data!Q399</f>
        <v>2.1102776067736036E-2</v>
      </c>
      <c r="F401" s="77">
        <f>Data!Y399</f>
        <v>6.2223878511989674E-3</v>
      </c>
      <c r="G401" s="77">
        <f>Data!AG399</f>
        <v>-7.1619700212920542E-3</v>
      </c>
      <c r="H401" s="77">
        <f>Data!AO399</f>
        <v>-1.1890607821903546E-3</v>
      </c>
      <c r="I401" s="77">
        <f>Data!AW399</f>
        <v>-2.0794351431430761E-3</v>
      </c>
      <c r="J401" s="77">
        <f>Data!BE399</f>
        <v>2.6567027384721706E-2</v>
      </c>
      <c r="K401" s="77">
        <f>Data!BM399</f>
        <v>1.2077296153995378E-3</v>
      </c>
      <c r="L401" s="675"/>
    </row>
    <row r="402" spans="2:12" x14ac:dyDescent="0.35">
      <c r="B402" s="675"/>
      <c r="C402" s="30">
        <v>45908</v>
      </c>
      <c r="D402" s="77">
        <f>Data!I400</f>
        <v>-1.0362787035546547E-2</v>
      </c>
      <c r="E402" s="77">
        <f>Data!Q400</f>
        <v>2.5201791973950324E-2</v>
      </c>
      <c r="F402" s="77">
        <f>Data!Y400</f>
        <v>-2.9426210541976467E-3</v>
      </c>
      <c r="G402" s="77">
        <f>Data!AG400</f>
        <v>-1.5985388195037E-3</v>
      </c>
      <c r="H402" s="77">
        <f>Data!AO400</f>
        <v>3.3653402047859825E-3</v>
      </c>
      <c r="I402" s="77">
        <f>Data!AW400</f>
        <v>-1.1936064648556099E-2</v>
      </c>
      <c r="J402" s="77">
        <f>Data!BE400</f>
        <v>-1.5094626222484904E-2</v>
      </c>
      <c r="K402" s="77">
        <f>Data!BM400</f>
        <v>6.0331826867760256E-4</v>
      </c>
      <c r="L402" s="675"/>
    </row>
    <row r="403" spans="2:12" x14ac:dyDescent="0.35">
      <c r="B403" s="675"/>
      <c r="C403" s="30">
        <v>45909</v>
      </c>
      <c r="D403" s="77">
        <f>Data!I401</f>
        <v>-1.0471299867295366E-2</v>
      </c>
      <c r="E403" s="77">
        <f>Data!Q401</f>
        <v>-2.2884293833587845E-2</v>
      </c>
      <c r="F403" s="77">
        <f>Data!Y401</f>
        <v>-1.5176800708847226E-2</v>
      </c>
      <c r="G403" s="77">
        <f>Data!AG401</f>
        <v>3.650055381286244E-3</v>
      </c>
      <c r="H403" s="77">
        <f>Data!AO401</f>
        <v>-1.3129291441792736E-2</v>
      </c>
      <c r="I403" s="77">
        <f>Data!AW401</f>
        <v>-2.3229600735840992E-2</v>
      </c>
      <c r="J403" s="77">
        <f>Data!BE401</f>
        <v>-3.4819765159228043E-2</v>
      </c>
      <c r="K403" s="77">
        <f>Data!BM401</f>
        <v>-1.7645727093195198E-2</v>
      </c>
      <c r="L403" s="675"/>
    </row>
    <row r="404" spans="2:12" x14ac:dyDescent="0.35">
      <c r="B404" s="675"/>
      <c r="C404" s="30">
        <v>45910</v>
      </c>
      <c r="D404" s="77">
        <f>Data!I402</f>
        <v>0</v>
      </c>
      <c r="E404" s="77">
        <f>Data!Q402</f>
        <v>-2.1053409197832492E-2</v>
      </c>
      <c r="F404" s="77">
        <f>Data!Y402</f>
        <v>-1.6636170864001429E-3</v>
      </c>
      <c r="G404" s="77">
        <f>Data!AG402</f>
        <v>1.2516358236380409E-3</v>
      </c>
      <c r="H404" s="77">
        <f>Data!AO402</f>
        <v>-6.8314511207452615E-3</v>
      </c>
      <c r="I404" s="77">
        <f>Data!AW402</f>
        <v>-1.9815563990466481E-2</v>
      </c>
      <c r="J404" s="77">
        <f>Data!BE402</f>
        <v>-4.0166041725334757E-2</v>
      </c>
      <c r="K404" s="77">
        <f>Data!BM402</f>
        <v>-1.1111225425070835E-2</v>
      </c>
      <c r="L404" s="675"/>
    </row>
    <row r="405" spans="2:12" x14ac:dyDescent="0.35">
      <c r="B405" s="675"/>
      <c r="C405" s="30">
        <v>45911</v>
      </c>
      <c r="D405" s="77">
        <f>Data!I403</f>
        <v>1.0471299867295437E-2</v>
      </c>
      <c r="E405" s="77">
        <f>Data!Q403</f>
        <v>2.3365548956211912E-2</v>
      </c>
      <c r="F405" s="77">
        <f>Data!Y403</f>
        <v>4.9825713444638731E-3</v>
      </c>
      <c r="G405" s="77">
        <f>Data!AG403</f>
        <v>1.7042553690402992E-3</v>
      </c>
      <c r="H405" s="77">
        <f>Data!AO403</f>
        <v>8.8318518678285173E-3</v>
      </c>
      <c r="I405" s="77">
        <f>Data!AW403</f>
        <v>-1.7609513685449523E-3</v>
      </c>
      <c r="J405" s="77">
        <f>Data!BE403</f>
        <v>2.8284713838582103E-2</v>
      </c>
      <c r="K405" s="77">
        <f>Data!BM403</f>
        <v>-1.2422361845910571E-3</v>
      </c>
      <c r="L405" s="675"/>
    </row>
    <row r="406" spans="2:12" x14ac:dyDescent="0.35">
      <c r="B406" s="675"/>
      <c r="C406" s="30">
        <v>45914</v>
      </c>
      <c r="D406" s="77">
        <f>Data!I404</f>
        <v>0</v>
      </c>
      <c r="E406" s="77">
        <f>Data!Q404</f>
        <v>-2.57324139664779E-2</v>
      </c>
      <c r="F406" s="77">
        <f>Data!Y404</f>
        <v>-6.315460578785256E-3</v>
      </c>
      <c r="G406" s="77">
        <f>Data!AG404</f>
        <v>-2.8420413604838598E-3</v>
      </c>
      <c r="H406" s="77">
        <f>Data!AO404</f>
        <v>-7.4215564794512792E-3</v>
      </c>
      <c r="I406" s="77">
        <f>Data!AW404</f>
        <v>4.8351742552349645E-3</v>
      </c>
      <c r="J406" s="77">
        <f>Data!BE404</f>
        <v>-2.4194728587056992E-2</v>
      </c>
      <c r="K406" s="77">
        <f>Data!BM404</f>
        <v>-6.8600206661631712E-3</v>
      </c>
      <c r="L406" s="675"/>
    </row>
    <row r="407" spans="2:12" x14ac:dyDescent="0.35">
      <c r="B407" s="675"/>
      <c r="C407" s="30">
        <v>45915</v>
      </c>
      <c r="D407" s="77">
        <f>Data!I405</f>
        <v>1.0362787035546658E-2</v>
      </c>
      <c r="E407" s="77">
        <f>Data!Q405</f>
        <v>0</v>
      </c>
      <c r="F407" s="77">
        <f>Data!Y405</f>
        <v>3.6611789939123168E-3</v>
      </c>
      <c r="G407" s="77">
        <f>Data!AG405</f>
        <v>-1.352456144945712E-2</v>
      </c>
      <c r="H407" s="77">
        <f>Data!AO405</f>
        <v>-1.1542094318784182E-2</v>
      </c>
      <c r="I407" s="77">
        <f>Data!AW405</f>
        <v>1.3285614122625555E-2</v>
      </c>
      <c r="J407" s="77">
        <f>Data!BE405</f>
        <v>0</v>
      </c>
      <c r="K407" s="77">
        <f>Data!BM405</f>
        <v>-1.8791111072751021E-3</v>
      </c>
      <c r="L407" s="675"/>
    </row>
    <row r="408" spans="2:12" x14ac:dyDescent="0.35">
      <c r="B408" s="675"/>
      <c r="C408" s="30">
        <v>45916</v>
      </c>
      <c r="D408" s="77">
        <f>Data!I406</f>
        <v>8.8728115608684432E-2</v>
      </c>
      <c r="E408" s="77">
        <f>Data!Q406</f>
        <v>-4.7506027585978647E-3</v>
      </c>
      <c r="F408" s="77">
        <f>Data!Y406</f>
        <v>2.6542815848727233E-3</v>
      </c>
      <c r="G408" s="77">
        <f>Data!AG406</f>
        <v>1.5685249161051341E-2</v>
      </c>
      <c r="H408" s="77">
        <f>Data!AO406</f>
        <v>1.0178117927006245E-3</v>
      </c>
      <c r="I408" s="77">
        <f>Data!AW406</f>
        <v>2.8789705597955521E-2</v>
      </c>
      <c r="J408" s="77">
        <f>Data!BE406</f>
        <v>8.1301260832500888E-3</v>
      </c>
      <c r="K408" s="77">
        <f>Data!BM406</f>
        <v>1.4934938458690174E-2</v>
      </c>
      <c r="L408" s="675"/>
    </row>
    <row r="409" spans="2:12" x14ac:dyDescent="0.35">
      <c r="B409" s="675"/>
      <c r="C409" s="30">
        <v>45917</v>
      </c>
      <c r="D409" s="77">
        <f>Data!I407</f>
        <v>-9.47874395454377E-3</v>
      </c>
      <c r="E409" s="77">
        <f>Data!Q407</f>
        <v>-1.1976191046715649E-2</v>
      </c>
      <c r="F409" s="77">
        <f>Data!Y407</f>
        <v>0</v>
      </c>
      <c r="G409" s="77">
        <f>Data!AG407</f>
        <v>-1.8192159650629106E-3</v>
      </c>
      <c r="H409" s="77">
        <f>Data!AO407</f>
        <v>4.6686373238578752E-3</v>
      </c>
      <c r="I409" s="77">
        <f>Data!AW407</f>
        <v>8.4051276223734515E-4</v>
      </c>
      <c r="J409" s="77">
        <f>Data!BE407</f>
        <v>4.040409537005127E-3</v>
      </c>
      <c r="K409" s="77">
        <f>Data!BM407</f>
        <v>6.7713401231728788E-3</v>
      </c>
      <c r="L409" s="675"/>
    </row>
    <row r="410" spans="2:12" x14ac:dyDescent="0.35">
      <c r="B410" s="675"/>
      <c r="C410" s="30">
        <v>45918</v>
      </c>
      <c r="D410" s="77">
        <f>Data!I408</f>
        <v>5.5569851154810786E-2</v>
      </c>
      <c r="E410" s="77">
        <f>Data!Q408</f>
        <v>-2.1925360628965659E-2</v>
      </c>
      <c r="F410" s="77">
        <f>Data!Y408</f>
        <v>-2.3221108460603512E-3</v>
      </c>
      <c r="G410" s="77">
        <f>Data!AG408</f>
        <v>-3.9911108340807246E-3</v>
      </c>
      <c r="H410" s="77">
        <f>Data!AO408</f>
        <v>-7.5211249955772592E-3</v>
      </c>
      <c r="I410" s="77">
        <f>Data!AW408</f>
        <v>-6.1097840962414393E-3</v>
      </c>
      <c r="J410" s="77">
        <f>Data!BE408</f>
        <v>-2.0367302824433699E-2</v>
      </c>
      <c r="K410" s="77">
        <f>Data!BM408</f>
        <v>-2.1079515791053934E-2</v>
      </c>
      <c r="L410" s="675"/>
    </row>
    <row r="411" spans="2:12" x14ac:dyDescent="0.35">
      <c r="B411" s="675"/>
      <c r="C411" s="30">
        <v>45921</v>
      </c>
      <c r="D411" s="77">
        <f>Data!I409</f>
        <v>-9.0498355199179273E-3</v>
      </c>
      <c r="E411" s="77">
        <f>Data!Q409</f>
        <v>-2.4938948347252066E-2</v>
      </c>
      <c r="F411" s="77">
        <f>Data!Y409</f>
        <v>-2.660460498403544E-3</v>
      </c>
      <c r="G411" s="77">
        <f>Data!AG409</f>
        <v>-5.7146124190756201E-4</v>
      </c>
      <c r="H411" s="77">
        <f>Data!AO409</f>
        <v>-8.6066105036445868E-3</v>
      </c>
      <c r="I411" s="77">
        <f>Data!AW409</f>
        <v>-8.2759093038597097E-3</v>
      </c>
      <c r="J411" s="77">
        <f>Data!BE409</f>
        <v>-1.6597891409037828E-2</v>
      </c>
      <c r="K411" s="77">
        <f>Data!BM409</f>
        <v>-7.5472056353828544E-3</v>
      </c>
      <c r="L411" s="675"/>
    </row>
    <row r="412" spans="2:12" x14ac:dyDescent="0.35">
      <c r="B412" s="675"/>
      <c r="C412" s="30">
        <v>45922</v>
      </c>
      <c r="D412" s="77">
        <f>Data!I410</f>
        <v>-3.7041271680349097E-2</v>
      </c>
      <c r="E412" s="77">
        <f>Data!Q410</f>
        <v>-1.2706651269114801E-2</v>
      </c>
      <c r="F412" s="77">
        <f>Data!Y410</f>
        <v>-6.6622254296313935E-4</v>
      </c>
      <c r="G412" s="77">
        <f>Data!AG410</f>
        <v>-4.3538107271154005E-3</v>
      </c>
      <c r="H412" s="77">
        <f>Data!AO410</f>
        <v>-1.0343493128240318E-2</v>
      </c>
      <c r="I412" s="77">
        <f>Data!AW410</f>
        <v>7.8531656915610051E-3</v>
      </c>
      <c r="J412" s="77">
        <f>Data!BE410</f>
        <v>4.175371410480592E-3</v>
      </c>
      <c r="K412" s="77">
        <f>Data!BM410</f>
        <v>-1.7834867636034313E-2</v>
      </c>
      <c r="L412" s="675"/>
    </row>
    <row r="413" spans="2:12" x14ac:dyDescent="0.35">
      <c r="B413" s="675"/>
      <c r="C413" s="30">
        <v>45923</v>
      </c>
      <c r="D413" s="77">
        <f>Data!I411</f>
        <v>-9.47874395454377E-3</v>
      </c>
      <c r="E413" s="77">
        <f>Data!Q411</f>
        <v>7.6433493125680659E-3</v>
      </c>
      <c r="F413" s="77">
        <f>Data!Y411</f>
        <v>-5.3458196136647483E-3</v>
      </c>
      <c r="G413" s="77">
        <f>Data!AG411</f>
        <v>1.2622642102858095E-3</v>
      </c>
      <c r="H413" s="77">
        <f>Data!AO411</f>
        <v>-2.0796506261911145E-4</v>
      </c>
      <c r="I413" s="77">
        <f>Data!AW411</f>
        <v>1.9009404816096461E-3</v>
      </c>
      <c r="J413" s="77">
        <f>Data!BE411</f>
        <v>2.8749413285985792E-2</v>
      </c>
      <c r="K413" s="77">
        <f>Data!BM411</f>
        <v>2.5673955052459545E-3</v>
      </c>
      <c r="L413" s="675"/>
    </row>
    <row r="414" spans="2:12" x14ac:dyDescent="0.35">
      <c r="B414" s="675"/>
      <c r="C414" s="30">
        <v>45924</v>
      </c>
      <c r="D414" s="77">
        <f>Data!I412</f>
        <v>-1.9231361927887533E-2</v>
      </c>
      <c r="E414" s="77">
        <f>Data!Q412</f>
        <v>3.0002250303798914E-2</v>
      </c>
      <c r="F414" s="77">
        <f>Data!Y412</f>
        <v>1.6736405580296937E-3</v>
      </c>
      <c r="G414" s="77">
        <f>Data!AG412</f>
        <v>5.2613640757292329E-3</v>
      </c>
      <c r="H414" s="77">
        <f>Data!AO412</f>
        <v>3.3222621919778601E-3</v>
      </c>
      <c r="I414" s="77">
        <f>Data!AW412</f>
        <v>-1.689546336440151E-3</v>
      </c>
      <c r="J414" s="77">
        <f>Data!BE412</f>
        <v>1.6064602503806841E-2</v>
      </c>
      <c r="K414" s="77">
        <f>Data!BM412</f>
        <v>0</v>
      </c>
      <c r="L414" s="675"/>
    </row>
    <row r="415" spans="2:12" x14ac:dyDescent="0.35">
      <c r="B415" s="675"/>
      <c r="C415" s="30">
        <v>45925</v>
      </c>
      <c r="D415" s="77">
        <f>Data!I413</f>
        <v>3.8099846232270175E-2</v>
      </c>
      <c r="E415" s="77">
        <f>Data!Q413</f>
        <v>4.9140148024289414E-3</v>
      </c>
      <c r="F415" s="77">
        <f>Data!Y413</f>
        <v>-2.0087050610807069E-3</v>
      </c>
      <c r="G415" s="77">
        <f>Data!AG413</f>
        <v>-1.255636258802316E-3</v>
      </c>
      <c r="H415" s="77">
        <f>Data!AO413</f>
        <v>4.5501629694496776E-3</v>
      </c>
      <c r="I415" s="77">
        <f>Data!AW413</f>
        <v>-1.2121360532344963E-2</v>
      </c>
      <c r="J415" s="77">
        <f>Data!BE413</f>
        <v>1.5810606026642245E-2</v>
      </c>
      <c r="K415" s="77">
        <f>Data!BM413</f>
        <v>1.1472401162237E-2</v>
      </c>
      <c r="L415" s="675"/>
    </row>
    <row r="416" spans="2:12" x14ac:dyDescent="0.35">
      <c r="B416" s="675"/>
      <c r="C416" s="30">
        <v>45928</v>
      </c>
      <c r="D416" s="77">
        <f>Data!I414</f>
        <v>0</v>
      </c>
      <c r="E416" s="77">
        <f>Data!Q414</f>
        <v>-1.9802627296179643E-2</v>
      </c>
      <c r="F416" s="77">
        <f>Data!Y414</f>
        <v>2.3430973062967472E-3</v>
      </c>
      <c r="G416" s="77">
        <f>Data!AG414</f>
        <v>5.1267557463455212E-3</v>
      </c>
      <c r="H416" s="77">
        <f>Data!AO414</f>
        <v>-8.2884850800568326E-3</v>
      </c>
      <c r="I416" s="77">
        <f>Data!AW414</f>
        <v>0</v>
      </c>
      <c r="J416" s="77">
        <f>Data!BE414</f>
        <v>-7.874056430905883E-3</v>
      </c>
      <c r="K416" s="77">
        <f>Data!BM414</f>
        <v>-1.7903291492527364E-2</v>
      </c>
      <c r="L416" s="675"/>
    </row>
    <row r="417" spans="2:12" x14ac:dyDescent="0.35">
      <c r="B417" s="675"/>
      <c r="C417" s="30">
        <v>45929</v>
      </c>
      <c r="D417" s="77">
        <f>Data!I415</f>
        <v>-9.3897403498390316E-3</v>
      </c>
      <c r="E417" s="77">
        <f>Data!Q415</f>
        <v>2.2250608934819723E-2</v>
      </c>
      <c r="F417" s="77">
        <f>Data!Y415</f>
        <v>-3.6844791304979866E-3</v>
      </c>
      <c r="G417" s="77">
        <f>Data!AG415</f>
        <v>1.1362990751400762E-4</v>
      </c>
      <c r="H417" s="77">
        <f>Data!AO415</f>
        <v>-1.4575744381687776E-3</v>
      </c>
      <c r="I417" s="77">
        <f>Data!AW415</f>
        <v>4.4615770622017355E-3</v>
      </c>
      <c r="J417" s="77">
        <f>Data!BE415</f>
        <v>-3.9604012160970167E-3</v>
      </c>
      <c r="K417" s="77">
        <f>Data!BM415</f>
        <v>4.5059619207059153E-3</v>
      </c>
      <c r="L417" s="675"/>
    </row>
    <row r="418" spans="2:12" x14ac:dyDescent="0.35">
      <c r="B418" s="675"/>
      <c r="C418" s="57">
        <v>45930</v>
      </c>
      <c r="D418" s="631">
        <f>Data!I416</f>
        <v>0</v>
      </c>
      <c r="E418" s="631">
        <f>Data!Q416</f>
        <v>7.3081933067248427E-3</v>
      </c>
      <c r="F418" s="631">
        <f>Data!Y416</f>
        <v>3.3500868852820269E-3</v>
      </c>
      <c r="G418" s="631">
        <f>Data!AG416</f>
        <v>-2.730687781694077E-3</v>
      </c>
      <c r="H418" s="631">
        <f>Data!AO416</f>
        <v>1.041341341628617E-3</v>
      </c>
      <c r="I418" s="631">
        <f>Data!AW416</f>
        <v>-7.3643468003541476E-2</v>
      </c>
      <c r="J418" s="631">
        <f>Data!BE416</f>
        <v>-3.9761483796392945E-3</v>
      </c>
      <c r="K418" s="631">
        <f>Data!BM416</f>
        <v>-6.4433212609322299E-3</v>
      </c>
      <c r="L418" s="675"/>
    </row>
    <row r="419" spans="2:12" ht="35" customHeight="1" x14ac:dyDescent="0.35">
      <c r="B419" s="677" t="s">
        <v>73</v>
      </c>
      <c r="C419" s="677"/>
      <c r="D419" s="83">
        <f>AVERAGE(D6:D239)</f>
        <v>-1.0748459037153418E-3</v>
      </c>
      <c r="E419" s="83">
        <f t="shared" ref="E419:K419" si="0">AVERAGE(E6:E239)</f>
        <v>-1.3301505990164441E-3</v>
      </c>
      <c r="F419" s="83">
        <f t="shared" si="0"/>
        <v>8.8837152416633924E-4</v>
      </c>
      <c r="G419" s="83">
        <f t="shared" si="0"/>
        <v>-7.4666656955157802E-5</v>
      </c>
      <c r="H419" s="83">
        <f t="shared" si="0"/>
        <v>-2.7253441342717111E-3</v>
      </c>
      <c r="I419" s="83">
        <f t="shared" si="0"/>
        <v>-3.0137408457767759E-3</v>
      </c>
      <c r="J419" s="83">
        <f t="shared" si="0"/>
        <v>-2.6282638239190901E-3</v>
      </c>
      <c r="K419" s="83">
        <f t="shared" si="0"/>
        <v>3.4847399544301591E-4</v>
      </c>
    </row>
    <row r="420" spans="2:12" ht="32.5" customHeight="1" x14ac:dyDescent="0.35">
      <c r="B420" s="677" t="s">
        <v>75</v>
      </c>
      <c r="C420" s="677"/>
      <c r="D420" s="83">
        <f>AVERAGE(D65:D300)</f>
        <v>-1.6962851653823757E-4</v>
      </c>
      <c r="E420" s="83">
        <f t="shared" ref="E420:K420" si="1">AVERAGE(E65:E300)</f>
        <v>-4.7634895327482223E-4</v>
      </c>
      <c r="F420" s="83">
        <f t="shared" si="1"/>
        <v>1.6722030936195309E-3</v>
      </c>
      <c r="G420" s="83">
        <f t="shared" si="1"/>
        <v>-5.1390464124809057E-4</v>
      </c>
      <c r="H420" s="83">
        <f t="shared" si="1"/>
        <v>-1.8015871718787639E-3</v>
      </c>
      <c r="I420" s="83">
        <f t="shared" si="1"/>
        <v>-1.1866379278282909E-3</v>
      </c>
      <c r="J420" s="83">
        <f t="shared" si="1"/>
        <v>-1.5523829749763667E-3</v>
      </c>
      <c r="K420" s="83">
        <f t="shared" si="1"/>
        <v>-1.1118554723615651E-4</v>
      </c>
    </row>
    <row r="421" spans="2:12" ht="35.5" customHeight="1" x14ac:dyDescent="0.35">
      <c r="B421" s="677" t="s">
        <v>76</v>
      </c>
      <c r="C421" s="677"/>
      <c r="D421" s="83">
        <f>AVERAGE(D121:D355)</f>
        <v>7.5012443548081462E-4</v>
      </c>
      <c r="E421" s="83">
        <f t="shared" ref="E421:K421" si="2">AVERAGE(E121:E355)</f>
        <v>1.3326693798991986E-4</v>
      </c>
      <c r="F421" s="83">
        <f t="shared" si="2"/>
        <v>1.2496741430407306E-3</v>
      </c>
      <c r="G421" s="83">
        <f t="shared" si="2"/>
        <v>-6.264096540255661E-4</v>
      </c>
      <c r="H421" s="83">
        <f t="shared" si="2"/>
        <v>-1.8809161082727654E-3</v>
      </c>
      <c r="I421" s="83">
        <f t="shared" si="2"/>
        <v>-1.7408942155991973E-3</v>
      </c>
      <c r="J421" s="83">
        <f t="shared" si="2"/>
        <v>-1.3227622626949609E-3</v>
      </c>
      <c r="K421" s="83">
        <f t="shared" si="2"/>
        <v>6.5693245679609774E-4</v>
      </c>
    </row>
    <row r="422" spans="2:12" x14ac:dyDescent="0.35">
      <c r="B422" s="78"/>
      <c r="C422" s="79"/>
    </row>
    <row r="423" spans="2:12" x14ac:dyDescent="0.35">
      <c r="B423" s="81"/>
    </row>
    <row r="424" spans="2:12" x14ac:dyDescent="0.35">
      <c r="B424" s="81"/>
    </row>
    <row r="425" spans="2:12" x14ac:dyDescent="0.35">
      <c r="B425" s="81"/>
    </row>
    <row r="426" spans="2:12" x14ac:dyDescent="0.35">
      <c r="B426" s="81"/>
    </row>
    <row r="427" spans="2:12" x14ac:dyDescent="0.35">
      <c r="B427" s="81"/>
    </row>
    <row r="428" spans="2:12" x14ac:dyDescent="0.35">
      <c r="B428" s="81"/>
    </row>
  </sheetData>
  <mergeCells count="18">
    <mergeCell ref="B2:L2"/>
    <mergeCell ref="B419:C419"/>
    <mergeCell ref="B420:C420"/>
    <mergeCell ref="B421:C421"/>
    <mergeCell ref="L5:L64"/>
    <mergeCell ref="L65:L120"/>
    <mergeCell ref="L121:L178"/>
    <mergeCell ref="L179:L239"/>
    <mergeCell ref="L240:L300"/>
    <mergeCell ref="L301:L355"/>
    <mergeCell ref="B356:B418"/>
    <mergeCell ref="B301:B355"/>
    <mergeCell ref="B5:B64"/>
    <mergeCell ref="B65:B120"/>
    <mergeCell ref="B121:B178"/>
    <mergeCell ref="B179:B239"/>
    <mergeCell ref="B240:B300"/>
    <mergeCell ref="L356:L4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6BB4-9CB0-437D-ADEC-7BE076FD183F}">
  <dimension ref="B1:P13"/>
  <sheetViews>
    <sheetView showGridLines="0" workbookViewId="0">
      <selection activeCell="K15" sqref="K15"/>
    </sheetView>
  </sheetViews>
  <sheetFormatPr defaultRowHeight="14.5" x14ac:dyDescent="0.35"/>
  <cols>
    <col min="2" max="2" width="10.6328125" bestFit="1" customWidth="1"/>
    <col min="3" max="11" width="10.26953125" customWidth="1"/>
  </cols>
  <sheetData>
    <row r="1" spans="2:16" ht="15" thickBot="1" x14ac:dyDescent="0.4"/>
    <row r="2" spans="2:16" ht="22" thickTop="1" thickBot="1" x14ac:dyDescent="0.55000000000000004">
      <c r="B2" s="680" t="s">
        <v>44</v>
      </c>
      <c r="C2" s="680"/>
      <c r="D2" s="680"/>
      <c r="E2" s="680"/>
      <c r="F2" s="680"/>
      <c r="G2" s="680"/>
      <c r="H2" s="680"/>
      <c r="I2" s="680"/>
      <c r="J2" s="680"/>
      <c r="K2" s="680"/>
    </row>
    <row r="3" spans="2:16" ht="15" thickTop="1" x14ac:dyDescent="0.35"/>
    <row r="4" spans="2:16" x14ac:dyDescent="0.35">
      <c r="B4" s="14"/>
      <c r="C4" s="14" t="s">
        <v>5</v>
      </c>
      <c r="D4" s="14" t="s">
        <v>0</v>
      </c>
      <c r="E4" s="14" t="s">
        <v>2</v>
      </c>
      <c r="F4" s="14" t="s">
        <v>31</v>
      </c>
      <c r="G4" s="14" t="s">
        <v>4</v>
      </c>
      <c r="H4" s="14" t="s">
        <v>3</v>
      </c>
      <c r="I4" s="14" t="s">
        <v>180</v>
      </c>
      <c r="J4" s="14" t="s">
        <v>1</v>
      </c>
      <c r="K4" s="14" t="s">
        <v>37</v>
      </c>
    </row>
    <row r="5" spans="2:16" ht="15.5" x14ac:dyDescent="0.35">
      <c r="B5" s="15" t="s">
        <v>37</v>
      </c>
      <c r="C5" s="17">
        <v>0.125</v>
      </c>
      <c r="D5" s="17">
        <v>0.125</v>
      </c>
      <c r="E5" s="17">
        <v>0.125</v>
      </c>
      <c r="F5" s="17">
        <v>0.125</v>
      </c>
      <c r="G5" s="17">
        <v>0.125</v>
      </c>
      <c r="H5" s="17">
        <v>0.125</v>
      </c>
      <c r="I5" s="17">
        <v>0.125</v>
      </c>
      <c r="J5" s="17">
        <v>0.125</v>
      </c>
      <c r="M5" s="681" t="s">
        <v>79</v>
      </c>
      <c r="N5" s="682"/>
      <c r="O5" s="682"/>
      <c r="P5" s="683"/>
    </row>
    <row r="6" spans="2:16" x14ac:dyDescent="0.35">
      <c r="B6" s="16" t="str">
        <f>'Stock Selection'!C5</f>
        <v>UCB</v>
      </c>
      <c r="C6">
        <f>VARP(Returns!$D$6:$D$239)</f>
        <v>6.4885675067318069E-4</v>
      </c>
      <c r="D6">
        <v>2.2769737093587193E-4</v>
      </c>
      <c r="E6">
        <v>1.9397745840612249E-4</v>
      </c>
      <c r="F6">
        <v>5.7159372716903801E-5</v>
      </c>
      <c r="G6">
        <v>1.1039719584559691E-4</v>
      </c>
      <c r="H6">
        <v>9.9387450084231159E-5</v>
      </c>
      <c r="I6">
        <v>2.2479450204009895E-4</v>
      </c>
      <c r="J6">
        <v>1.4347401890767367E-4</v>
      </c>
      <c r="K6" s="17">
        <v>0.125</v>
      </c>
      <c r="M6" s="679" t="s">
        <v>32</v>
      </c>
      <c r="N6" s="679"/>
      <c r="O6" s="679"/>
      <c r="P6" s="56">
        <f>MMULT(MMULT(C5:J5,C6:J13),K6:K13)</f>
        <v>2.0994702929113488E-4</v>
      </c>
    </row>
    <row r="7" spans="2:16" x14ac:dyDescent="0.35">
      <c r="B7" s="16" t="str">
        <f>'Stock Selection'!C6</f>
        <v>IDLC</v>
      </c>
      <c r="C7">
        <v>2.2769737093587193E-4</v>
      </c>
      <c r="D7">
        <f>VARP(Returns!$E$6:$E$239)</f>
        <v>6.120739159491584E-4</v>
      </c>
      <c r="E7">
        <v>2.4598434012617937E-4</v>
      </c>
      <c r="F7">
        <v>1.0330646318149005E-4</v>
      </c>
      <c r="G7">
        <v>1.770034263127058E-4</v>
      </c>
      <c r="H7">
        <v>2.7099648310998937E-4</v>
      </c>
      <c r="I7">
        <v>3.3436750589379627E-4</v>
      </c>
      <c r="J7">
        <v>2.8662624705340194E-4</v>
      </c>
      <c r="K7" s="17">
        <v>0.125</v>
      </c>
      <c r="M7" s="679" t="s">
        <v>38</v>
      </c>
      <c r="N7" s="679"/>
      <c r="O7" s="679"/>
      <c r="P7" s="5">
        <f>SQRT(P6)</f>
        <v>1.4489548967829705E-2</v>
      </c>
    </row>
    <row r="8" spans="2:16" x14ac:dyDescent="0.35">
      <c r="B8" s="16" t="str">
        <f>'Stock Selection'!C7</f>
        <v>GP</v>
      </c>
      <c r="C8">
        <v>1.9397745840612249E-4</v>
      </c>
      <c r="D8">
        <v>2.4598434012617937E-4</v>
      </c>
      <c r="E8">
        <f>VARP(Returns!$F$6:$F$239)</f>
        <v>3.2926844669246315E-4</v>
      </c>
      <c r="F8">
        <v>6.315996314979776E-5</v>
      </c>
      <c r="G8">
        <v>1.8116009830395794E-4</v>
      </c>
      <c r="H8">
        <v>1.4756500287183076E-4</v>
      </c>
      <c r="I8">
        <v>1.5861336469428651E-4</v>
      </c>
      <c r="J8">
        <v>1.9171670299756829E-4</v>
      </c>
      <c r="K8" s="17">
        <v>0.125</v>
      </c>
      <c r="M8" s="679" t="s">
        <v>33</v>
      </c>
      <c r="N8" s="679"/>
      <c r="O8" s="679"/>
      <c r="P8" s="5">
        <f>P7*P9^0.5</f>
        <v>0.11316699513002555</v>
      </c>
    </row>
    <row r="9" spans="2:16" x14ac:dyDescent="0.35">
      <c r="B9" s="16" t="str">
        <f>'Stock Selection'!C8</f>
        <v>BATASHOE</v>
      </c>
      <c r="C9">
        <v>5.7159372716903801E-5</v>
      </c>
      <c r="D9">
        <v>1.0330646318149005E-4</v>
      </c>
      <c r="E9">
        <v>6.315996314979776E-5</v>
      </c>
      <c r="F9">
        <f>VARP(Returns!$G$6:$G$239)</f>
        <v>1.4397657441157904E-4</v>
      </c>
      <c r="G9">
        <v>6.940137844177257E-5</v>
      </c>
      <c r="H9">
        <v>8.3384363091325276E-5</v>
      </c>
      <c r="I9">
        <v>1.0129654310109831E-4</v>
      </c>
      <c r="J9">
        <v>7.9539257952707668E-5</v>
      </c>
      <c r="K9" s="17">
        <v>0.125</v>
      </c>
      <c r="M9" s="679" t="s">
        <v>34</v>
      </c>
      <c r="N9" s="679"/>
      <c r="O9" s="679"/>
      <c r="P9" s="2">
        <f>Returns!L240</f>
        <v>61</v>
      </c>
    </row>
    <row r="10" spans="2:16" x14ac:dyDescent="0.35">
      <c r="B10" s="16" t="str">
        <f>'Stock Selection'!C9</f>
        <v>RENATA</v>
      </c>
      <c r="C10">
        <v>1.1039719584559691E-4</v>
      </c>
      <c r="D10">
        <v>1.770034263127058E-4</v>
      </c>
      <c r="E10">
        <v>1.8116009830395794E-4</v>
      </c>
      <c r="F10">
        <v>6.940137844177257E-5</v>
      </c>
      <c r="G10">
        <f>VARP(Returns!$H$6:$H$239)</f>
        <v>4.2423911312888145E-4</v>
      </c>
      <c r="H10">
        <v>1.9402032101113444E-4</v>
      </c>
      <c r="I10">
        <v>1.6509768351575995E-4</v>
      </c>
      <c r="J10">
        <v>1.2489837927230364E-4</v>
      </c>
      <c r="K10" s="17">
        <v>0.125</v>
      </c>
    </row>
    <row r="11" spans="2:16" x14ac:dyDescent="0.35">
      <c r="B11" s="16" t="str">
        <f>'Stock Selection'!C10</f>
        <v>WALTONHIL</v>
      </c>
      <c r="C11">
        <v>9.9387450084231159E-5</v>
      </c>
      <c r="D11">
        <v>2.7099648310998937E-4</v>
      </c>
      <c r="E11">
        <v>1.4756500287183076E-4</v>
      </c>
      <c r="F11">
        <v>8.3384363091325276E-5</v>
      </c>
      <c r="G11">
        <v>1.9402032101113444E-4</v>
      </c>
      <c r="H11">
        <f>VARP(Returns!$I$6:$I$239)</f>
        <v>6.5914532977450846E-4</v>
      </c>
      <c r="I11">
        <v>2.7741736359861597E-4</v>
      </c>
      <c r="J11">
        <v>1.5477946909262804E-4</v>
      </c>
      <c r="K11" s="17">
        <v>0.125</v>
      </c>
    </row>
    <row r="12" spans="2:16" x14ac:dyDescent="0.35">
      <c r="B12" s="16" t="str">
        <f>'Stock Selection'!C11</f>
        <v>RAKC</v>
      </c>
      <c r="C12">
        <v>2.2479450204009895E-4</v>
      </c>
      <c r="D12">
        <v>3.3436750589379627E-4</v>
      </c>
      <c r="E12">
        <v>1.5861336469428651E-4</v>
      </c>
      <c r="F12">
        <v>1.0129654310109831E-4</v>
      </c>
      <c r="G12">
        <v>1.6509768351575995E-4</v>
      </c>
      <c r="H12">
        <v>2.7741736359861597E-4</v>
      </c>
      <c r="I12">
        <f>VARP(Returns!$J$6:$J$239)</f>
        <v>6.5062327135615426E-4</v>
      </c>
      <c r="J12">
        <v>2.1941036125245039E-4</v>
      </c>
      <c r="K12" s="17">
        <v>0.125</v>
      </c>
    </row>
    <row r="13" spans="2:16" ht="15" thickBot="1" x14ac:dyDescent="0.4">
      <c r="B13" s="16" t="str">
        <f>'Stock Selection'!C12</f>
        <v>OLYMPIC</v>
      </c>
      <c r="C13" s="281">
        <v>1.4347401890767367E-4</v>
      </c>
      <c r="D13" s="281">
        <v>2.8662624705340194E-4</v>
      </c>
      <c r="E13" s="281">
        <v>1.9171670299756829E-4</v>
      </c>
      <c r="F13" s="281">
        <v>7.9539257952707668E-5</v>
      </c>
      <c r="G13" s="281">
        <v>1.2489837927230364E-4</v>
      </c>
      <c r="H13" s="281">
        <v>1.5477946909262804E-4</v>
      </c>
      <c r="I13" s="281">
        <v>2.1941036125245039E-4</v>
      </c>
      <c r="J13" s="281">
        <f>VARP(Returns!$K$6:$K$239)</f>
        <v>5.9516229872410978E-4</v>
      </c>
      <c r="K13" s="60">
        <v>0.125</v>
      </c>
    </row>
  </sheetData>
  <mergeCells count="6">
    <mergeCell ref="M9:O9"/>
    <mergeCell ref="B2:K2"/>
    <mergeCell ref="M5:P5"/>
    <mergeCell ref="M6:O6"/>
    <mergeCell ref="M7:O7"/>
    <mergeCell ref="M8:O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426E-7B01-45FE-B71A-A5A5209E2E33}">
  <dimension ref="B1:P13"/>
  <sheetViews>
    <sheetView showGridLines="0" workbookViewId="0">
      <selection activeCell="E18" sqref="E18"/>
    </sheetView>
  </sheetViews>
  <sheetFormatPr defaultRowHeight="14.5" x14ac:dyDescent="0.35"/>
  <cols>
    <col min="2" max="2" width="10.6328125" bestFit="1" customWidth="1"/>
    <col min="3" max="11" width="10.1796875" customWidth="1"/>
  </cols>
  <sheetData>
    <row r="1" spans="2:16" ht="15" thickBot="1" x14ac:dyDescent="0.4"/>
    <row r="2" spans="2:16" ht="22" thickTop="1" thickBot="1" x14ac:dyDescent="0.55000000000000004">
      <c r="B2" s="680" t="s">
        <v>45</v>
      </c>
      <c r="C2" s="680"/>
      <c r="D2" s="680"/>
      <c r="E2" s="680"/>
      <c r="F2" s="680"/>
      <c r="G2" s="680"/>
      <c r="H2" s="680"/>
      <c r="I2" s="680"/>
      <c r="J2" s="680"/>
      <c r="K2" s="680"/>
    </row>
    <row r="3" spans="2:16" ht="15" thickTop="1" x14ac:dyDescent="0.35"/>
    <row r="4" spans="2:16" x14ac:dyDescent="0.35">
      <c r="B4" s="14"/>
      <c r="C4" s="14" t="s">
        <v>5</v>
      </c>
      <c r="D4" s="14" t="s">
        <v>0</v>
      </c>
      <c r="E4" s="14" t="s">
        <v>2</v>
      </c>
      <c r="F4" s="14" t="s">
        <v>31</v>
      </c>
      <c r="G4" s="14" t="s">
        <v>4</v>
      </c>
      <c r="H4" s="14" t="s">
        <v>3</v>
      </c>
      <c r="I4" s="14" t="s">
        <v>180</v>
      </c>
      <c r="J4" s="14" t="s">
        <v>1</v>
      </c>
      <c r="K4" s="14" t="s">
        <v>37</v>
      </c>
    </row>
    <row r="5" spans="2:16" ht="15.5" x14ac:dyDescent="0.35">
      <c r="B5" s="15" t="s">
        <v>37</v>
      </c>
      <c r="C5" s="17">
        <v>0.125</v>
      </c>
      <c r="D5" s="17">
        <v>0.125</v>
      </c>
      <c r="E5" s="17">
        <v>0.125</v>
      </c>
      <c r="F5" s="17">
        <v>0.125</v>
      </c>
      <c r="G5" s="17">
        <v>0.125</v>
      </c>
      <c r="H5" s="17">
        <v>0.125</v>
      </c>
      <c r="I5" s="17">
        <v>0.125</v>
      </c>
      <c r="J5" s="17">
        <v>0.125</v>
      </c>
      <c r="M5" s="681" t="s">
        <v>81</v>
      </c>
      <c r="N5" s="682"/>
      <c r="O5" s="682"/>
      <c r="P5" s="683"/>
    </row>
    <row r="6" spans="2:16" x14ac:dyDescent="0.35">
      <c r="B6" s="16" t="str">
        <f>'Stock Selection'!C5</f>
        <v>UCB</v>
      </c>
      <c r="C6">
        <f>VARP(Returns!$D$65:$D$300)</f>
        <v>6.8289667086776217E-4</v>
      </c>
      <c r="D6">
        <v>2.2148298496636978E-4</v>
      </c>
      <c r="E6">
        <v>1.8780466399367961E-4</v>
      </c>
      <c r="F6">
        <v>4.6455850595516441E-5</v>
      </c>
      <c r="G6">
        <v>1.3057235184190356E-4</v>
      </c>
      <c r="H6">
        <v>1.0509687696815329E-4</v>
      </c>
      <c r="I6">
        <v>1.8703653237269643E-4</v>
      </c>
      <c r="J6">
        <v>1.4082130980692598E-4</v>
      </c>
      <c r="K6" s="17">
        <v>0.125</v>
      </c>
      <c r="M6" s="679" t="s">
        <v>32</v>
      </c>
      <c r="N6" s="679"/>
      <c r="O6" s="679"/>
      <c r="P6" s="56">
        <f>MMULT(MMULT(C5:J5,C6:J13),K6:K13)</f>
        <v>1.9557536301424382E-4</v>
      </c>
    </row>
    <row r="7" spans="2:16" x14ac:dyDescent="0.35">
      <c r="B7" s="16" t="str">
        <f>'Stock Selection'!C6</f>
        <v>IDLC</v>
      </c>
      <c r="C7">
        <v>2.2148298496636978E-4</v>
      </c>
      <c r="D7">
        <f>VARP(Returns!$E$65:$E$300)</f>
        <v>5.1645367234479924E-4</v>
      </c>
      <c r="E7">
        <v>2.3610813168440832E-4</v>
      </c>
      <c r="F7">
        <v>1.1099349991978302E-4</v>
      </c>
      <c r="G7">
        <v>1.7618451306239773E-4</v>
      </c>
      <c r="H7">
        <v>2.011223741288593E-4</v>
      </c>
      <c r="I7">
        <v>2.7977844512398688E-4</v>
      </c>
      <c r="J7">
        <v>2.749527615806479E-4</v>
      </c>
      <c r="K7" s="17">
        <v>0.125</v>
      </c>
      <c r="M7" s="679" t="s">
        <v>38</v>
      </c>
      <c r="N7" s="679"/>
      <c r="O7" s="679"/>
      <c r="P7" s="5">
        <f>SQRT(P6)</f>
        <v>1.3984826170326316E-2</v>
      </c>
    </row>
    <row r="8" spans="2:16" x14ac:dyDescent="0.35">
      <c r="B8" s="16" t="str">
        <f>'Stock Selection'!C7</f>
        <v>GP</v>
      </c>
      <c r="C8">
        <v>1.8780466399367961E-4</v>
      </c>
      <c r="D8">
        <v>2.3610813168440832E-4</v>
      </c>
      <c r="E8">
        <f>VARP(Returns!$F$65:$F$300)</f>
        <v>3.1619600981301843E-4</v>
      </c>
      <c r="F8">
        <v>6.5073021593753402E-5</v>
      </c>
      <c r="G8">
        <v>1.7370801433598337E-4</v>
      </c>
      <c r="H8">
        <v>1.4327139850048431E-4</v>
      </c>
      <c r="I8">
        <v>1.5318299430345858E-4</v>
      </c>
      <c r="J8">
        <v>1.8890659251176908E-4</v>
      </c>
      <c r="K8" s="17">
        <v>0.125</v>
      </c>
      <c r="M8" s="679" t="s">
        <v>33</v>
      </c>
      <c r="N8" s="679"/>
      <c r="O8" s="679"/>
      <c r="P8" s="5">
        <f>P7*P9^0.5</f>
        <v>0.10371424668666986</v>
      </c>
    </row>
    <row r="9" spans="2:16" x14ac:dyDescent="0.35">
      <c r="B9" s="16" t="str">
        <f>'Stock Selection'!C8</f>
        <v>BATASHOE</v>
      </c>
      <c r="C9">
        <v>4.6455850595516441E-5</v>
      </c>
      <c r="D9">
        <v>1.1099349991978302E-4</v>
      </c>
      <c r="E9">
        <v>6.5073021593753402E-5</v>
      </c>
      <c r="F9">
        <f>VARP(Returns!$G$65:$G$300)</f>
        <v>1.7802671768543858E-4</v>
      </c>
      <c r="G9">
        <v>7.4627615491699805E-5</v>
      </c>
      <c r="H9">
        <v>9.4693177952266634E-5</v>
      </c>
      <c r="I9">
        <v>8.4122356774934254E-5</v>
      </c>
      <c r="J9">
        <v>8.1908454961454323E-5</v>
      </c>
      <c r="K9" s="17">
        <v>0.125</v>
      </c>
      <c r="M9" s="679" t="s">
        <v>34</v>
      </c>
      <c r="N9" s="679"/>
      <c r="O9" s="679"/>
      <c r="P9" s="2">
        <f>Returns!L301</f>
        <v>55</v>
      </c>
    </row>
    <row r="10" spans="2:16" x14ac:dyDescent="0.35">
      <c r="B10" s="16" t="str">
        <f>'Stock Selection'!C9</f>
        <v>RENATA</v>
      </c>
      <c r="C10">
        <v>1.3057235184190356E-4</v>
      </c>
      <c r="D10">
        <v>1.7618451306239773E-4</v>
      </c>
      <c r="E10">
        <v>1.7370801433598337E-4</v>
      </c>
      <c r="F10">
        <v>7.4627615491699805E-5</v>
      </c>
      <c r="G10">
        <f>VARP(Returns!$H$65:$H$300)</f>
        <v>3.827830761113789E-4</v>
      </c>
      <c r="H10">
        <v>1.7710439771720398E-4</v>
      </c>
      <c r="I10">
        <v>1.7260885214763082E-4</v>
      </c>
      <c r="J10">
        <v>1.1894446359392519E-4</v>
      </c>
      <c r="K10" s="17">
        <v>0.125</v>
      </c>
    </row>
    <row r="11" spans="2:16" x14ac:dyDescent="0.35">
      <c r="B11" s="16" t="str">
        <f>'Stock Selection'!C10</f>
        <v>WALTONHIL</v>
      </c>
      <c r="C11">
        <v>1.0509687696815329E-4</v>
      </c>
      <c r="D11">
        <v>2.011223741288593E-4</v>
      </c>
      <c r="E11">
        <v>1.4327139850048431E-4</v>
      </c>
      <c r="F11">
        <v>9.4693177952266634E-5</v>
      </c>
      <c r="G11">
        <v>1.7710439771720398E-4</v>
      </c>
      <c r="H11">
        <f>VARP(Returns!$I$65:$I$300)</f>
        <v>4.9172162698424987E-4</v>
      </c>
      <c r="I11">
        <v>1.9035702920143759E-4</v>
      </c>
      <c r="J11">
        <v>1.6974051680142222E-4</v>
      </c>
      <c r="K11" s="17">
        <v>0.125</v>
      </c>
    </row>
    <row r="12" spans="2:16" x14ac:dyDescent="0.35">
      <c r="B12" s="16" t="str">
        <f>'Stock Selection'!C11</f>
        <v>RAKC</v>
      </c>
      <c r="C12">
        <v>1.8703653237269643E-4</v>
      </c>
      <c r="D12">
        <v>2.7977844512398688E-4</v>
      </c>
      <c r="E12">
        <v>1.5318299430345858E-4</v>
      </c>
      <c r="F12">
        <v>8.4122356774934254E-5</v>
      </c>
      <c r="G12">
        <v>1.7260885214763082E-4</v>
      </c>
      <c r="H12">
        <v>1.9035702920143759E-4</v>
      </c>
      <c r="I12">
        <f>VARP(Returns!$J$65:$J$300)</f>
        <v>5.5020141155444704E-4</v>
      </c>
      <c r="J12">
        <v>2.208099291434708E-4</v>
      </c>
      <c r="K12" s="17">
        <v>0.125</v>
      </c>
    </row>
    <row r="13" spans="2:16" ht="15" thickBot="1" x14ac:dyDescent="0.4">
      <c r="B13" s="16" t="str">
        <f>'Stock Selection'!C12</f>
        <v>OLYMPIC</v>
      </c>
      <c r="C13" s="281">
        <v>1.4082130980692598E-4</v>
      </c>
      <c r="D13" s="281">
        <v>2.749527615806479E-4</v>
      </c>
      <c r="E13" s="281">
        <v>1.8890659251176908E-4</v>
      </c>
      <c r="F13" s="281">
        <v>8.1908454961454323E-5</v>
      </c>
      <c r="G13" s="281">
        <v>1.1894446359392519E-4</v>
      </c>
      <c r="H13" s="281">
        <v>1.6974051680142222E-4</v>
      </c>
      <c r="I13" s="281">
        <v>2.208099291434708E-4</v>
      </c>
      <c r="J13" s="281">
        <f>VARP(Returns!$K$65:$K$300)</f>
        <v>5.8360582539806517E-4</v>
      </c>
      <c r="K13" s="60">
        <v>0.125</v>
      </c>
    </row>
  </sheetData>
  <mergeCells count="6">
    <mergeCell ref="M9:O9"/>
    <mergeCell ref="B2:K2"/>
    <mergeCell ref="M5:P5"/>
    <mergeCell ref="M6:O6"/>
    <mergeCell ref="M7:O7"/>
    <mergeCell ref="M8:O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ABB-0E28-45C5-A621-234034C1E18E}">
  <dimension ref="B1:P13"/>
  <sheetViews>
    <sheetView showGridLines="0" topLeftCell="B1" workbookViewId="0">
      <selection activeCell="J17" sqref="J17"/>
    </sheetView>
  </sheetViews>
  <sheetFormatPr defaultRowHeight="14.5" x14ac:dyDescent="0.35"/>
  <cols>
    <col min="2" max="2" width="10.6328125" bestFit="1" customWidth="1"/>
    <col min="3" max="11" width="10.1796875" customWidth="1"/>
  </cols>
  <sheetData>
    <row r="1" spans="2:16" ht="15" thickBot="1" x14ac:dyDescent="0.4"/>
    <row r="2" spans="2:16" ht="22" thickTop="1" thickBot="1" x14ac:dyDescent="0.55000000000000004">
      <c r="B2" s="680" t="s">
        <v>53</v>
      </c>
      <c r="C2" s="680"/>
      <c r="D2" s="680"/>
      <c r="E2" s="680"/>
      <c r="F2" s="680"/>
      <c r="G2" s="680"/>
      <c r="H2" s="680"/>
      <c r="I2" s="680"/>
      <c r="J2" s="680"/>
      <c r="K2" s="680"/>
    </row>
    <row r="3" spans="2:16" ht="15" thickTop="1" x14ac:dyDescent="0.35"/>
    <row r="4" spans="2:16" x14ac:dyDescent="0.35">
      <c r="B4" s="14"/>
      <c r="C4" s="14" t="s">
        <v>5</v>
      </c>
      <c r="D4" s="14" t="s">
        <v>0</v>
      </c>
      <c r="E4" s="14" t="s">
        <v>2</v>
      </c>
      <c r="F4" s="14" t="s">
        <v>31</v>
      </c>
      <c r="G4" s="14" t="s">
        <v>4</v>
      </c>
      <c r="H4" s="14" t="s">
        <v>3</v>
      </c>
      <c r="I4" s="14" t="s">
        <v>180</v>
      </c>
      <c r="J4" s="14" t="s">
        <v>1</v>
      </c>
      <c r="K4" s="14" t="s">
        <v>37</v>
      </c>
    </row>
    <row r="5" spans="2:16" ht="15.5" x14ac:dyDescent="0.35">
      <c r="B5" s="15" t="s">
        <v>37</v>
      </c>
      <c r="C5" s="17">
        <v>0.125</v>
      </c>
      <c r="D5" s="17">
        <v>0.125</v>
      </c>
      <c r="E5" s="17">
        <v>0.125</v>
      </c>
      <c r="F5" s="17">
        <v>0.125</v>
      </c>
      <c r="G5" s="17">
        <v>0.125</v>
      </c>
      <c r="H5" s="17">
        <v>0.125</v>
      </c>
      <c r="I5" s="17">
        <v>0.125</v>
      </c>
      <c r="J5" s="17">
        <v>0.125</v>
      </c>
      <c r="M5" s="681" t="s">
        <v>77</v>
      </c>
      <c r="N5" s="682"/>
      <c r="O5" s="682"/>
      <c r="P5" s="683"/>
    </row>
    <row r="6" spans="2:16" x14ac:dyDescent="0.35">
      <c r="B6" s="16" t="str">
        <f>'Stock Selection'!C5</f>
        <v>UCB</v>
      </c>
      <c r="C6">
        <f>VARP(Returns!$D$121:$D$355)</f>
        <v>7.824502752804785E-4</v>
      </c>
      <c r="D6">
        <v>2.698140198053723E-4</v>
      </c>
      <c r="E6">
        <v>1.9322445472345841E-4</v>
      </c>
      <c r="F6">
        <v>5.5606979854824682E-5</v>
      </c>
      <c r="G6">
        <v>1.6310997498679926E-4</v>
      </c>
      <c r="H6">
        <v>1.1227986274174878E-4</v>
      </c>
      <c r="I6">
        <v>2.4002793579889004E-4</v>
      </c>
      <c r="J6">
        <v>1.3437566594155862E-4</v>
      </c>
      <c r="K6" s="17">
        <v>0.125</v>
      </c>
      <c r="M6" s="679" t="s">
        <v>32</v>
      </c>
      <c r="N6" s="679"/>
      <c r="O6" s="679"/>
      <c r="P6" s="56">
        <f>MMULT(MMULT(C5:J5,C6:J13),K6:K13)</f>
        <v>1.8452564902987653E-4</v>
      </c>
    </row>
    <row r="7" spans="2:16" x14ac:dyDescent="0.35">
      <c r="B7" s="16" t="str">
        <f>'Stock Selection'!C6</f>
        <v>IDLC</v>
      </c>
      <c r="C7">
        <v>2.698140198053723E-4</v>
      </c>
      <c r="D7">
        <f>VARP(Returns!$E$121:$E$355)</f>
        <v>4.9585688172402564E-4</v>
      </c>
      <c r="E7">
        <v>2.3611877821211455E-4</v>
      </c>
      <c r="F7">
        <v>9.3939882275739252E-5</v>
      </c>
      <c r="G7">
        <v>1.4480419800471517E-4</v>
      </c>
      <c r="H7">
        <v>1.6541447634189313E-4</v>
      </c>
      <c r="I7">
        <v>2.5530735391179004E-4</v>
      </c>
      <c r="J7">
        <v>2.5180180760349662E-4</v>
      </c>
      <c r="K7" s="17">
        <v>0.125</v>
      </c>
      <c r="M7" s="679" t="s">
        <v>38</v>
      </c>
      <c r="N7" s="679"/>
      <c r="O7" s="679"/>
      <c r="P7" s="5">
        <f>SQRT(P6)</f>
        <v>1.3584021828231745E-2</v>
      </c>
    </row>
    <row r="8" spans="2:16" x14ac:dyDescent="0.35">
      <c r="B8" s="16" t="str">
        <f>'Stock Selection'!C7</f>
        <v>GP</v>
      </c>
      <c r="C8">
        <v>1.9322445472345841E-4</v>
      </c>
      <c r="D8">
        <v>2.3611877821211455E-4</v>
      </c>
      <c r="E8">
        <f>VARP(Returns!$F$121:$F$355)</f>
        <v>3.2459544226468668E-4</v>
      </c>
      <c r="F8">
        <v>5.0807782646189966E-5</v>
      </c>
      <c r="G8">
        <v>1.6042600795478613E-4</v>
      </c>
      <c r="H8">
        <v>1.3134271436833687E-4</v>
      </c>
      <c r="I8">
        <v>1.4113956328075006E-4</v>
      </c>
      <c r="J8">
        <v>1.8895354598760005E-4</v>
      </c>
      <c r="K8" s="17">
        <v>0.125</v>
      </c>
      <c r="M8" s="679" t="s">
        <v>33</v>
      </c>
      <c r="N8" s="679"/>
      <c r="O8" s="679"/>
      <c r="P8" s="5">
        <f>P7*P9^0.5</f>
        <v>0.10781983068472248</v>
      </c>
    </row>
    <row r="9" spans="2:16" x14ac:dyDescent="0.35">
      <c r="B9" s="16" t="str">
        <f>'Stock Selection'!C8</f>
        <v>BATASHOE</v>
      </c>
      <c r="C9">
        <v>5.5606979854824682E-5</v>
      </c>
      <c r="D9">
        <v>9.3939882275739252E-5</v>
      </c>
      <c r="E9">
        <v>5.0807782646189966E-5</v>
      </c>
      <c r="F9">
        <f>VARP(Returns!$G$121:$G$355)</f>
        <v>2.254323507600122E-4</v>
      </c>
      <c r="G9">
        <v>4.3312823388206502E-5</v>
      </c>
      <c r="H9">
        <v>7.4597745248126263E-5</v>
      </c>
      <c r="I9">
        <v>7.7085518755450961E-5</v>
      </c>
      <c r="J9">
        <v>7.324857045608691E-5</v>
      </c>
      <c r="K9" s="17">
        <v>0.125</v>
      </c>
      <c r="M9" s="679" t="s">
        <v>34</v>
      </c>
      <c r="N9" s="679"/>
      <c r="O9" s="679"/>
      <c r="P9" s="2">
        <f>Returns!L356</f>
        <v>63</v>
      </c>
    </row>
    <row r="10" spans="2:16" x14ac:dyDescent="0.35">
      <c r="B10" s="16" t="str">
        <f>'Stock Selection'!C9</f>
        <v>RENATA</v>
      </c>
      <c r="C10">
        <v>1.6310997498679926E-4</v>
      </c>
      <c r="D10">
        <v>1.4480419800471517E-4</v>
      </c>
      <c r="E10">
        <v>1.6042600795478613E-4</v>
      </c>
      <c r="F10">
        <v>4.3312823388206502E-5</v>
      </c>
      <c r="G10">
        <f>VARP(Returns!$H$121:$H$355)</f>
        <v>2.9151489154199977E-4</v>
      </c>
      <c r="H10">
        <v>9.6365627895245661E-5</v>
      </c>
      <c r="I10">
        <v>1.3500997083813716E-4</v>
      </c>
      <c r="J10">
        <v>9.3941835069811247E-5</v>
      </c>
      <c r="K10" s="17">
        <v>0.125</v>
      </c>
    </row>
    <row r="11" spans="2:16" x14ac:dyDescent="0.35">
      <c r="B11" s="16" t="str">
        <f>'Stock Selection'!C10</f>
        <v>WALTONHIL</v>
      </c>
      <c r="C11">
        <v>1.1227986274174878E-4</v>
      </c>
      <c r="D11">
        <v>1.6541447634189313E-4</v>
      </c>
      <c r="E11">
        <v>1.3134271436833687E-4</v>
      </c>
      <c r="F11">
        <v>7.4597745248126263E-5</v>
      </c>
      <c r="G11">
        <v>9.6365627895245661E-5</v>
      </c>
      <c r="H11">
        <f>VARP(Returns!$I$121:$I$355)</f>
        <v>3.4839047231190716E-4</v>
      </c>
      <c r="I11">
        <v>1.5826148714548956E-4</v>
      </c>
      <c r="J11">
        <v>1.455580047402664E-4</v>
      </c>
      <c r="K11" s="17">
        <v>0.125</v>
      </c>
    </row>
    <row r="12" spans="2:16" x14ac:dyDescent="0.35">
      <c r="B12" s="16" t="str">
        <f>'Stock Selection'!C11</f>
        <v>RAKC</v>
      </c>
      <c r="C12">
        <v>2.4002793579889004E-4</v>
      </c>
      <c r="D12">
        <v>2.5530735391179004E-4</v>
      </c>
      <c r="E12">
        <v>1.4113956328075006E-4</v>
      </c>
      <c r="F12">
        <v>7.7085518755450961E-5</v>
      </c>
      <c r="G12">
        <v>1.3500997083813716E-4</v>
      </c>
      <c r="H12">
        <v>1.5826148714548956E-4</v>
      </c>
      <c r="I12">
        <f>VARP(Returns!$J$121:$J$355)</f>
        <v>5.5161501487413337E-4</v>
      </c>
      <c r="J12">
        <v>2.1673747967881945E-4</v>
      </c>
      <c r="K12" s="17">
        <v>0.125</v>
      </c>
    </row>
    <row r="13" spans="2:16" ht="15" thickBot="1" x14ac:dyDescent="0.4">
      <c r="B13" s="16" t="str">
        <f>'Stock Selection'!C12</f>
        <v>OLYMPIC</v>
      </c>
      <c r="C13" s="281">
        <v>1.3437566594155862E-4</v>
      </c>
      <c r="D13" s="281">
        <v>2.5180180760349662E-4</v>
      </c>
      <c r="E13" s="281">
        <v>1.8895354598760005E-4</v>
      </c>
      <c r="F13" s="281">
        <v>7.324857045608691E-5</v>
      </c>
      <c r="G13" s="281">
        <v>9.3941835069811247E-5</v>
      </c>
      <c r="H13" s="281">
        <v>1.455580047402664E-4</v>
      </c>
      <c r="I13" s="281">
        <v>2.1673747967881945E-4</v>
      </c>
      <c r="J13" s="281">
        <f>VARP(Returns!$K$121:$K$355)</f>
        <v>5.8455807384344719E-4</v>
      </c>
      <c r="K13" s="60">
        <v>0.125</v>
      </c>
    </row>
  </sheetData>
  <mergeCells count="6">
    <mergeCell ref="M9:O9"/>
    <mergeCell ref="B2:K2"/>
    <mergeCell ref="M5:P5"/>
    <mergeCell ref="M6:O6"/>
    <mergeCell ref="M7:O7"/>
    <mergeCell ref="M8:O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8A3-0AB6-4E5A-8DC8-F990BFF6DC9D}">
  <dimension ref="C1:L28"/>
  <sheetViews>
    <sheetView showGridLines="0" zoomScale="88" workbookViewId="0">
      <selection activeCell="K18" sqref="K18"/>
    </sheetView>
  </sheetViews>
  <sheetFormatPr defaultRowHeight="14.5" x14ac:dyDescent="0.35"/>
  <cols>
    <col min="1" max="1" width="8.08984375" customWidth="1"/>
    <col min="2" max="2" width="11.26953125" customWidth="1"/>
    <col min="3" max="8" width="14.90625" customWidth="1"/>
  </cols>
  <sheetData>
    <row r="1" spans="3:12" ht="15" thickBot="1" x14ac:dyDescent="0.4"/>
    <row r="2" spans="3:12" ht="22" thickTop="1" thickBot="1" x14ac:dyDescent="0.55000000000000004">
      <c r="C2" s="680" t="s">
        <v>54</v>
      </c>
      <c r="D2" s="680"/>
      <c r="E2" s="680"/>
      <c r="F2" s="680"/>
      <c r="G2" s="680"/>
      <c r="H2" s="680"/>
      <c r="I2" s="38"/>
      <c r="J2" s="38"/>
      <c r="K2" s="38"/>
      <c r="L2" s="38"/>
    </row>
    <row r="3" spans="3:12" ht="15" thickTop="1" x14ac:dyDescent="0.35"/>
    <row r="4" spans="3:12" ht="15.5" x14ac:dyDescent="0.35">
      <c r="C4" s="688" t="s">
        <v>55</v>
      </c>
      <c r="D4" s="689"/>
      <c r="E4" s="690" t="s">
        <v>56</v>
      </c>
      <c r="F4" s="691"/>
      <c r="G4" s="692" t="s">
        <v>57</v>
      </c>
      <c r="H4" s="689"/>
    </row>
    <row r="5" spans="3:12" ht="15.5" x14ac:dyDescent="0.35">
      <c r="C5" s="53" t="s">
        <v>58</v>
      </c>
      <c r="D5" s="54" t="s">
        <v>59</v>
      </c>
      <c r="E5" s="53" t="s">
        <v>58</v>
      </c>
      <c r="F5" s="54" t="s">
        <v>59</v>
      </c>
      <c r="G5" s="55" t="s">
        <v>58</v>
      </c>
      <c r="H5" s="54" t="s">
        <v>59</v>
      </c>
    </row>
    <row r="6" spans="3:12" x14ac:dyDescent="0.35">
      <c r="C6" s="39">
        <v>45572</v>
      </c>
      <c r="D6" s="40">
        <v>0.114499</v>
      </c>
      <c r="E6" s="39">
        <v>45663</v>
      </c>
      <c r="F6" s="40">
        <v>0.114299</v>
      </c>
      <c r="G6" s="41">
        <v>45754</v>
      </c>
      <c r="H6" s="40">
        <v>0.112391</v>
      </c>
    </row>
    <row r="7" spans="3:12" x14ac:dyDescent="0.35">
      <c r="C7" s="39">
        <v>45579</v>
      </c>
      <c r="D7" s="40">
        <v>0.114499</v>
      </c>
      <c r="E7" s="39">
        <v>45670</v>
      </c>
      <c r="F7" s="40">
        <v>0.11338699999999999</v>
      </c>
      <c r="G7" s="41">
        <v>45762</v>
      </c>
      <c r="H7" s="40">
        <v>0.114495</v>
      </c>
    </row>
    <row r="8" spans="3:12" x14ac:dyDescent="0.35">
      <c r="C8" s="39">
        <v>45587</v>
      </c>
      <c r="D8" s="40">
        <v>0.11750099999999999</v>
      </c>
      <c r="E8" s="39">
        <v>45677</v>
      </c>
      <c r="F8" s="40">
        <v>0.11289999999999999</v>
      </c>
      <c r="G8" s="41">
        <v>45768</v>
      </c>
      <c r="H8" s="40">
        <v>0.115895</v>
      </c>
    </row>
    <row r="9" spans="3:12" x14ac:dyDescent="0.35">
      <c r="C9" s="39">
        <v>45593</v>
      </c>
      <c r="D9" s="40">
        <v>0.11750099999999999</v>
      </c>
      <c r="E9" s="39">
        <v>45684</v>
      </c>
      <c r="F9" s="40">
        <v>0.111302</v>
      </c>
      <c r="G9" s="41">
        <v>45775</v>
      </c>
      <c r="H9" s="40">
        <v>0.116401</v>
      </c>
    </row>
    <row r="10" spans="3:12" x14ac:dyDescent="0.35">
      <c r="C10" s="39">
        <v>45600</v>
      </c>
      <c r="D10" s="40">
        <v>0.11750099999999999</v>
      </c>
      <c r="E10" s="39">
        <v>45691</v>
      </c>
      <c r="F10" s="40">
        <v>0.108499</v>
      </c>
      <c r="G10" s="41">
        <v>45782</v>
      </c>
      <c r="H10" s="40">
        <v>0.11609899999999999</v>
      </c>
    </row>
    <row r="11" spans="3:12" x14ac:dyDescent="0.35">
      <c r="C11" s="39">
        <v>45607</v>
      </c>
      <c r="D11" s="40">
        <v>0.11750099999999999</v>
      </c>
      <c r="E11" s="39">
        <v>45698</v>
      </c>
      <c r="F11" s="40">
        <v>0.10539199999999999</v>
      </c>
      <c r="G11" s="41">
        <v>45789</v>
      </c>
      <c r="H11" s="40">
        <v>0.11539400000000001</v>
      </c>
    </row>
    <row r="12" spans="3:12" x14ac:dyDescent="0.35">
      <c r="C12" s="39">
        <v>45614</v>
      </c>
      <c r="D12" s="40">
        <v>0.11750099999999999</v>
      </c>
      <c r="E12" s="39">
        <v>45705</v>
      </c>
      <c r="F12" s="40">
        <v>0.10349999999999999</v>
      </c>
      <c r="G12" s="41">
        <v>45796</v>
      </c>
      <c r="H12" s="40">
        <v>0.116498</v>
      </c>
    </row>
    <row r="13" spans="3:12" x14ac:dyDescent="0.35">
      <c r="C13" s="39">
        <v>45621</v>
      </c>
      <c r="D13" s="40">
        <v>0.11750099999999999</v>
      </c>
      <c r="E13" s="39">
        <v>45712</v>
      </c>
      <c r="F13" s="40">
        <v>0.10349999999999999</v>
      </c>
      <c r="G13" s="41">
        <v>45803</v>
      </c>
      <c r="H13" s="40">
        <v>0.116881</v>
      </c>
    </row>
    <row r="14" spans="3:12" x14ac:dyDescent="0.35">
      <c r="C14" s="39">
        <v>45628</v>
      </c>
      <c r="D14" s="40">
        <v>0.11709700000000001</v>
      </c>
      <c r="E14" s="39">
        <v>45719</v>
      </c>
      <c r="F14" s="40">
        <v>0.103399</v>
      </c>
      <c r="G14" s="41">
        <v>45810</v>
      </c>
      <c r="H14" s="40">
        <v>0.120197</v>
      </c>
    </row>
    <row r="15" spans="3:12" x14ac:dyDescent="0.35">
      <c r="C15" s="39">
        <v>45635</v>
      </c>
      <c r="D15" s="40">
        <v>0.116507</v>
      </c>
      <c r="E15" s="39">
        <v>45726</v>
      </c>
      <c r="F15" s="40">
        <v>0.10349999999999999</v>
      </c>
      <c r="G15" s="41">
        <v>45824</v>
      </c>
      <c r="H15" s="40">
        <v>0.121001</v>
      </c>
    </row>
    <row r="16" spans="3:12" x14ac:dyDescent="0.35">
      <c r="C16" s="39">
        <v>45643</v>
      </c>
      <c r="D16" s="40">
        <v>0.115691</v>
      </c>
      <c r="E16" s="39">
        <v>45733</v>
      </c>
      <c r="F16" s="40">
        <v>0.10749700000000001</v>
      </c>
      <c r="G16" s="41">
        <v>45831</v>
      </c>
      <c r="H16" s="40">
        <v>0.120891</v>
      </c>
    </row>
    <row r="17" spans="3:8" x14ac:dyDescent="0.35">
      <c r="C17" s="39">
        <v>45649</v>
      </c>
      <c r="D17" s="40">
        <v>0.114991</v>
      </c>
      <c r="E17" s="39">
        <v>45740</v>
      </c>
      <c r="F17" s="40">
        <v>0.10899800000000001</v>
      </c>
      <c r="G17" s="41">
        <v>45838</v>
      </c>
      <c r="H17" s="40">
        <v>0.12089900000000001</v>
      </c>
    </row>
    <row r="18" spans="3:8" x14ac:dyDescent="0.35">
      <c r="C18" s="42">
        <v>45656</v>
      </c>
      <c r="D18" s="43">
        <v>0.115</v>
      </c>
      <c r="E18" s="42"/>
      <c r="F18" s="43"/>
      <c r="G18" s="44"/>
      <c r="H18" s="43"/>
    </row>
    <row r="19" spans="3:8" x14ac:dyDescent="0.35">
      <c r="C19" s="7"/>
      <c r="D19" s="7"/>
      <c r="E19" s="7"/>
      <c r="F19" s="7"/>
      <c r="G19" s="7"/>
      <c r="H19" s="7"/>
    </row>
    <row r="20" spans="3:8" x14ac:dyDescent="0.35">
      <c r="C20" s="693" t="s">
        <v>60</v>
      </c>
      <c r="D20" s="694"/>
      <c r="E20" s="694"/>
      <c r="F20" s="45" t="s">
        <v>69</v>
      </c>
      <c r="G20" s="45" t="s">
        <v>70</v>
      </c>
      <c r="H20" s="46" t="s">
        <v>71</v>
      </c>
    </row>
    <row r="21" spans="3:8" x14ac:dyDescent="0.35">
      <c r="C21" s="684" t="s">
        <v>61</v>
      </c>
      <c r="D21" s="685"/>
      <c r="E21" s="685"/>
      <c r="F21" s="48">
        <f>AVERAGE(D6:D18)</f>
        <v>0.11640692307692306</v>
      </c>
      <c r="G21" s="48">
        <f>AVERAGE(F6:F18)</f>
        <v>0.10801441666666665</v>
      </c>
      <c r="H21" s="49">
        <f>AVERAGE(H6:H18)</f>
        <v>0.11725350000000001</v>
      </c>
    </row>
    <row r="22" spans="3:8" x14ac:dyDescent="0.35">
      <c r="C22" s="684" t="s">
        <v>62</v>
      </c>
      <c r="D22" s="685"/>
      <c r="E22" s="685"/>
      <c r="F22" s="50">
        <f>4*LN(1+(F21/4))</f>
        <v>0.11474526274611838</v>
      </c>
      <c r="G22" s="50">
        <f>4*LN(1+(G21/4))</f>
        <v>0.1065817614111661</v>
      </c>
      <c r="H22" s="47">
        <f>4*LN(1+(H21/4))</f>
        <v>0.11556781493560431</v>
      </c>
    </row>
    <row r="23" spans="3:8" x14ac:dyDescent="0.35">
      <c r="C23" s="684" t="s">
        <v>63</v>
      </c>
      <c r="D23" s="685"/>
      <c r="E23" s="685"/>
      <c r="F23" s="50">
        <f>F22/364</f>
        <v>3.15234238313512E-4</v>
      </c>
      <c r="G23" s="50">
        <f>G22/364</f>
        <v>2.9280703684386288E-4</v>
      </c>
      <c r="H23" s="47">
        <f>H22/364</f>
        <v>3.1749399707583603E-4</v>
      </c>
    </row>
    <row r="24" spans="3:8" x14ac:dyDescent="0.35">
      <c r="C24" s="686" t="s">
        <v>64</v>
      </c>
      <c r="D24" s="687"/>
      <c r="E24" s="687"/>
      <c r="F24" s="51">
        <f>F22/4</f>
        <v>2.8686315686529594E-2</v>
      </c>
      <c r="G24" s="51">
        <f>G22/4</f>
        <v>2.6645440352791525E-2</v>
      </c>
      <c r="H24" s="52">
        <f>H22/4</f>
        <v>2.8891953733901077E-2</v>
      </c>
    </row>
    <row r="25" spans="3:8" x14ac:dyDescent="0.35">
      <c r="C25" s="7"/>
      <c r="D25" s="7"/>
      <c r="E25" s="7"/>
      <c r="F25" s="7"/>
      <c r="G25" s="7"/>
      <c r="H25" s="7"/>
    </row>
    <row r="26" spans="3:8" x14ac:dyDescent="0.35">
      <c r="C26" s="7"/>
      <c r="D26" s="7"/>
      <c r="E26" s="7"/>
      <c r="F26" s="7"/>
      <c r="G26" s="7"/>
      <c r="H26" s="7"/>
    </row>
    <row r="27" spans="3:8" x14ac:dyDescent="0.35">
      <c r="C27" s="7"/>
      <c r="D27" s="7"/>
      <c r="E27" s="7"/>
      <c r="F27" s="7"/>
      <c r="G27" s="7"/>
      <c r="H27" s="7"/>
    </row>
    <row r="28" spans="3:8" x14ac:dyDescent="0.35">
      <c r="C28" s="7"/>
      <c r="D28" s="7"/>
      <c r="E28" s="7"/>
      <c r="F28" s="7"/>
      <c r="G28" s="7"/>
      <c r="H28" s="7"/>
    </row>
  </sheetData>
  <mergeCells count="9">
    <mergeCell ref="C21:E21"/>
    <mergeCell ref="C22:E22"/>
    <mergeCell ref="C23:E23"/>
    <mergeCell ref="C24:E24"/>
    <mergeCell ref="C2:H2"/>
    <mergeCell ref="C4:D4"/>
    <mergeCell ref="E4:F4"/>
    <mergeCell ref="G4:H4"/>
    <mergeCell ref="C20:E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3368-5CB2-4137-8B88-C92A8C921ABC}">
  <dimension ref="B1:H17"/>
  <sheetViews>
    <sheetView showGridLines="0" workbookViewId="0">
      <selection activeCell="J11" sqref="J11"/>
    </sheetView>
  </sheetViews>
  <sheetFormatPr defaultRowHeight="14.5" x14ac:dyDescent="0.35"/>
  <cols>
    <col min="1" max="1" width="5.90625" style="7" customWidth="1"/>
    <col min="2" max="2" width="19.81640625" style="7" customWidth="1"/>
    <col min="3" max="3" width="14.54296875" style="7" customWidth="1"/>
    <col min="4" max="4" width="8.7265625" style="7"/>
    <col min="5" max="5" width="25" style="7" customWidth="1"/>
    <col min="6" max="8" width="12.36328125" style="7" customWidth="1"/>
    <col min="9" max="9" width="21.36328125" style="7" customWidth="1"/>
    <col min="10" max="16384" width="8.7265625" style="7"/>
  </cols>
  <sheetData>
    <row r="1" spans="2:8" ht="15" thickBot="1" x14ac:dyDescent="0.4"/>
    <row r="2" spans="2:8" ht="22" thickTop="1" thickBot="1" x14ac:dyDescent="0.55000000000000004">
      <c r="B2" s="695" t="s">
        <v>93</v>
      </c>
      <c r="C2" s="695"/>
      <c r="D2" s="695"/>
      <c r="E2" s="695"/>
      <c r="F2" s="695"/>
      <c r="G2" s="695"/>
      <c r="H2" s="695"/>
    </row>
    <row r="3" spans="2:8" ht="15" thickTop="1" x14ac:dyDescent="0.35"/>
    <row r="4" spans="2:8" x14ac:dyDescent="0.35">
      <c r="B4" s="65" t="s">
        <v>78</v>
      </c>
      <c r="C4" s="68" t="s">
        <v>34</v>
      </c>
      <c r="E4" s="696" t="s">
        <v>80</v>
      </c>
      <c r="F4" s="696"/>
      <c r="G4" s="696"/>
      <c r="H4" s="696"/>
    </row>
    <row r="5" spans="2:8" x14ac:dyDescent="0.35">
      <c r="B5" s="66" t="s">
        <v>79</v>
      </c>
      <c r="C5" s="61">
        <f>Returns!L240</f>
        <v>61</v>
      </c>
      <c r="E5" s="69"/>
      <c r="F5" s="70" t="s">
        <v>82</v>
      </c>
      <c r="G5" s="70" t="s">
        <v>83</v>
      </c>
      <c r="H5" s="70" t="s">
        <v>84</v>
      </c>
    </row>
    <row r="6" spans="2:8" x14ac:dyDescent="0.35">
      <c r="B6" s="67" t="s">
        <v>81</v>
      </c>
      <c r="C6" s="61">
        <f>Returns!L301</f>
        <v>55</v>
      </c>
      <c r="E6" s="62" t="s">
        <v>85</v>
      </c>
      <c r="F6" s="63">
        <f>'91Day T-Bill'!F24</f>
        <v>2.8686315686529594E-2</v>
      </c>
      <c r="G6" s="63">
        <f>'91Day T-Bill'!G24</f>
        <v>2.6645440352791525E-2</v>
      </c>
      <c r="H6" s="63">
        <f>'91Day T-Bill'!H24</f>
        <v>2.8891953733901077E-2</v>
      </c>
    </row>
    <row r="7" spans="2:8" x14ac:dyDescent="0.35">
      <c r="B7" s="67" t="s">
        <v>77</v>
      </c>
      <c r="C7" s="61">
        <f>Returns!L356</f>
        <v>63</v>
      </c>
    </row>
    <row r="9" spans="2:8" x14ac:dyDescent="0.35">
      <c r="E9" s="71" t="s">
        <v>94</v>
      </c>
      <c r="F9" s="72" t="str">
        <f>B5</f>
        <v>Q1 2025</v>
      </c>
      <c r="G9" s="64" t="str">
        <f>B6</f>
        <v>Q2 2025</v>
      </c>
      <c r="H9" s="64" t="str">
        <f>B7</f>
        <v>Q3 2025</v>
      </c>
    </row>
    <row r="10" spans="2:8" x14ac:dyDescent="0.35">
      <c r="E10" s="73" t="s">
        <v>86</v>
      </c>
      <c r="F10" s="74">
        <f>SQRT(C5)</f>
        <v>7.810249675906654</v>
      </c>
      <c r="G10" s="74">
        <f>SQRT(C6)</f>
        <v>7.416198487095663</v>
      </c>
      <c r="H10" s="74">
        <f>SQRT(C7)</f>
        <v>7.9372539331937721</v>
      </c>
    </row>
    <row r="11" spans="2:8" x14ac:dyDescent="0.35">
      <c r="E11" s="73" t="s">
        <v>87</v>
      </c>
      <c r="F11" s="152">
        <f>'Forcast 2025Q1'!P7</f>
        <v>1.4489548967829705E-2</v>
      </c>
      <c r="G11" s="152">
        <f>'Forcast 2025Q2'!P7</f>
        <v>1.3984826170326316E-2</v>
      </c>
      <c r="H11" s="152">
        <f>'Forcast 2025Q3'!P7</f>
        <v>1.3584021828231745E-2</v>
      </c>
    </row>
    <row r="12" spans="2:8" x14ac:dyDescent="0.35">
      <c r="E12" s="73" t="s">
        <v>88</v>
      </c>
      <c r="F12" s="74">
        <f>F11*F10</f>
        <v>0.11316699513002555</v>
      </c>
      <c r="G12" s="74">
        <f>G11*G10</f>
        <v>0.10371424668666986</v>
      </c>
      <c r="H12" s="74">
        <f>H11*H10</f>
        <v>0.10781983068472248</v>
      </c>
    </row>
    <row r="13" spans="2:8" x14ac:dyDescent="0.35">
      <c r="E13" s="73" t="s">
        <v>89</v>
      </c>
      <c r="F13" s="74">
        <f>EXP(F12)</f>
        <v>1.1198189216414756</v>
      </c>
      <c r="G13" s="74">
        <f>EXP(G12)</f>
        <v>1.1092834282069912</v>
      </c>
      <c r="H13" s="74">
        <f>EXP(H12)</f>
        <v>1.113847046247451</v>
      </c>
    </row>
    <row r="14" spans="2:8" x14ac:dyDescent="0.35">
      <c r="E14" s="73" t="s">
        <v>90</v>
      </c>
      <c r="F14" s="74">
        <f>1/F13</f>
        <v>0.8930015207585168</v>
      </c>
      <c r="G14" s="74">
        <f>1/G13</f>
        <v>0.90148286233426089</v>
      </c>
      <c r="H14" s="74">
        <f>1/H13</f>
        <v>0.89778933594966959</v>
      </c>
    </row>
    <row r="15" spans="2:8" x14ac:dyDescent="0.35">
      <c r="E15" s="73" t="s">
        <v>91</v>
      </c>
      <c r="F15" s="74">
        <f>EXP(F6)</f>
        <v>1.0291017307692307</v>
      </c>
      <c r="G15" s="74">
        <f>EXP(G6)</f>
        <v>1.0270036041666666</v>
      </c>
      <c r="H15" s="74">
        <f>EXP(H6)</f>
        <v>1.0293133750000001</v>
      </c>
    </row>
    <row r="16" spans="2:8" x14ac:dyDescent="0.35">
      <c r="E16" s="73" t="s">
        <v>92</v>
      </c>
      <c r="F16" s="74">
        <f>(F15-F14)/(F13-F14)</f>
        <v>0.60004307200814677</v>
      </c>
      <c r="G16" s="74">
        <f>(G15-G14)/(G13-G14)</f>
        <v>0.60404427343707146</v>
      </c>
      <c r="H16" s="74">
        <f>(H15-H14)/(H13-H14)</f>
        <v>0.60874494536231805</v>
      </c>
    </row>
    <row r="17" spans="5:8" x14ac:dyDescent="0.35">
      <c r="E17" s="75" t="s">
        <v>100</v>
      </c>
      <c r="F17" s="76">
        <f>1-F16</f>
        <v>0.39995692799185323</v>
      </c>
      <c r="G17" s="76">
        <f>1-G16</f>
        <v>0.39595572656292854</v>
      </c>
      <c r="H17" s="76">
        <f>1-H16</f>
        <v>0.39125505463768195</v>
      </c>
    </row>
  </sheetData>
  <mergeCells count="2">
    <mergeCell ref="B2:H2"/>
    <mergeCell ref="E4:H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DBFA-ECC4-451B-B926-D59DF71AAFE2}">
  <dimension ref="B1:K51"/>
  <sheetViews>
    <sheetView showGridLines="0" zoomScale="62" workbookViewId="0">
      <selection activeCell="O14" sqref="O14"/>
    </sheetView>
  </sheetViews>
  <sheetFormatPr defaultRowHeight="14.5" x14ac:dyDescent="0.35"/>
  <cols>
    <col min="1" max="1" width="4.453125" style="7" customWidth="1"/>
    <col min="2" max="2" width="18.7265625" style="7" customWidth="1"/>
    <col min="3" max="3" width="18.1796875" style="7" customWidth="1"/>
    <col min="4" max="4" width="11.1796875" style="7" customWidth="1"/>
    <col min="5" max="5" width="11.1796875" style="7" bestFit="1" customWidth="1"/>
    <col min="6" max="6" width="11.26953125" style="7" customWidth="1"/>
    <col min="7" max="7" width="16.54296875" style="7" customWidth="1"/>
    <col min="8" max="8" width="12.26953125" style="7" customWidth="1"/>
    <col min="9" max="9" width="15.90625" style="7" customWidth="1"/>
    <col min="10" max="10" width="10.6328125" style="7" customWidth="1"/>
    <col min="11" max="11" width="17.90625" style="7" customWidth="1"/>
    <col min="12" max="16384" width="8.7265625" style="7"/>
  </cols>
  <sheetData>
    <row r="1" spans="2:11" ht="15" thickBot="1" x14ac:dyDescent="0.4"/>
    <row r="2" spans="2:11" ht="22" thickTop="1" thickBot="1" x14ac:dyDescent="0.55000000000000004">
      <c r="B2" s="695" t="s">
        <v>105</v>
      </c>
      <c r="C2" s="695"/>
      <c r="D2" s="695"/>
      <c r="E2" s="695"/>
      <c r="F2" s="695"/>
      <c r="G2" s="695"/>
      <c r="H2" s="695"/>
      <c r="I2" s="695"/>
      <c r="J2" s="695"/>
      <c r="K2" s="695"/>
    </row>
    <row r="3" spans="2:11" ht="15" thickTop="1" x14ac:dyDescent="0.35"/>
    <row r="4" spans="2:11" ht="29" x14ac:dyDescent="0.35">
      <c r="B4" s="525" t="s">
        <v>72</v>
      </c>
      <c r="C4" s="525" t="s">
        <v>95</v>
      </c>
      <c r="D4" s="525" t="s">
        <v>96</v>
      </c>
      <c r="E4" s="525" t="s">
        <v>97</v>
      </c>
      <c r="F4" s="525" t="s">
        <v>98</v>
      </c>
      <c r="G4" s="525" t="s">
        <v>99</v>
      </c>
      <c r="H4" s="525" t="s">
        <v>91</v>
      </c>
      <c r="I4" s="525" t="s">
        <v>92</v>
      </c>
      <c r="J4" s="525" t="s">
        <v>100</v>
      </c>
      <c r="K4" s="525" t="s">
        <v>101</v>
      </c>
    </row>
    <row r="5" spans="2:11" s="99" customFormat="1" x14ac:dyDescent="0.35">
      <c r="B5" s="94" t="str">
        <f>'Up &amp; Down Probability'!B5</f>
        <v>Q1 2025</v>
      </c>
      <c r="C5" s="95">
        <f>'Up &amp; Down Probability'!C5</f>
        <v>61</v>
      </c>
      <c r="D5" s="96">
        <f>'Up &amp; Down Probability'!F11</f>
        <v>1.4489548967829705E-2</v>
      </c>
      <c r="E5" s="97">
        <f>'Up &amp; Down Probability'!F13</f>
        <v>1.1198189216414756</v>
      </c>
      <c r="F5" s="97">
        <f>'Up &amp; Down Probability'!F14</f>
        <v>0.8930015207585168</v>
      </c>
      <c r="G5" s="98">
        <f>'Up &amp; Down Probability'!F6</f>
        <v>2.8686315686529594E-2</v>
      </c>
      <c r="H5" s="97">
        <f>'Up &amp; Down Probability'!F15</f>
        <v>1.0291017307692307</v>
      </c>
      <c r="I5" s="97">
        <f>'Up &amp; Down Probability'!F16</f>
        <v>0.60004307200814677</v>
      </c>
      <c r="J5" s="97">
        <f>'Up &amp; Down Probability'!F17</f>
        <v>0.39995692799185323</v>
      </c>
      <c r="K5" s="97">
        <f>$C$11^(-G5)</f>
        <v>0.97172123037570501</v>
      </c>
    </row>
    <row r="6" spans="2:11" s="99" customFormat="1" x14ac:dyDescent="0.35">
      <c r="B6" s="94" t="str">
        <f>'Up &amp; Down Probability'!B6</f>
        <v>Q2 2025</v>
      </c>
      <c r="C6" s="95">
        <f>'Up &amp; Down Probability'!C6</f>
        <v>55</v>
      </c>
      <c r="D6" s="96">
        <f>'Up &amp; Down Probability'!G11</f>
        <v>1.3984826170326316E-2</v>
      </c>
      <c r="E6" s="97">
        <f>'Up &amp; Down Probability'!G13</f>
        <v>1.1092834282069912</v>
      </c>
      <c r="F6" s="97">
        <f>'Up &amp; Down Probability'!G14</f>
        <v>0.90148286233426089</v>
      </c>
      <c r="G6" s="98">
        <f>'Up &amp; Down Probability'!G6</f>
        <v>2.6645440352791525E-2</v>
      </c>
      <c r="H6" s="97">
        <f>'Up &amp; Down Probability'!G15</f>
        <v>1.0270036041666666</v>
      </c>
      <c r="I6" s="97">
        <f>'Up &amp; Down Probability'!G16</f>
        <v>0.60404427343707146</v>
      </c>
      <c r="J6" s="97">
        <f>'Up &amp; Down Probability'!G17</f>
        <v>0.39595572656292854</v>
      </c>
      <c r="K6" s="97">
        <f t="shared" ref="K6" si="0">$C$11^(-G6)</f>
        <v>0.97370641733620966</v>
      </c>
    </row>
    <row r="7" spans="2:11" s="99" customFormat="1" x14ac:dyDescent="0.35">
      <c r="B7" s="100" t="str">
        <f>'Up &amp; Down Probability'!B7</f>
        <v>Q3 2025</v>
      </c>
      <c r="C7" s="101">
        <f>'Up &amp; Down Probability'!C7</f>
        <v>63</v>
      </c>
      <c r="D7" s="102">
        <f>'Up &amp; Down Probability'!H11</f>
        <v>1.3584021828231745E-2</v>
      </c>
      <c r="E7" s="103">
        <f>'Up &amp; Down Probability'!H13</f>
        <v>1.113847046247451</v>
      </c>
      <c r="F7" s="103">
        <f>'Up &amp; Down Probability'!H14</f>
        <v>0.89778933594966959</v>
      </c>
      <c r="G7" s="104">
        <f>'Up &amp; Down Probability'!H6</f>
        <v>2.8891953733901077E-2</v>
      </c>
      <c r="H7" s="103">
        <f>'Up &amp; Down Probability'!H15</f>
        <v>1.0293133750000001</v>
      </c>
      <c r="I7" s="103">
        <f>'Up &amp; Down Probability'!H16</f>
        <v>0.60874494536231805</v>
      </c>
      <c r="J7" s="103">
        <f>'Up &amp; Down Probability'!H17</f>
        <v>0.39125505463768195</v>
      </c>
      <c r="K7" s="103">
        <f>$C$11^(-G7)</f>
        <v>0.97152142806351771</v>
      </c>
    </row>
    <row r="9" spans="2:11" x14ac:dyDescent="0.35">
      <c r="B9" s="108" t="s">
        <v>102</v>
      </c>
      <c r="C9" s="144">
        <f>Assumptions!C4</f>
        <v>1000000</v>
      </c>
    </row>
    <row r="10" spans="2:11" x14ac:dyDescent="0.35">
      <c r="B10" s="92" t="s">
        <v>103</v>
      </c>
      <c r="C10" s="148">
        <f>Assumptions!C6</f>
        <v>1050000</v>
      </c>
    </row>
    <row r="11" spans="2:11" x14ac:dyDescent="0.35">
      <c r="B11" s="149" t="s">
        <v>104</v>
      </c>
      <c r="C11" s="253">
        <v>2.7182818279999998</v>
      </c>
    </row>
    <row r="12" spans="2:11" ht="15" thickBot="1" x14ac:dyDescent="0.4">
      <c r="B12" s="105"/>
      <c r="C12" s="105"/>
      <c r="E12" s="106"/>
      <c r="F12" s="106"/>
      <c r="G12" s="106"/>
      <c r="H12" s="106"/>
      <c r="I12" s="106"/>
      <c r="J12" s="106"/>
      <c r="K12" s="106"/>
    </row>
    <row r="13" spans="2:11" ht="16" thickTop="1" x14ac:dyDescent="0.35">
      <c r="B13" s="105"/>
      <c r="C13" s="105"/>
      <c r="D13" s="107"/>
      <c r="E13" s="133"/>
      <c r="F13" s="697" t="str">
        <f>B5</f>
        <v>Q1 2025</v>
      </c>
      <c r="G13" s="698"/>
      <c r="H13" s="699" t="str">
        <f>B6</f>
        <v>Q2 2025</v>
      </c>
      <c r="I13" s="700"/>
      <c r="J13" s="701" t="str">
        <f>B7</f>
        <v>Q3 2025</v>
      </c>
      <c r="K13" s="702"/>
    </row>
    <row r="14" spans="2:11" x14ac:dyDescent="0.35">
      <c r="B14" s="105"/>
      <c r="C14" s="105"/>
      <c r="D14" s="107"/>
      <c r="F14" s="108"/>
      <c r="G14" s="109"/>
      <c r="H14" s="92"/>
      <c r="I14" s="90"/>
      <c r="K14" s="107"/>
    </row>
    <row r="15" spans="2:11" x14ac:dyDescent="0.35">
      <c r="B15" s="105"/>
      <c r="C15" s="105"/>
      <c r="D15" s="107"/>
      <c r="F15" s="92"/>
      <c r="G15" s="90"/>
      <c r="H15" s="92"/>
      <c r="I15" s="90"/>
      <c r="K15" s="110">
        <f>I18*E7</f>
        <v>1383616.9829924889</v>
      </c>
    </row>
    <row r="16" spans="2:11" x14ac:dyDescent="0.35">
      <c r="B16" s="105"/>
      <c r="C16" s="105"/>
      <c r="D16" s="107"/>
      <c r="F16" s="92"/>
      <c r="G16" s="90"/>
      <c r="H16" s="92"/>
      <c r="I16" s="90"/>
      <c r="K16" s="111">
        <f>MAX(0,$C$10-K15)</f>
        <v>0</v>
      </c>
    </row>
    <row r="17" spans="4:11" x14ac:dyDescent="0.35">
      <c r="D17" s="107"/>
      <c r="F17" s="92"/>
      <c r="G17" s="90"/>
      <c r="H17" s="92"/>
      <c r="I17" s="90"/>
      <c r="K17" s="107"/>
    </row>
    <row r="18" spans="4:11" x14ac:dyDescent="0.35">
      <c r="D18" s="107"/>
      <c r="F18" s="92"/>
      <c r="G18" s="90"/>
      <c r="H18" s="92"/>
      <c r="I18" s="112">
        <f>G23*E6</f>
        <v>1242196.5723695119</v>
      </c>
      <c r="K18" s="107"/>
    </row>
    <row r="19" spans="4:11" x14ac:dyDescent="0.35">
      <c r="D19" s="107"/>
      <c r="F19" s="92"/>
      <c r="G19" s="90"/>
      <c r="H19" s="92"/>
      <c r="I19" s="113">
        <f>(K16*$I47+K21*$J$7)*$K47</f>
        <v>0</v>
      </c>
      <c r="K19" s="107"/>
    </row>
    <row r="20" spans="4:11" x14ac:dyDescent="0.35">
      <c r="D20" s="107"/>
      <c r="F20" s="92"/>
      <c r="G20" s="90"/>
      <c r="H20" s="92"/>
      <c r="I20" s="90"/>
      <c r="K20" s="114">
        <f>I18*F7</f>
        <v>1115230.8358265797</v>
      </c>
    </row>
    <row r="21" spans="4:11" x14ac:dyDescent="0.35">
      <c r="D21" s="107"/>
      <c r="F21" s="92"/>
      <c r="G21" s="90"/>
      <c r="H21" s="92"/>
      <c r="I21" s="90"/>
      <c r="K21" s="111">
        <f>MAX(0,$C$10-K20)</f>
        <v>0</v>
      </c>
    </row>
    <row r="22" spans="4:11" x14ac:dyDescent="0.35">
      <c r="D22" s="107"/>
      <c r="F22" s="92"/>
      <c r="G22" s="90"/>
      <c r="H22" s="92"/>
      <c r="I22" s="90"/>
      <c r="K22" s="107"/>
    </row>
    <row r="23" spans="4:11" x14ac:dyDescent="0.35">
      <c r="D23" s="107"/>
      <c r="F23" s="92"/>
      <c r="G23" s="112">
        <f>E33*E5</f>
        <v>1119818.9216414755</v>
      </c>
      <c r="H23" s="92"/>
      <c r="I23" s="90"/>
      <c r="K23" s="107"/>
    </row>
    <row r="24" spans="4:11" x14ac:dyDescent="0.35">
      <c r="D24" s="107"/>
      <c r="F24" s="92"/>
      <c r="G24" s="115">
        <f>(I19*$I$6+I29*$J$6)*$K$6</f>
        <v>21056.925562109729</v>
      </c>
      <c r="H24" s="92"/>
      <c r="I24" s="90"/>
      <c r="K24" s="107"/>
    </row>
    <row r="25" spans="4:11" x14ac:dyDescent="0.35">
      <c r="D25" s="107"/>
      <c r="F25" s="92"/>
      <c r="G25" s="90"/>
      <c r="H25" s="92"/>
      <c r="I25" s="90"/>
      <c r="K25" s="114">
        <f>I28*E7</f>
        <v>1124425.8829490214</v>
      </c>
    </row>
    <row r="26" spans="4:11" x14ac:dyDescent="0.35">
      <c r="D26" s="107"/>
      <c r="F26" s="92"/>
      <c r="G26" s="90"/>
      <c r="H26" s="92"/>
      <c r="I26" s="90"/>
      <c r="K26" s="111">
        <f>MAX(0,$C$10-K25)</f>
        <v>0</v>
      </c>
    </row>
    <row r="27" spans="4:11" x14ac:dyDescent="0.35">
      <c r="D27" s="107"/>
      <c r="F27" s="92"/>
      <c r="G27" s="90"/>
      <c r="H27" s="92"/>
      <c r="I27" s="90"/>
      <c r="K27" s="107"/>
    </row>
    <row r="28" spans="4:11" x14ac:dyDescent="0.35">
      <c r="D28" s="107"/>
      <c r="F28" s="92"/>
      <c r="G28" s="90"/>
      <c r="H28" s="92"/>
      <c r="I28" s="116">
        <f>G23*F6</f>
        <v>1009497.5667774228</v>
      </c>
      <c r="K28" s="107"/>
    </row>
    <row r="29" spans="4:11" x14ac:dyDescent="0.35">
      <c r="D29" s="107"/>
      <c r="F29" s="92"/>
      <c r="G29" s="90"/>
      <c r="H29" s="92"/>
      <c r="I29" s="115">
        <f>(K26*$I$7+K31*$J$7)*$K$7</f>
        <v>54616.051730272644</v>
      </c>
      <c r="K29" s="107"/>
    </row>
    <row r="30" spans="4:11" x14ac:dyDescent="0.35">
      <c r="D30" s="107"/>
      <c r="F30" s="92"/>
      <c r="G30" s="90"/>
      <c r="H30" s="92"/>
      <c r="I30" s="90"/>
      <c r="K30" s="114">
        <f>I28*F7</f>
        <v>906316.15011990967</v>
      </c>
    </row>
    <row r="31" spans="4:11" x14ac:dyDescent="0.35">
      <c r="D31" s="107"/>
      <c r="F31" s="92"/>
      <c r="G31" s="90"/>
      <c r="H31" s="92"/>
      <c r="I31" s="90"/>
      <c r="K31" s="117">
        <f>MAX(0,$C$10-K30)</f>
        <v>143683.84988009033</v>
      </c>
    </row>
    <row r="32" spans="4:11" x14ac:dyDescent="0.35">
      <c r="D32" s="107"/>
      <c r="F32" s="92"/>
      <c r="G32" s="90"/>
      <c r="H32" s="92"/>
      <c r="I32" s="90"/>
      <c r="K32" s="107"/>
    </row>
    <row r="33" spans="4:11" x14ac:dyDescent="0.35">
      <c r="D33" s="107"/>
      <c r="E33" s="118">
        <f>C9</f>
        <v>1000000</v>
      </c>
      <c r="F33" s="92"/>
      <c r="G33" s="90"/>
      <c r="H33" s="92"/>
      <c r="I33" s="90"/>
      <c r="K33" s="107"/>
    </row>
    <row r="34" spans="4:11" x14ac:dyDescent="0.35">
      <c r="D34" s="107"/>
      <c r="E34" s="119">
        <f>(G24*$I$5+G44*$J$5)*$K$5</f>
        <v>58463.595792066473</v>
      </c>
      <c r="F34" s="92"/>
      <c r="G34" s="90"/>
      <c r="H34" s="92"/>
      <c r="I34" s="90"/>
      <c r="K34" s="107"/>
    </row>
    <row r="35" spans="4:11" x14ac:dyDescent="0.35">
      <c r="D35" s="107"/>
      <c r="F35" s="92"/>
      <c r="G35" s="90"/>
      <c r="H35" s="92"/>
      <c r="I35" s="90"/>
      <c r="K35" s="114">
        <f>I38*E7</f>
        <v>1103367.7374806746</v>
      </c>
    </row>
    <row r="36" spans="4:11" x14ac:dyDescent="0.35">
      <c r="D36" s="107"/>
      <c r="F36" s="92"/>
      <c r="G36" s="90"/>
      <c r="H36" s="92"/>
      <c r="I36" s="90"/>
      <c r="K36" s="111">
        <f>MAX(0,$C$10-K35)</f>
        <v>0</v>
      </c>
    </row>
    <row r="37" spans="4:11" x14ac:dyDescent="0.35">
      <c r="D37" s="107"/>
      <c r="F37" s="92"/>
      <c r="G37" s="90"/>
      <c r="H37" s="92"/>
      <c r="I37" s="90"/>
      <c r="K37" s="107"/>
    </row>
    <row r="38" spans="4:11" x14ac:dyDescent="0.35">
      <c r="D38" s="107"/>
      <c r="F38" s="92"/>
      <c r="G38" s="90"/>
      <c r="H38" s="92"/>
      <c r="I38" s="116">
        <f>G43*E6</f>
        <v>990591.78834106424</v>
      </c>
      <c r="K38" s="107"/>
    </row>
    <row r="39" spans="4:11" x14ac:dyDescent="0.35">
      <c r="D39" s="107"/>
      <c r="F39" s="92"/>
      <c r="G39" s="90"/>
      <c r="H39" s="92"/>
      <c r="I39" s="115">
        <f>(K36*$I47+K41*$J$7)*$K$7</f>
        <v>61067.858495925924</v>
      </c>
      <c r="K39" s="107"/>
    </row>
    <row r="40" spans="4:11" x14ac:dyDescent="0.35">
      <c r="D40" s="107"/>
      <c r="F40" s="92"/>
      <c r="G40" s="90"/>
      <c r="H40" s="92"/>
      <c r="I40" s="90"/>
      <c r="K40" s="114">
        <f>I38*F7</f>
        <v>889342.74385191966</v>
      </c>
    </row>
    <row r="41" spans="4:11" x14ac:dyDescent="0.35">
      <c r="D41" s="107"/>
      <c r="F41" s="92"/>
      <c r="G41" s="90"/>
      <c r="H41" s="92"/>
      <c r="I41" s="90"/>
      <c r="K41" s="117">
        <f>MAX(0,$C$10-K40)</f>
        <v>160657.25614808034</v>
      </c>
    </row>
    <row r="42" spans="4:11" x14ac:dyDescent="0.35">
      <c r="D42" s="107"/>
      <c r="F42" s="92"/>
      <c r="G42" s="90"/>
      <c r="H42" s="92"/>
      <c r="I42" s="90"/>
      <c r="K42" s="107"/>
    </row>
    <row r="43" spans="4:11" x14ac:dyDescent="0.35">
      <c r="D43" s="107"/>
      <c r="F43" s="92"/>
      <c r="G43" s="112">
        <f>E33*F5</f>
        <v>893001.52075851685</v>
      </c>
      <c r="H43" s="92"/>
      <c r="I43" s="90"/>
      <c r="K43" s="107"/>
    </row>
    <row r="44" spans="4:11" x14ac:dyDescent="0.35">
      <c r="D44" s="107"/>
      <c r="F44" s="92"/>
      <c r="G44" s="115">
        <f>(I39*$I$6+I49*$J$6)*$K$6</f>
        <v>118837.60972368957</v>
      </c>
      <c r="H44" s="92"/>
      <c r="I44" s="90"/>
      <c r="K44" s="107"/>
    </row>
    <row r="45" spans="4:11" x14ac:dyDescent="0.35">
      <c r="D45" s="107"/>
      <c r="F45" s="92"/>
      <c r="G45" s="90"/>
      <c r="H45" s="92"/>
      <c r="I45" s="90"/>
      <c r="K45" s="114">
        <f>I48*E7</f>
        <v>896675.34995911969</v>
      </c>
    </row>
    <row r="46" spans="4:11" x14ac:dyDescent="0.35">
      <c r="D46" s="107"/>
      <c r="F46" s="92"/>
      <c r="G46" s="90"/>
      <c r="H46" s="92"/>
      <c r="I46" s="90"/>
      <c r="K46" s="117">
        <f>MAX(0,$C$10-K45)</f>
        <v>153324.65004088031</v>
      </c>
    </row>
    <row r="47" spans="4:11" x14ac:dyDescent="0.35">
      <c r="D47" s="107"/>
      <c r="F47" s="92"/>
      <c r="G47" s="90"/>
      <c r="H47" s="92"/>
      <c r="I47" s="90"/>
      <c r="K47" s="107"/>
    </row>
    <row r="48" spans="4:11" x14ac:dyDescent="0.35">
      <c r="D48" s="107"/>
      <c r="F48" s="92"/>
      <c r="G48" s="90"/>
      <c r="H48" s="92"/>
      <c r="I48" s="116">
        <f>G43*F6</f>
        <v>805025.56700223568</v>
      </c>
      <c r="K48" s="107"/>
    </row>
    <row r="49" spans="4:11" x14ac:dyDescent="0.35">
      <c r="D49" s="107"/>
      <c r="F49" s="92"/>
      <c r="G49" s="90"/>
      <c r="H49" s="92"/>
      <c r="I49" s="115">
        <f>(K46*$I$7+K51*$J$7)*$K$7</f>
        <v>215071.93246053002</v>
      </c>
      <c r="K49" s="107"/>
    </row>
    <row r="50" spans="4:11" x14ac:dyDescent="0.35">
      <c r="D50" s="107"/>
      <c r="F50" s="92"/>
      <c r="G50" s="90"/>
      <c r="H50" s="92"/>
      <c r="I50" s="90"/>
      <c r="K50" s="114">
        <f>I48*F7</f>
        <v>722743.36922144343</v>
      </c>
    </row>
    <row r="51" spans="4:11" ht="15" thickBot="1" x14ac:dyDescent="0.4">
      <c r="D51" s="107"/>
      <c r="E51" s="120"/>
      <c r="F51" s="93"/>
      <c r="G51" s="91"/>
      <c r="H51" s="93"/>
      <c r="I51" s="91"/>
      <c r="J51" s="87"/>
      <c r="K51" s="121">
        <f>MAX(0,$C$10-K50)</f>
        <v>327256.63077855657</v>
      </c>
    </row>
  </sheetData>
  <mergeCells count="4">
    <mergeCell ref="F13:G13"/>
    <mergeCell ref="H13:I13"/>
    <mergeCell ref="J13:K13"/>
    <mergeCell ref="B2:K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422F-8074-4B3F-B595-ABBBBB2C834A}">
  <dimension ref="B1:N44"/>
  <sheetViews>
    <sheetView showGridLines="0" zoomScale="72" workbookViewId="0">
      <selection activeCell="J9" sqref="J9"/>
    </sheetView>
  </sheetViews>
  <sheetFormatPr defaultRowHeight="14.5" x14ac:dyDescent="0.35"/>
  <cols>
    <col min="1" max="1" width="4.36328125" style="7" customWidth="1"/>
    <col min="2" max="2" width="17.6328125" style="7" customWidth="1"/>
    <col min="3" max="3" width="14.7265625" style="7" customWidth="1"/>
    <col min="4" max="4" width="12.7265625" style="7" bestFit="1" customWidth="1"/>
    <col min="5" max="5" width="8.90625" style="7" bestFit="1" customWidth="1"/>
    <col min="6" max="6" width="17.453125" style="7" customWidth="1"/>
    <col min="7" max="7" width="11" style="7" customWidth="1"/>
    <col min="8" max="8" width="15.1796875" style="7" customWidth="1"/>
    <col min="9" max="9" width="16.1796875" style="7" customWidth="1"/>
    <col min="10" max="10" width="8.7265625" style="7"/>
    <col min="11" max="11" width="16.81640625" style="7" customWidth="1"/>
    <col min="12" max="12" width="8.7265625" style="7"/>
    <col min="13" max="13" width="16.36328125" style="7" customWidth="1"/>
    <col min="14" max="16384" width="8.7265625" style="7"/>
  </cols>
  <sheetData>
    <row r="1" spans="2:14" ht="15" thickBot="1" x14ac:dyDescent="0.4"/>
    <row r="2" spans="2:14" ht="22" thickTop="1" thickBot="1" x14ac:dyDescent="0.55000000000000004">
      <c r="B2" s="680" t="s">
        <v>106</v>
      </c>
      <c r="C2" s="680"/>
      <c r="D2" s="680"/>
      <c r="E2" s="680"/>
      <c r="F2" s="680"/>
      <c r="G2" s="680"/>
      <c r="H2" s="680"/>
    </row>
    <row r="3" spans="2:14" ht="15" thickTop="1" x14ac:dyDescent="0.35">
      <c r="N3"/>
    </row>
    <row r="4" spans="2:14" ht="29" x14ac:dyDescent="0.35">
      <c r="B4" s="89" t="s">
        <v>72</v>
      </c>
      <c r="C4" s="89" t="s">
        <v>95</v>
      </c>
      <c r="D4" s="89" t="s">
        <v>96</v>
      </c>
      <c r="E4" s="89" t="s">
        <v>97</v>
      </c>
      <c r="F4" s="89" t="s">
        <v>98</v>
      </c>
      <c r="N4"/>
    </row>
    <row r="5" spans="2:14" x14ac:dyDescent="0.35">
      <c r="B5" s="126" t="str">
        <f>'Put Option Dynamics'!B5</f>
        <v>Q1 2025</v>
      </c>
      <c r="C5" s="95">
        <f>'Put Option Dynamics'!C5</f>
        <v>61</v>
      </c>
      <c r="D5" s="88">
        <f>'Put Option Dynamics'!D5</f>
        <v>1.4489548967829705E-2</v>
      </c>
      <c r="E5" s="129">
        <f>'Put Option Dynamics'!E5</f>
        <v>1.1198189216414756</v>
      </c>
      <c r="F5" s="130">
        <f>'Put Option Dynamics'!F5</f>
        <v>0.8930015207585168</v>
      </c>
      <c r="N5"/>
    </row>
    <row r="6" spans="2:14" x14ac:dyDescent="0.35">
      <c r="B6" s="126" t="str">
        <f>'Put Option Dynamics'!B6</f>
        <v>Q2 2025</v>
      </c>
      <c r="C6" s="95">
        <f>'Put Option Dynamics'!C6</f>
        <v>55</v>
      </c>
      <c r="D6" s="88">
        <f>'Put Option Dynamics'!D6</f>
        <v>1.3984826170326316E-2</v>
      </c>
      <c r="E6" s="129">
        <f>'Put Option Dynamics'!E6</f>
        <v>1.1092834282069912</v>
      </c>
      <c r="F6" s="130">
        <f>'Put Option Dynamics'!F6</f>
        <v>0.90148286233426089</v>
      </c>
      <c r="N6"/>
    </row>
    <row r="7" spans="2:14" x14ac:dyDescent="0.35">
      <c r="B7" s="127" t="str">
        <f>'Put Option Dynamics'!B7</f>
        <v>Q3 2025</v>
      </c>
      <c r="C7" s="101">
        <f>'Put Option Dynamics'!C7</f>
        <v>63</v>
      </c>
      <c r="D7" s="128">
        <f>'Put Option Dynamics'!D7</f>
        <v>1.3584021828231745E-2</v>
      </c>
      <c r="E7" s="131">
        <f>'Put Option Dynamics'!E7</f>
        <v>1.113847046247451</v>
      </c>
      <c r="F7" s="132">
        <f>'Put Option Dynamics'!F7</f>
        <v>0.89778933594966959</v>
      </c>
      <c r="N7"/>
    </row>
    <row r="8" spans="2:14" x14ac:dyDescent="0.35">
      <c r="N8"/>
    </row>
    <row r="9" spans="2:14" x14ac:dyDescent="0.35">
      <c r="B9" s="134" t="s">
        <v>102</v>
      </c>
      <c r="C9" s="147">
        <f>'Put Option Dynamics'!C9</f>
        <v>1000000</v>
      </c>
      <c r="N9"/>
    </row>
    <row r="10" spans="2:14" x14ac:dyDescent="0.35">
      <c r="N10"/>
    </row>
    <row r="11" spans="2:14" x14ac:dyDescent="0.35">
      <c r="N11"/>
    </row>
    <row r="12" spans="2:14" x14ac:dyDescent="0.35">
      <c r="N12"/>
    </row>
    <row r="13" spans="2:14" ht="15" thickBot="1" x14ac:dyDescent="0.4"/>
    <row r="14" spans="2:14" ht="15.5" x14ac:dyDescent="0.35">
      <c r="B14" s="125"/>
      <c r="C14" s="703" t="str">
        <f>B5</f>
        <v>Q1 2025</v>
      </c>
      <c r="D14" s="704"/>
      <c r="E14" s="703" t="str">
        <f>B6</f>
        <v>Q2 2025</v>
      </c>
      <c r="F14" s="704"/>
      <c r="G14" s="703" t="str">
        <f>B7</f>
        <v>Q3 2025</v>
      </c>
      <c r="H14" s="705"/>
    </row>
    <row r="15" spans="2:14" x14ac:dyDescent="0.35">
      <c r="B15" s="84"/>
      <c r="C15" s="92"/>
      <c r="D15" s="90"/>
      <c r="E15" s="92"/>
      <c r="F15" s="90"/>
      <c r="H15" s="85"/>
    </row>
    <row r="16" spans="2:14" x14ac:dyDescent="0.35">
      <c r="B16" s="84"/>
      <c r="C16" s="92"/>
      <c r="D16" s="90"/>
      <c r="E16" s="92"/>
      <c r="F16" s="90"/>
      <c r="H16" s="123">
        <f>F18*E7</f>
        <v>1383616.9829924889</v>
      </c>
    </row>
    <row r="17" spans="2:8" x14ac:dyDescent="0.35">
      <c r="B17" s="84"/>
      <c r="C17" s="92"/>
      <c r="D17" s="90"/>
      <c r="E17" s="92"/>
      <c r="F17" s="90"/>
      <c r="H17" s="85"/>
    </row>
    <row r="18" spans="2:8" x14ac:dyDescent="0.35">
      <c r="B18" s="84"/>
      <c r="C18" s="92"/>
      <c r="D18" s="90"/>
      <c r="E18" s="92"/>
      <c r="F18" s="116">
        <f>D22*E6</f>
        <v>1242196.5723695119</v>
      </c>
      <c r="H18" s="85"/>
    </row>
    <row r="19" spans="2:8" x14ac:dyDescent="0.35">
      <c r="B19" s="84"/>
      <c r="C19" s="92"/>
      <c r="D19" s="90"/>
      <c r="E19" s="92"/>
      <c r="F19" s="90"/>
      <c r="H19" s="85"/>
    </row>
    <row r="20" spans="2:8" x14ac:dyDescent="0.35">
      <c r="B20" s="84"/>
      <c r="C20" s="92"/>
      <c r="D20" s="90"/>
      <c r="E20" s="92"/>
      <c r="F20" s="90"/>
      <c r="H20" s="123">
        <f>F18*F7</f>
        <v>1115230.8358265797</v>
      </c>
    </row>
    <row r="21" spans="2:8" x14ac:dyDescent="0.35">
      <c r="B21" s="84"/>
      <c r="C21" s="92"/>
      <c r="D21" s="90"/>
      <c r="E21" s="92"/>
      <c r="F21" s="90"/>
      <c r="H21" s="85"/>
    </row>
    <row r="22" spans="2:8" x14ac:dyDescent="0.35">
      <c r="B22" s="84"/>
      <c r="C22" s="92"/>
      <c r="D22" s="116">
        <f>B30*E5</f>
        <v>1119818.9216414755</v>
      </c>
      <c r="E22" s="92"/>
      <c r="F22" s="90"/>
      <c r="H22" s="85"/>
    </row>
    <row r="23" spans="2:8" x14ac:dyDescent="0.35">
      <c r="B23" s="84"/>
      <c r="C23" s="92"/>
      <c r="D23" s="90"/>
      <c r="E23" s="92"/>
      <c r="F23" s="90"/>
      <c r="H23" s="85"/>
    </row>
    <row r="24" spans="2:8" x14ac:dyDescent="0.35">
      <c r="B24" s="84"/>
      <c r="C24" s="92"/>
      <c r="D24" s="90"/>
      <c r="E24" s="92"/>
      <c r="F24" s="90"/>
      <c r="H24" s="123">
        <f>F26*E7</f>
        <v>1124425.8829490214</v>
      </c>
    </row>
    <row r="25" spans="2:8" x14ac:dyDescent="0.35">
      <c r="B25" s="84"/>
      <c r="C25" s="92"/>
      <c r="D25" s="90"/>
      <c r="E25" s="92"/>
      <c r="F25" s="90"/>
      <c r="H25" s="85"/>
    </row>
    <row r="26" spans="2:8" x14ac:dyDescent="0.35">
      <c r="B26" s="84"/>
      <c r="C26" s="92"/>
      <c r="D26" s="90"/>
      <c r="E26" s="92"/>
      <c r="F26" s="116">
        <f>D22*F6</f>
        <v>1009497.5667774228</v>
      </c>
      <c r="H26" s="85"/>
    </row>
    <row r="27" spans="2:8" x14ac:dyDescent="0.35">
      <c r="B27" s="84"/>
      <c r="C27" s="92"/>
      <c r="D27" s="90"/>
      <c r="E27" s="92"/>
      <c r="F27" s="90"/>
      <c r="H27" s="85"/>
    </row>
    <row r="28" spans="2:8" x14ac:dyDescent="0.35">
      <c r="B28" s="84"/>
      <c r="C28" s="92"/>
      <c r="D28" s="90"/>
      <c r="E28" s="92"/>
      <c r="F28" s="90"/>
      <c r="H28" s="123">
        <f>F26*F7</f>
        <v>906316.15011990967</v>
      </c>
    </row>
    <row r="29" spans="2:8" x14ac:dyDescent="0.35">
      <c r="B29" s="84"/>
      <c r="C29" s="92"/>
      <c r="D29" s="90"/>
      <c r="E29" s="92"/>
      <c r="F29" s="90"/>
      <c r="H29" s="85"/>
    </row>
    <row r="30" spans="2:8" x14ac:dyDescent="0.35">
      <c r="B30" s="122">
        <f>C9</f>
        <v>1000000</v>
      </c>
      <c r="C30" s="92"/>
      <c r="D30" s="90"/>
      <c r="E30" s="92"/>
      <c r="F30" s="90"/>
      <c r="H30" s="85"/>
    </row>
    <row r="31" spans="2:8" x14ac:dyDescent="0.35">
      <c r="B31" s="84"/>
      <c r="C31" s="92"/>
      <c r="D31" s="90"/>
      <c r="E31" s="92"/>
      <c r="F31" s="90"/>
      <c r="H31" s="85"/>
    </row>
    <row r="32" spans="2:8" x14ac:dyDescent="0.35">
      <c r="B32" s="84"/>
      <c r="C32" s="92"/>
      <c r="D32" s="90"/>
      <c r="E32" s="92"/>
      <c r="F32" s="90"/>
      <c r="H32" s="123">
        <f>F34*E7</f>
        <v>1103367.7374806746</v>
      </c>
    </row>
    <row r="33" spans="2:8" x14ac:dyDescent="0.35">
      <c r="B33" s="84"/>
      <c r="C33" s="92"/>
      <c r="D33" s="90"/>
      <c r="E33" s="92"/>
      <c r="F33" s="90"/>
      <c r="H33" s="85"/>
    </row>
    <row r="34" spans="2:8" x14ac:dyDescent="0.35">
      <c r="B34" s="84"/>
      <c r="C34" s="92"/>
      <c r="D34" s="90"/>
      <c r="E34" s="92"/>
      <c r="F34" s="116">
        <f>D38*E6</f>
        <v>990591.78834106424</v>
      </c>
      <c r="H34" s="85"/>
    </row>
    <row r="35" spans="2:8" x14ac:dyDescent="0.35">
      <c r="B35" s="84"/>
      <c r="C35" s="92"/>
      <c r="D35" s="90"/>
      <c r="E35" s="92"/>
      <c r="F35" s="90"/>
      <c r="H35" s="85"/>
    </row>
    <row r="36" spans="2:8" x14ac:dyDescent="0.35">
      <c r="B36" s="84"/>
      <c r="C36" s="92"/>
      <c r="D36" s="90"/>
      <c r="E36" s="92"/>
      <c r="F36" s="90"/>
      <c r="H36" s="123">
        <f>F34*F7</f>
        <v>889342.74385191966</v>
      </c>
    </row>
    <row r="37" spans="2:8" x14ac:dyDescent="0.35">
      <c r="B37" s="84"/>
      <c r="C37" s="92"/>
      <c r="D37" s="90"/>
      <c r="E37" s="92"/>
      <c r="F37" s="90"/>
      <c r="H37" s="85"/>
    </row>
    <row r="38" spans="2:8" x14ac:dyDescent="0.35">
      <c r="B38" s="84"/>
      <c r="C38" s="92"/>
      <c r="D38" s="116">
        <f>B30*F5</f>
        <v>893001.52075851685</v>
      </c>
      <c r="E38" s="92"/>
      <c r="F38" s="90"/>
      <c r="H38" s="85"/>
    </row>
    <row r="39" spans="2:8" x14ac:dyDescent="0.35">
      <c r="B39" s="84"/>
      <c r="C39" s="92"/>
      <c r="D39" s="90"/>
      <c r="E39" s="92"/>
      <c r="F39" s="90"/>
      <c r="H39" s="85"/>
    </row>
    <row r="40" spans="2:8" x14ac:dyDescent="0.35">
      <c r="B40" s="84"/>
      <c r="C40" s="92"/>
      <c r="D40" s="90"/>
      <c r="E40" s="92"/>
      <c r="F40" s="90"/>
      <c r="H40" s="123">
        <f>F42*E7</f>
        <v>896675.34995911969</v>
      </c>
    </row>
    <row r="41" spans="2:8" x14ac:dyDescent="0.35">
      <c r="B41" s="84"/>
      <c r="C41" s="92"/>
      <c r="D41" s="90"/>
      <c r="E41" s="92"/>
      <c r="F41" s="90"/>
      <c r="H41" s="85"/>
    </row>
    <row r="42" spans="2:8" x14ac:dyDescent="0.35">
      <c r="B42" s="84"/>
      <c r="C42" s="92"/>
      <c r="D42" s="90"/>
      <c r="E42" s="92"/>
      <c r="F42" s="116">
        <f>D38*F6</f>
        <v>805025.56700223568</v>
      </c>
      <c r="H42" s="85"/>
    </row>
    <row r="43" spans="2:8" x14ac:dyDescent="0.35">
      <c r="B43" s="84"/>
      <c r="C43" s="92"/>
      <c r="D43" s="90"/>
      <c r="E43" s="92"/>
      <c r="F43" s="90"/>
      <c r="H43" s="85"/>
    </row>
    <row r="44" spans="2:8" ht="15" thickBot="1" x14ac:dyDescent="0.4">
      <c r="B44" s="86"/>
      <c r="C44" s="93"/>
      <c r="D44" s="91"/>
      <c r="E44" s="93"/>
      <c r="F44" s="91"/>
      <c r="G44" s="87"/>
      <c r="H44" s="124">
        <f>F42*F7</f>
        <v>722743.36922144343</v>
      </c>
    </row>
  </sheetData>
  <mergeCells count="4">
    <mergeCell ref="C14:D14"/>
    <mergeCell ref="E14:F14"/>
    <mergeCell ref="G14:H14"/>
    <mergeCell ref="B2:H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4338-FF7F-4091-A922-0DB8254F290F}">
  <dimension ref="C1:I34"/>
  <sheetViews>
    <sheetView showGridLines="0" topLeftCell="A3" zoomScale="75" workbookViewId="0">
      <selection activeCell="N14" sqref="N14"/>
    </sheetView>
  </sheetViews>
  <sheetFormatPr defaultRowHeight="14.5" x14ac:dyDescent="0.35"/>
  <cols>
    <col min="1" max="2" width="8.7265625" style="7"/>
    <col min="3" max="3" width="14" style="7" customWidth="1"/>
    <col min="4" max="4" width="8.7265625" style="7"/>
    <col min="5" max="5" width="13.7265625" style="7" customWidth="1"/>
    <col min="6" max="6" width="8.7265625" style="7" customWidth="1"/>
    <col min="7" max="7" width="14.26953125" style="7" customWidth="1"/>
    <col min="8" max="8" width="8.7265625" style="7"/>
    <col min="9" max="9" width="14.26953125" style="7" customWidth="1"/>
    <col min="10" max="16384" width="8.7265625" style="7"/>
  </cols>
  <sheetData>
    <row r="1" spans="3:9" ht="15" thickBot="1" x14ac:dyDescent="0.4"/>
    <row r="2" spans="3:9" ht="22" thickTop="1" thickBot="1" x14ac:dyDescent="0.55000000000000004">
      <c r="C2" s="680" t="s">
        <v>107</v>
      </c>
      <c r="D2" s="680"/>
      <c r="E2" s="680"/>
      <c r="F2" s="680"/>
      <c r="G2" s="680"/>
      <c r="H2" s="680"/>
      <c r="I2" s="680"/>
    </row>
    <row r="3" spans="3:9" ht="15.5" thickTop="1" thickBot="1" x14ac:dyDescent="0.4"/>
    <row r="4" spans="3:9" ht="15.5" x14ac:dyDescent="0.35">
      <c r="C4" s="125"/>
      <c r="D4" s="706" t="s">
        <v>79</v>
      </c>
      <c r="E4" s="707"/>
      <c r="F4" s="706" t="s">
        <v>81</v>
      </c>
      <c r="G4" s="707"/>
      <c r="H4" s="706" t="s">
        <v>77</v>
      </c>
      <c r="I4" s="708"/>
    </row>
    <row r="5" spans="3:9" x14ac:dyDescent="0.35">
      <c r="C5" s="84"/>
      <c r="I5" s="85"/>
    </row>
    <row r="6" spans="3:9" x14ac:dyDescent="0.35">
      <c r="C6" s="84"/>
      <c r="I6" s="123">
        <f>'Put Option Dynamics'!K15+'Put Option Dynamics'!K16</f>
        <v>1383616.9829924889</v>
      </c>
    </row>
    <row r="7" spans="3:9" x14ac:dyDescent="0.35">
      <c r="C7" s="84"/>
      <c r="I7" s="85"/>
    </row>
    <row r="8" spans="3:9" x14ac:dyDescent="0.35">
      <c r="C8" s="84"/>
      <c r="G8" s="116">
        <f>'Put Option Dynamics'!I18+'Put Option Dynamics'!I19</f>
        <v>1242196.5723695119</v>
      </c>
      <c r="I8" s="85"/>
    </row>
    <row r="9" spans="3:9" x14ac:dyDescent="0.35">
      <c r="C9" s="84"/>
      <c r="I9" s="85"/>
    </row>
    <row r="10" spans="3:9" x14ac:dyDescent="0.35">
      <c r="C10" s="84"/>
      <c r="I10" s="123">
        <f>'Put Option Dynamics'!K20+'Put Option Dynamics'!K21</f>
        <v>1115230.8358265797</v>
      </c>
    </row>
    <row r="11" spans="3:9" x14ac:dyDescent="0.35">
      <c r="C11" s="84"/>
      <c r="I11" s="85"/>
    </row>
    <row r="12" spans="3:9" x14ac:dyDescent="0.35">
      <c r="C12" s="84"/>
      <c r="E12" s="116">
        <f>'Put Option Dynamics'!G23+'Put Option Dynamics'!G24</f>
        <v>1140875.8472035853</v>
      </c>
      <c r="I12" s="85"/>
    </row>
    <row r="13" spans="3:9" x14ac:dyDescent="0.35">
      <c r="C13" s="84"/>
      <c r="I13" s="85"/>
    </row>
    <row r="14" spans="3:9" x14ac:dyDescent="0.35">
      <c r="C14" s="84"/>
      <c r="I14" s="123">
        <f>'Put Option Dynamics'!K25+'Put Option Dynamics'!K26</f>
        <v>1124425.8829490214</v>
      </c>
    </row>
    <row r="15" spans="3:9" x14ac:dyDescent="0.35">
      <c r="C15" s="84"/>
      <c r="I15" s="85"/>
    </row>
    <row r="16" spans="3:9" x14ac:dyDescent="0.35">
      <c r="C16" s="84"/>
      <c r="G16" s="116">
        <f>'Put Option Dynamics'!I28+'Put Option Dynamics'!I29</f>
        <v>1064113.6185076954</v>
      </c>
      <c r="I16" s="85"/>
    </row>
    <row r="17" spans="3:9" x14ac:dyDescent="0.35">
      <c r="C17" s="84"/>
      <c r="I17" s="85"/>
    </row>
    <row r="18" spans="3:9" x14ac:dyDescent="0.35">
      <c r="C18" s="84"/>
      <c r="I18" s="123">
        <f>'Put Option Dynamics'!K30+'Put Option Dynamics'!K31</f>
        <v>1050000</v>
      </c>
    </row>
    <row r="19" spans="3:9" x14ac:dyDescent="0.35">
      <c r="C19" s="151">
        <f>'Put Option Dynamics'!E33+'Put Option Dynamics'!E34</f>
        <v>1058463.5957920665</v>
      </c>
      <c r="I19" s="85"/>
    </row>
    <row r="20" spans="3:9" x14ac:dyDescent="0.35">
      <c r="C20" s="84"/>
      <c r="I20" s="85"/>
    </row>
    <row r="21" spans="3:9" x14ac:dyDescent="0.35">
      <c r="C21" s="84"/>
      <c r="I21" s="85"/>
    </row>
    <row r="22" spans="3:9" x14ac:dyDescent="0.35">
      <c r="C22" s="84"/>
      <c r="I22" s="123">
        <f>'Put Option Dynamics'!K35+'Put Option Dynamics'!K36</f>
        <v>1103367.7374806746</v>
      </c>
    </row>
    <row r="23" spans="3:9" x14ac:dyDescent="0.35">
      <c r="C23" s="84"/>
      <c r="I23" s="85"/>
    </row>
    <row r="24" spans="3:9" x14ac:dyDescent="0.35">
      <c r="C24" s="84"/>
      <c r="G24" s="116">
        <f>'Put Option Dynamics'!I38+'Put Option Dynamics'!I39</f>
        <v>1051659.6468369903</v>
      </c>
      <c r="I24" s="85"/>
    </row>
    <row r="25" spans="3:9" x14ac:dyDescent="0.35">
      <c r="C25" s="84"/>
      <c r="I25" s="85"/>
    </row>
    <row r="26" spans="3:9" x14ac:dyDescent="0.35">
      <c r="C26" s="84"/>
      <c r="I26" s="123">
        <f>'Put Option Dynamics'!K40+'Put Option Dynamics'!K41</f>
        <v>1050000</v>
      </c>
    </row>
    <row r="27" spans="3:9" x14ac:dyDescent="0.35">
      <c r="C27" s="84"/>
      <c r="I27" s="85"/>
    </row>
    <row r="28" spans="3:9" x14ac:dyDescent="0.35">
      <c r="C28" s="84"/>
      <c r="E28" s="165">
        <f>'Put Option Dynamics'!G43+'Put Option Dynamics'!G44</f>
        <v>1011839.1304822065</v>
      </c>
      <c r="I28" s="85"/>
    </row>
    <row r="29" spans="3:9" x14ac:dyDescent="0.35">
      <c r="C29" s="84"/>
      <c r="I29" s="85"/>
    </row>
    <row r="30" spans="3:9" x14ac:dyDescent="0.35">
      <c r="C30" s="84"/>
      <c r="I30" s="123">
        <f>'Put Option Dynamics'!K45+'Put Option Dynamics'!K46</f>
        <v>1050000</v>
      </c>
    </row>
    <row r="31" spans="3:9" x14ac:dyDescent="0.35">
      <c r="C31" s="84"/>
      <c r="E31" s="164" t="s">
        <v>109</v>
      </c>
      <c r="I31" s="85"/>
    </row>
    <row r="32" spans="3:9" x14ac:dyDescent="0.35">
      <c r="C32" s="84"/>
      <c r="G32" s="116">
        <f>'Put Option Dynamics'!I48+'Put Option Dynamics'!I49</f>
        <v>1020097.4994627656</v>
      </c>
      <c r="I32" s="85"/>
    </row>
    <row r="33" spans="3:9" x14ac:dyDescent="0.35">
      <c r="C33" s="84"/>
      <c r="G33"/>
      <c r="I33" s="85"/>
    </row>
    <row r="34" spans="3:9" ht="15" thickBot="1" x14ac:dyDescent="0.4">
      <c r="C34" s="86"/>
      <c r="D34" s="87"/>
      <c r="E34" s="87"/>
      <c r="F34" s="87"/>
      <c r="G34" s="87"/>
      <c r="H34" s="87"/>
      <c r="I34" s="124">
        <f>'Put Option Dynamics'!K50+'Put Option Dynamics'!K51</f>
        <v>1050000</v>
      </c>
    </row>
  </sheetData>
  <mergeCells count="4">
    <mergeCell ref="D4:E4"/>
    <mergeCell ref="F4:G4"/>
    <mergeCell ref="H4:I4"/>
    <mergeCell ref="C2:I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9D8B-F560-49A0-901B-2D78DAF7B384}">
  <dimension ref="B1:K50"/>
  <sheetViews>
    <sheetView showGridLines="0" topLeftCell="A9" zoomScale="60" workbookViewId="0">
      <selection activeCell="R45" sqref="R45"/>
    </sheetView>
  </sheetViews>
  <sheetFormatPr defaultRowHeight="14.5" x14ac:dyDescent="0.35"/>
  <cols>
    <col min="1" max="1" width="4" style="7" customWidth="1"/>
    <col min="2" max="2" width="19.81640625" style="7" customWidth="1"/>
    <col min="3" max="3" width="13.453125" style="7" customWidth="1"/>
    <col min="4" max="4" width="11.1796875" style="7" customWidth="1"/>
    <col min="5" max="5" width="10.36328125" style="7" customWidth="1"/>
    <col min="6" max="6" width="12.7265625" style="7" customWidth="1"/>
    <col min="7" max="7" width="12.81640625" style="7" customWidth="1"/>
    <col min="8" max="8" width="12.90625" style="7" customWidth="1"/>
    <col min="9" max="9" width="13.08984375" style="7" bestFit="1" customWidth="1"/>
    <col min="10" max="10" width="13.6328125" style="7" customWidth="1"/>
    <col min="11" max="11" width="16.6328125" style="7" customWidth="1"/>
    <col min="12" max="16384" width="8.7265625" style="7"/>
  </cols>
  <sheetData>
    <row r="1" spans="2:11" ht="15" thickBot="1" x14ac:dyDescent="0.4"/>
    <row r="2" spans="2:11" ht="22" thickTop="1" thickBot="1" x14ac:dyDescent="0.55000000000000004">
      <c r="B2" s="680" t="s">
        <v>108</v>
      </c>
      <c r="C2" s="680"/>
      <c r="D2" s="680"/>
      <c r="E2" s="680"/>
      <c r="F2" s="680"/>
      <c r="G2" s="680"/>
      <c r="H2" s="680"/>
      <c r="I2" s="680"/>
      <c r="J2" s="680"/>
      <c r="K2" s="680"/>
    </row>
    <row r="3" spans="2:11" ht="15" thickTop="1" x14ac:dyDescent="0.35"/>
    <row r="4" spans="2:11" ht="29" x14ac:dyDescent="0.35">
      <c r="B4" s="239" t="s">
        <v>72</v>
      </c>
      <c r="C4" s="240" t="s">
        <v>95</v>
      </c>
      <c r="D4" s="240" t="s">
        <v>96</v>
      </c>
      <c r="E4" s="240" t="s">
        <v>97</v>
      </c>
      <c r="F4" s="240" t="s">
        <v>98</v>
      </c>
      <c r="G4" s="240" t="s">
        <v>99</v>
      </c>
      <c r="H4" s="240" t="s">
        <v>91</v>
      </c>
      <c r="I4" s="240" t="s">
        <v>92</v>
      </c>
      <c r="J4" s="240" t="s">
        <v>100</v>
      </c>
      <c r="K4" s="241" t="s">
        <v>101</v>
      </c>
    </row>
    <row r="5" spans="2:11" s="99" customFormat="1" x14ac:dyDescent="0.35">
      <c r="B5" s="126" t="str">
        <f>'Put Option Dynamics'!B5</f>
        <v>Q1 2025</v>
      </c>
      <c r="C5" s="95">
        <f>'Put Option Dynamics'!C5</f>
        <v>61</v>
      </c>
      <c r="D5" s="96">
        <f>'Put Option Dynamics'!D5</f>
        <v>1.4489548967829705E-2</v>
      </c>
      <c r="E5" s="97">
        <f>'Put Option Dynamics'!E5</f>
        <v>1.1198189216414756</v>
      </c>
      <c r="F5" s="97">
        <f>'Put Option Dynamics'!F5</f>
        <v>0.8930015207585168</v>
      </c>
      <c r="G5" s="98">
        <f>'Put Option Dynamics'!G5</f>
        <v>2.8686315686529594E-2</v>
      </c>
      <c r="H5" s="97">
        <f>'Put Option Dynamics'!H5</f>
        <v>1.0291017307692307</v>
      </c>
      <c r="I5" s="97">
        <f>'Put Option Dynamics'!I5</f>
        <v>0.60004307200814677</v>
      </c>
      <c r="J5" s="97">
        <f>'Put Option Dynamics'!J5</f>
        <v>0.39995692799185323</v>
      </c>
      <c r="K5" s="97">
        <f>'Put Option Dynamics'!K5</f>
        <v>0.97172123037570501</v>
      </c>
    </row>
    <row r="6" spans="2:11" s="99" customFormat="1" x14ac:dyDescent="0.35">
      <c r="B6" s="126" t="str">
        <f>'Put Option Dynamics'!B6</f>
        <v>Q2 2025</v>
      </c>
      <c r="C6" s="95">
        <f>'Put Option Dynamics'!C6</f>
        <v>55</v>
      </c>
      <c r="D6" s="96">
        <f>'Put Option Dynamics'!D6</f>
        <v>1.3984826170326316E-2</v>
      </c>
      <c r="E6" s="97">
        <f>'Put Option Dynamics'!E6</f>
        <v>1.1092834282069912</v>
      </c>
      <c r="F6" s="97">
        <f>'Put Option Dynamics'!F6</f>
        <v>0.90148286233426089</v>
      </c>
      <c r="G6" s="98">
        <f>'Put Option Dynamics'!G6</f>
        <v>2.6645440352791525E-2</v>
      </c>
      <c r="H6" s="97">
        <f>'Put Option Dynamics'!H6</f>
        <v>1.0270036041666666</v>
      </c>
      <c r="I6" s="97">
        <f>'Put Option Dynamics'!I6</f>
        <v>0.60404427343707146</v>
      </c>
      <c r="J6" s="97">
        <f>'Put Option Dynamics'!J6</f>
        <v>0.39595572656292854</v>
      </c>
      <c r="K6" s="97">
        <f>'Put Option Dynamics'!K6</f>
        <v>0.97370641733620966</v>
      </c>
    </row>
    <row r="7" spans="2:11" s="99" customFormat="1" x14ac:dyDescent="0.35">
      <c r="B7" s="127" t="str">
        <f>'Put Option Dynamics'!B7</f>
        <v>Q3 2025</v>
      </c>
      <c r="C7" s="101">
        <f>'Put Option Dynamics'!C7</f>
        <v>63</v>
      </c>
      <c r="D7" s="102">
        <f>'Put Option Dynamics'!D7</f>
        <v>1.3584021828231745E-2</v>
      </c>
      <c r="E7" s="103">
        <f>'Put Option Dynamics'!E7</f>
        <v>1.113847046247451</v>
      </c>
      <c r="F7" s="103">
        <f>'Put Option Dynamics'!F7</f>
        <v>0.89778933594966959</v>
      </c>
      <c r="G7" s="104">
        <f>'Put Option Dynamics'!G7</f>
        <v>2.8891953733901077E-2</v>
      </c>
      <c r="H7" s="103">
        <f>'Put Option Dynamics'!H7</f>
        <v>1.0293133750000001</v>
      </c>
      <c r="I7" s="103">
        <f>'Put Option Dynamics'!I7</f>
        <v>0.60874494536231805</v>
      </c>
      <c r="J7" s="103">
        <f>'Put Option Dynamics'!J7</f>
        <v>0.39125505463768195</v>
      </c>
      <c r="K7" s="103">
        <f>'Put Option Dynamics'!K7</f>
        <v>0.97152142806351771</v>
      </c>
    </row>
    <row r="9" spans="2:11" x14ac:dyDescent="0.35">
      <c r="B9" s="143" t="s">
        <v>102</v>
      </c>
      <c r="C9" s="144">
        <f>'Put Option Dynamics'!C9</f>
        <v>1000000</v>
      </c>
    </row>
    <row r="10" spans="2:11" ht="15" thickBot="1" x14ac:dyDescent="0.4">
      <c r="B10" s="145" t="s">
        <v>103</v>
      </c>
      <c r="C10" s="146">
        <f>'Put Option Dynamics'!C10</f>
        <v>1050000</v>
      </c>
    </row>
    <row r="11" spans="2:11" ht="15.5" x14ac:dyDescent="0.35">
      <c r="E11" s="135"/>
      <c r="F11" s="709" t="str">
        <f>B5</f>
        <v>Q1 2025</v>
      </c>
      <c r="G11" s="710"/>
      <c r="H11" s="709" t="str">
        <f>B6</f>
        <v>Q2 2025</v>
      </c>
      <c r="I11" s="710"/>
      <c r="J11" s="709" t="str">
        <f>B7</f>
        <v>Q3 2025</v>
      </c>
      <c r="K11" s="711"/>
    </row>
    <row r="12" spans="2:11" x14ac:dyDescent="0.35">
      <c r="E12" s="84"/>
      <c r="K12" s="85"/>
    </row>
    <row r="13" spans="2:11" x14ac:dyDescent="0.35">
      <c r="E13" s="84"/>
      <c r="K13" s="85"/>
    </row>
    <row r="14" spans="2:11" x14ac:dyDescent="0.35">
      <c r="E14" s="84"/>
      <c r="K14" s="137">
        <f>I17*E7</f>
        <v>1383616.9829924889</v>
      </c>
    </row>
    <row r="15" spans="2:11" x14ac:dyDescent="0.35">
      <c r="E15" s="84"/>
      <c r="K15" s="142">
        <f>MAX(0,K14-$C$10)</f>
        <v>333616.98299248889</v>
      </c>
    </row>
    <row r="16" spans="2:11" x14ac:dyDescent="0.35">
      <c r="E16" s="84"/>
      <c r="K16" s="85"/>
    </row>
    <row r="17" spans="5:11" x14ac:dyDescent="0.35">
      <c r="E17" s="84"/>
      <c r="I17" s="112">
        <f>G21*E6</f>
        <v>1242196.5723695119</v>
      </c>
      <c r="K17" s="85"/>
    </row>
    <row r="18" spans="5:11" x14ac:dyDescent="0.35">
      <c r="E18" s="84"/>
      <c r="I18" s="115">
        <f>(K15*$I$7+K20*$J$7)*$K$7</f>
        <v>222099.07290887923</v>
      </c>
      <c r="K18" s="85"/>
    </row>
    <row r="19" spans="5:11" x14ac:dyDescent="0.35">
      <c r="E19" s="84"/>
      <c r="K19" s="137">
        <f>I17*F7</f>
        <v>1115230.8358265797</v>
      </c>
    </row>
    <row r="20" spans="5:11" x14ac:dyDescent="0.35">
      <c r="E20" s="84"/>
      <c r="K20" s="142">
        <f>MAX(0,K19-$C$10)</f>
        <v>65230.835826579714</v>
      </c>
    </row>
    <row r="21" spans="5:11" x14ac:dyDescent="0.35">
      <c r="E21" s="84"/>
      <c r="G21" s="112">
        <f>E31*E5</f>
        <v>1119818.9216414755</v>
      </c>
      <c r="K21" s="85"/>
    </row>
    <row r="22" spans="5:11" x14ac:dyDescent="0.35">
      <c r="E22" s="84"/>
      <c r="G22" s="115">
        <f>(I18*$I$6+I27*$J$6)*$K$6</f>
        <v>147600.36567474765</v>
      </c>
      <c r="K22" s="85"/>
    </row>
    <row r="23" spans="5:11" x14ac:dyDescent="0.35">
      <c r="E23" s="84"/>
      <c r="K23" s="85"/>
    </row>
    <row r="24" spans="5:11" x14ac:dyDescent="0.35">
      <c r="E24" s="84"/>
      <c r="K24" s="137">
        <f>I26*E7</f>
        <v>1124425.8829490214</v>
      </c>
    </row>
    <row r="25" spans="5:11" x14ac:dyDescent="0.35">
      <c r="E25" s="84"/>
      <c r="K25" s="142">
        <f>MAX(0,K24-$C$10)</f>
        <v>74425.882949021412</v>
      </c>
    </row>
    <row r="26" spans="5:11" x14ac:dyDescent="0.35">
      <c r="E26" s="84"/>
      <c r="I26" s="112">
        <f>G21*F6</f>
        <v>1009497.5667774228</v>
      </c>
      <c r="K26" s="85"/>
    </row>
    <row r="27" spans="5:11" x14ac:dyDescent="0.35">
      <c r="E27" s="84"/>
      <c r="I27" s="115">
        <f>(K25*$I$7+K30*$J$7)*$K$7</f>
        <v>44016.119045927459</v>
      </c>
      <c r="K27" s="85"/>
    </row>
    <row r="28" spans="5:11" x14ac:dyDescent="0.35">
      <c r="E28" s="84"/>
      <c r="K28" s="85"/>
    </row>
    <row r="29" spans="5:11" x14ac:dyDescent="0.35">
      <c r="E29" s="84"/>
      <c r="K29" s="137">
        <f>I26*F7</f>
        <v>906316.15011990967</v>
      </c>
    </row>
    <row r="30" spans="5:11" x14ac:dyDescent="0.35">
      <c r="E30" s="84"/>
      <c r="K30" s="141">
        <f>MAX(0,K29-$C$10)</f>
        <v>0</v>
      </c>
    </row>
    <row r="31" spans="5:11" x14ac:dyDescent="0.35">
      <c r="E31" s="136">
        <f>C9</f>
        <v>1000000</v>
      </c>
      <c r="K31" s="85"/>
    </row>
    <row r="32" spans="5:11" x14ac:dyDescent="0.35">
      <c r="E32" s="138">
        <f>(G22*$I$5+G42*$J$5)*$K$5</f>
        <v>93276.722782861209</v>
      </c>
      <c r="K32" s="85"/>
    </row>
    <row r="33" spans="5:11" x14ac:dyDescent="0.35">
      <c r="E33" s="84"/>
      <c r="K33" s="85"/>
    </row>
    <row r="34" spans="5:11" x14ac:dyDescent="0.35">
      <c r="E34" s="84"/>
      <c r="K34" s="137">
        <f>I37*E7</f>
        <v>1103367.7374806746</v>
      </c>
    </row>
    <row r="35" spans="5:11" x14ac:dyDescent="0.35">
      <c r="E35" s="84"/>
      <c r="K35" s="142">
        <f>MAX(0,K34-$C$10)</f>
        <v>53367.737480674637</v>
      </c>
    </row>
    <row r="36" spans="5:11" x14ac:dyDescent="0.35">
      <c r="E36" s="84"/>
      <c r="K36" s="85"/>
    </row>
    <row r="37" spans="5:11" x14ac:dyDescent="0.35">
      <c r="E37" s="84"/>
      <c r="I37" s="112">
        <f>G41*E6</f>
        <v>990591.78834106424</v>
      </c>
      <c r="K37" s="85"/>
    </row>
    <row r="38" spans="5:11" x14ac:dyDescent="0.35">
      <c r="E38" s="84"/>
      <c r="I38" s="115">
        <f>(K35*$I$7+K41*$J$7)*$K$7</f>
        <v>31562.147375129876</v>
      </c>
      <c r="K38" s="85"/>
    </row>
    <row r="39" spans="5:11" x14ac:dyDescent="0.35">
      <c r="E39" s="84"/>
      <c r="K39" s="137">
        <f>I37*F7</f>
        <v>889342.74385191966</v>
      </c>
    </row>
    <row r="40" spans="5:11" x14ac:dyDescent="0.35">
      <c r="E40" s="84"/>
      <c r="K40" s="141">
        <f>MAX(0,K39-$C$10)</f>
        <v>0</v>
      </c>
    </row>
    <row r="41" spans="5:11" x14ac:dyDescent="0.35">
      <c r="E41" s="84"/>
      <c r="G41" s="112">
        <f>E31*F5</f>
        <v>893001.52075851685</v>
      </c>
      <c r="K41" s="85"/>
    </row>
    <row r="42" spans="5:11" x14ac:dyDescent="0.35">
      <c r="E42" s="84"/>
      <c r="G42" s="115">
        <f>(I38*$I$6+I47*$J$6)*$K$6</f>
        <v>18563.648951241601</v>
      </c>
      <c r="K42" s="85"/>
    </row>
    <row r="43" spans="5:11" x14ac:dyDescent="0.35">
      <c r="E43" s="84"/>
      <c r="K43" s="85"/>
    </row>
    <row r="44" spans="5:11" x14ac:dyDescent="0.35">
      <c r="E44" s="84"/>
      <c r="K44" s="137">
        <f>I46*E7</f>
        <v>896675.34995911969</v>
      </c>
    </row>
    <row r="45" spans="5:11" x14ac:dyDescent="0.35">
      <c r="E45" s="84"/>
      <c r="K45" s="141">
        <f>MAX(0,K44-$C$10)</f>
        <v>0</v>
      </c>
    </row>
    <row r="46" spans="5:11" x14ac:dyDescent="0.35">
      <c r="E46" s="84"/>
      <c r="I46" s="112">
        <f>G41*F6</f>
        <v>805025.56700223568</v>
      </c>
      <c r="K46" s="85"/>
    </row>
    <row r="47" spans="5:11" x14ac:dyDescent="0.35">
      <c r="E47" s="84"/>
      <c r="I47" s="139">
        <f>(K45*$I$7+K50*$J$7)*$K$7</f>
        <v>0</v>
      </c>
      <c r="K47" s="85"/>
    </row>
    <row r="48" spans="5:11" x14ac:dyDescent="0.35">
      <c r="E48" s="84"/>
      <c r="K48" s="85"/>
    </row>
    <row r="49" spans="5:11" x14ac:dyDescent="0.35">
      <c r="E49" s="84"/>
      <c r="K49" s="137">
        <f>I46*F7</f>
        <v>722743.36922144343</v>
      </c>
    </row>
    <row r="50" spans="5:11" ht="15" thickBot="1" x14ac:dyDescent="0.4">
      <c r="E50" s="86"/>
      <c r="F50" s="87"/>
      <c r="G50" s="87"/>
      <c r="H50" s="87"/>
      <c r="I50" s="87"/>
      <c r="J50" s="87"/>
      <c r="K50" s="140">
        <f>MAX(0,K49-$C$10)</f>
        <v>0</v>
      </c>
    </row>
  </sheetData>
  <mergeCells count="4">
    <mergeCell ref="F11:G11"/>
    <mergeCell ref="H11:I11"/>
    <mergeCell ref="J11:K11"/>
    <mergeCell ref="B2:K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9461-1536-419D-A2A4-743C4BFA19C5}">
  <dimension ref="B1:K50"/>
  <sheetViews>
    <sheetView showGridLines="0" zoomScale="62" zoomScaleNormal="62" workbookViewId="0">
      <selection activeCell="P10" sqref="P10"/>
    </sheetView>
  </sheetViews>
  <sheetFormatPr defaultRowHeight="14.5" x14ac:dyDescent="0.35"/>
  <cols>
    <col min="1" max="1" width="4.81640625" style="7" customWidth="1"/>
    <col min="2" max="2" width="18.1796875" style="7" customWidth="1"/>
    <col min="3" max="3" width="11.90625" style="7" customWidth="1"/>
    <col min="4" max="4" width="11.54296875" style="7" customWidth="1"/>
    <col min="5" max="5" width="8.81640625" style="7" customWidth="1"/>
    <col min="6" max="6" width="13.54296875" style="7" bestFit="1" customWidth="1"/>
    <col min="7" max="7" width="11.54296875" style="7" customWidth="1"/>
    <col min="8" max="8" width="13.36328125" style="7" bestFit="1" customWidth="1"/>
    <col min="9" max="9" width="10.1796875" style="7" customWidth="1"/>
    <col min="10" max="10" width="14.36328125" style="7" customWidth="1"/>
    <col min="11" max="11" width="12.36328125" style="7" customWidth="1"/>
    <col min="12" max="16384" width="8.7265625" style="7"/>
  </cols>
  <sheetData>
    <row r="1" spans="2:11" ht="15" thickBot="1" x14ac:dyDescent="0.4"/>
    <row r="2" spans="2:11" ht="22" thickTop="1" thickBot="1" x14ac:dyDescent="0.55000000000000004">
      <c r="B2" s="680" t="s">
        <v>113</v>
      </c>
      <c r="C2" s="680"/>
      <c r="D2" s="680"/>
      <c r="E2" s="680"/>
      <c r="F2" s="680"/>
      <c r="G2" s="680"/>
      <c r="H2" s="680"/>
      <c r="I2" s="680"/>
      <c r="J2" s="680"/>
      <c r="K2" s="680"/>
    </row>
    <row r="3" spans="2:11" ht="15" thickTop="1" x14ac:dyDescent="0.35"/>
    <row r="4" spans="2:11" ht="43.5" x14ac:dyDescent="0.35">
      <c r="B4" s="89" t="s">
        <v>72</v>
      </c>
      <c r="C4" s="89" t="s">
        <v>95</v>
      </c>
      <c r="D4" s="89" t="s">
        <v>96</v>
      </c>
      <c r="E4" s="89" t="s">
        <v>97</v>
      </c>
      <c r="F4" s="89" t="s">
        <v>98</v>
      </c>
      <c r="G4" s="89" t="s">
        <v>110</v>
      </c>
      <c r="H4" s="89" t="s">
        <v>91</v>
      </c>
      <c r="I4" s="89" t="s">
        <v>92</v>
      </c>
      <c r="J4" s="89" t="s">
        <v>100</v>
      </c>
      <c r="K4" s="89" t="s">
        <v>111</v>
      </c>
    </row>
    <row r="5" spans="2:11" s="99" customFormat="1" x14ac:dyDescent="0.35">
      <c r="B5" s="94" t="str">
        <f>'Call Option Dynamics'!B5</f>
        <v>Q1 2025</v>
      </c>
      <c r="C5" s="95">
        <f>'Call Option Dynamics'!C5</f>
        <v>61</v>
      </c>
      <c r="D5" s="96">
        <f>'Call Option Dynamics'!D5</f>
        <v>1.4489548967829705E-2</v>
      </c>
      <c r="E5" s="97">
        <f>'Call Option Dynamics'!E5</f>
        <v>1.1198189216414756</v>
      </c>
      <c r="F5" s="97">
        <f>'Call Option Dynamics'!F5</f>
        <v>0.8930015207585168</v>
      </c>
      <c r="G5" s="97">
        <f>'Call Option Dynamics'!G5</f>
        <v>2.8686315686529594E-2</v>
      </c>
      <c r="H5" s="97">
        <f>'Call Option Dynamics'!H5</f>
        <v>1.0291017307692307</v>
      </c>
      <c r="I5" s="97">
        <f>'Call Option Dynamics'!I5</f>
        <v>0.60004307200814677</v>
      </c>
      <c r="J5" s="97">
        <f>'Call Option Dynamics'!J5</f>
        <v>0.39995692799185323</v>
      </c>
      <c r="K5" s="97">
        <f>'Call Option Dynamics'!K5</f>
        <v>0.97172123037570501</v>
      </c>
    </row>
    <row r="6" spans="2:11" s="99" customFormat="1" x14ac:dyDescent="0.35">
      <c r="B6" s="94" t="str">
        <f>'Call Option Dynamics'!B6</f>
        <v>Q2 2025</v>
      </c>
      <c r="C6" s="95">
        <f>'Call Option Dynamics'!C6</f>
        <v>55</v>
      </c>
      <c r="D6" s="96">
        <f>'Call Option Dynamics'!D6</f>
        <v>1.3984826170326316E-2</v>
      </c>
      <c r="E6" s="97">
        <f>'Call Option Dynamics'!E6</f>
        <v>1.1092834282069912</v>
      </c>
      <c r="F6" s="97">
        <f>'Call Option Dynamics'!F6</f>
        <v>0.90148286233426089</v>
      </c>
      <c r="G6" s="97">
        <f>'Call Option Dynamics'!G6</f>
        <v>2.6645440352791525E-2</v>
      </c>
      <c r="H6" s="97">
        <f>'Call Option Dynamics'!H6</f>
        <v>1.0270036041666666</v>
      </c>
      <c r="I6" s="97">
        <f>'Call Option Dynamics'!I6</f>
        <v>0.60404427343707146</v>
      </c>
      <c r="J6" s="97">
        <f>'Call Option Dynamics'!J6</f>
        <v>0.39595572656292854</v>
      </c>
      <c r="K6" s="97">
        <f>'Call Option Dynamics'!K6</f>
        <v>0.97370641733620966</v>
      </c>
    </row>
    <row r="7" spans="2:11" s="99" customFormat="1" x14ac:dyDescent="0.35">
      <c r="B7" s="100" t="str">
        <f>'Call Option Dynamics'!B7</f>
        <v>Q3 2025</v>
      </c>
      <c r="C7" s="101">
        <f>'Call Option Dynamics'!C7</f>
        <v>63</v>
      </c>
      <c r="D7" s="102">
        <f>'Call Option Dynamics'!D7</f>
        <v>1.3584021828231745E-2</v>
      </c>
      <c r="E7" s="103">
        <f>'Call Option Dynamics'!E7</f>
        <v>1.113847046247451</v>
      </c>
      <c r="F7" s="103">
        <f>'Call Option Dynamics'!F7</f>
        <v>0.89778933594966959</v>
      </c>
      <c r="G7" s="103">
        <f>'Call Option Dynamics'!G7</f>
        <v>2.8891953733901077E-2</v>
      </c>
      <c r="H7" s="103">
        <f>'Call Option Dynamics'!H7</f>
        <v>1.0293133750000001</v>
      </c>
      <c r="I7" s="103">
        <f>'Call Option Dynamics'!I7</f>
        <v>0.60874494536231805</v>
      </c>
      <c r="J7" s="103">
        <f>'Call Option Dynamics'!J7</f>
        <v>0.39125505463768195</v>
      </c>
      <c r="K7" s="103">
        <f>'Call Option Dynamics'!K7</f>
        <v>0.97152142806351771</v>
      </c>
    </row>
    <row r="9" spans="2:11" x14ac:dyDescent="0.35">
      <c r="B9" s="143" t="s">
        <v>102</v>
      </c>
      <c r="C9" s="144">
        <f>'Call Option Dynamics'!C9</f>
        <v>1000000</v>
      </c>
    </row>
    <row r="10" spans="2:11" x14ac:dyDescent="0.35">
      <c r="B10" s="145" t="s">
        <v>103</v>
      </c>
      <c r="C10" s="146">
        <f>'Call Option Dynamics'!C10</f>
        <v>1050000</v>
      </c>
    </row>
    <row r="12" spans="2:11" ht="15" thickBot="1" x14ac:dyDescent="0.4"/>
    <row r="13" spans="2:11" ht="15.5" x14ac:dyDescent="0.35">
      <c r="D13" s="135"/>
      <c r="E13" s="706" t="str">
        <f>B5</f>
        <v>Q1 2025</v>
      </c>
      <c r="F13" s="707"/>
      <c r="G13" s="706" t="str">
        <f>B6</f>
        <v>Q2 2025</v>
      </c>
      <c r="H13" s="707"/>
      <c r="I13" s="704" t="str">
        <f>B7</f>
        <v>Q3 2025</v>
      </c>
      <c r="J13" s="708"/>
    </row>
    <row r="14" spans="2:11" x14ac:dyDescent="0.35">
      <c r="D14" s="84"/>
      <c r="E14" s="92"/>
      <c r="F14" s="90"/>
      <c r="G14" s="92"/>
      <c r="H14" s="90"/>
      <c r="J14" s="123">
        <f>'100% Equity Portfolio'!H16</f>
        <v>1383616.9829924889</v>
      </c>
    </row>
    <row r="15" spans="2:11" x14ac:dyDescent="0.35">
      <c r="D15" s="84"/>
      <c r="E15" s="92"/>
      <c r="F15" s="90"/>
      <c r="G15" s="92"/>
      <c r="H15" s="90"/>
      <c r="J15" s="155" t="s">
        <v>112</v>
      </c>
    </row>
    <row r="16" spans="2:11" x14ac:dyDescent="0.35">
      <c r="D16" s="84"/>
      <c r="E16" s="92"/>
      <c r="F16" s="90"/>
      <c r="G16" s="92"/>
      <c r="H16" s="116">
        <f>'100% Equity Portfolio'!F18</f>
        <v>1242196.5723695119</v>
      </c>
      <c r="J16" s="85"/>
    </row>
    <row r="17" spans="4:10" x14ac:dyDescent="0.35">
      <c r="D17" s="84"/>
      <c r="E17" s="92"/>
      <c r="F17" s="90"/>
      <c r="G17" s="92"/>
      <c r="H17" s="154">
        <f>('Call Option Dynamics'!K15-'Call Option Dynamics'!K20)/('Call Option Dynamics'!K14-'Call Option Dynamics'!K19)</f>
        <v>1</v>
      </c>
      <c r="J17" s="85"/>
    </row>
    <row r="18" spans="4:10" x14ac:dyDescent="0.35">
      <c r="D18" s="84"/>
      <c r="E18" s="92"/>
      <c r="F18" s="90"/>
      <c r="G18" s="92"/>
      <c r="H18" s="90"/>
      <c r="J18" s="85"/>
    </row>
    <row r="19" spans="4:10" x14ac:dyDescent="0.35">
      <c r="D19" s="84"/>
      <c r="E19" s="92"/>
      <c r="F19" s="90"/>
      <c r="G19" s="92"/>
      <c r="H19" s="90"/>
      <c r="J19" s="123">
        <f>'100% Equity Portfolio'!H20</f>
        <v>1115230.8358265797</v>
      </c>
    </row>
    <row r="20" spans="4:10" x14ac:dyDescent="0.35">
      <c r="D20" s="84"/>
      <c r="E20" s="92"/>
      <c r="F20" s="116">
        <f>'100% Equity Portfolio'!D22</f>
        <v>1119818.9216414755</v>
      </c>
      <c r="G20" s="92"/>
      <c r="H20" s="90"/>
      <c r="J20" s="155" t="s">
        <v>112</v>
      </c>
    </row>
    <row r="21" spans="4:10" x14ac:dyDescent="0.35">
      <c r="D21" s="84"/>
      <c r="E21" s="92"/>
      <c r="F21" s="154">
        <f>('Call Option Dynamics'!I18-'Call Option Dynamics'!I27)/('Call Option Dynamics'!I17-'Call Option Dynamics'!I26)</f>
        <v>0.76529314515044877</v>
      </c>
      <c r="G21" s="92"/>
      <c r="H21" s="90"/>
      <c r="J21" s="85"/>
    </row>
    <row r="22" spans="4:10" x14ac:dyDescent="0.35">
      <c r="D22" s="84"/>
      <c r="E22" s="92"/>
      <c r="F22" s="90"/>
      <c r="G22" s="92"/>
      <c r="H22" s="90"/>
      <c r="J22" s="85"/>
    </row>
    <row r="23" spans="4:10" x14ac:dyDescent="0.35">
      <c r="D23" s="84"/>
      <c r="E23" s="92"/>
      <c r="F23" s="90"/>
      <c r="G23" s="92"/>
      <c r="H23" s="90"/>
      <c r="J23" s="85"/>
    </row>
    <row r="24" spans="4:10" x14ac:dyDescent="0.35">
      <c r="D24" s="84"/>
      <c r="E24" s="92"/>
      <c r="F24" s="90"/>
      <c r="G24" s="92"/>
      <c r="H24" s="90"/>
      <c r="J24" s="123">
        <f>'100% Equity Portfolio'!H24</f>
        <v>1124425.8829490214</v>
      </c>
    </row>
    <row r="25" spans="4:10" x14ac:dyDescent="0.35">
      <c r="D25" s="84"/>
      <c r="E25" s="92"/>
      <c r="F25" s="90"/>
      <c r="G25" s="92"/>
      <c r="H25" s="90"/>
      <c r="J25" s="155" t="s">
        <v>112</v>
      </c>
    </row>
    <row r="26" spans="4:10" x14ac:dyDescent="0.35">
      <c r="D26" s="84"/>
      <c r="E26" s="92"/>
      <c r="F26" s="90"/>
      <c r="G26" s="92"/>
      <c r="H26" s="116">
        <f>'100% Equity Portfolio'!F26</f>
        <v>1009497.5667774228</v>
      </c>
      <c r="J26" s="85"/>
    </row>
    <row r="27" spans="4:10" x14ac:dyDescent="0.35">
      <c r="D27" s="84"/>
      <c r="E27" s="92"/>
      <c r="F27" s="90"/>
      <c r="G27" s="92"/>
      <c r="H27" s="154">
        <f>('Call Option Dynamics'!K25-'Call Option Dynamics'!K30)/('Call Option Dynamics'!K24-'Call Option Dynamics'!K29)</f>
        <v>0.34123137002480236</v>
      </c>
      <c r="J27" s="85"/>
    </row>
    <row r="28" spans="4:10" x14ac:dyDescent="0.35">
      <c r="D28" s="84"/>
      <c r="E28" s="92"/>
      <c r="F28" s="90"/>
      <c r="G28" s="92"/>
      <c r="H28" s="90"/>
      <c r="J28" s="85"/>
    </row>
    <row r="29" spans="4:10" x14ac:dyDescent="0.35">
      <c r="D29" s="84"/>
      <c r="E29" s="92"/>
      <c r="F29" s="90"/>
      <c r="G29" s="92"/>
      <c r="H29" s="90"/>
      <c r="J29" s="123">
        <f>'100% Equity Portfolio'!H28</f>
        <v>906316.15011990967</v>
      </c>
    </row>
    <row r="30" spans="4:10" x14ac:dyDescent="0.35">
      <c r="D30" s="84"/>
      <c r="E30" s="92"/>
      <c r="F30" s="90"/>
      <c r="G30" s="92"/>
      <c r="H30" s="90"/>
      <c r="J30" s="155" t="s">
        <v>112</v>
      </c>
    </row>
    <row r="31" spans="4:10" x14ac:dyDescent="0.35">
      <c r="D31" s="122">
        <f>'100% Equity Portfolio'!B30</f>
        <v>1000000</v>
      </c>
      <c r="E31" s="92"/>
      <c r="F31" s="90"/>
      <c r="G31" s="92"/>
      <c r="H31" s="90"/>
      <c r="J31" s="85"/>
    </row>
    <row r="32" spans="4:10" x14ac:dyDescent="0.35">
      <c r="D32" s="636">
        <f>('Call Option Dynamics'!G22-'Call Option Dynamics'!G42)/('Call Option Dynamics'!G21-'Call Option Dynamics'!G41)</f>
        <v>0.56890131101577612</v>
      </c>
      <c r="E32" s="92"/>
      <c r="F32" s="90"/>
      <c r="G32" s="92"/>
      <c r="H32" s="90"/>
      <c r="J32" s="85"/>
    </row>
    <row r="33" spans="4:10" x14ac:dyDescent="0.35">
      <c r="D33" s="84"/>
      <c r="E33" s="92"/>
      <c r="F33" s="90"/>
      <c r="G33" s="92"/>
      <c r="H33" s="90"/>
      <c r="J33" s="85"/>
    </row>
    <row r="34" spans="4:10" x14ac:dyDescent="0.35">
      <c r="D34" s="84"/>
      <c r="E34" s="92"/>
      <c r="F34" s="90"/>
      <c r="G34" s="92"/>
      <c r="H34" s="90"/>
      <c r="J34" s="123">
        <f>'100% Equity Portfolio'!H32</f>
        <v>1103367.7374806746</v>
      </c>
    </row>
    <row r="35" spans="4:10" x14ac:dyDescent="0.35">
      <c r="D35" s="84"/>
      <c r="E35" s="92"/>
      <c r="F35" s="90"/>
      <c r="G35" s="92"/>
      <c r="H35" s="90"/>
      <c r="J35" s="155" t="s">
        <v>112</v>
      </c>
    </row>
    <row r="36" spans="4:10" x14ac:dyDescent="0.35">
      <c r="D36" s="84"/>
      <c r="E36" s="92"/>
      <c r="F36" s="90"/>
      <c r="G36" s="92"/>
      <c r="H36" s="90"/>
      <c r="J36" s="85"/>
    </row>
    <row r="37" spans="4:10" x14ac:dyDescent="0.35">
      <c r="D37" s="84"/>
      <c r="E37" s="92"/>
      <c r="F37" s="90"/>
      <c r="G37" s="92"/>
      <c r="H37" s="116">
        <f>'100% Equity Portfolio'!F34</f>
        <v>990591.78834106424</v>
      </c>
      <c r="J37" s="85"/>
    </row>
    <row r="38" spans="4:10" x14ac:dyDescent="0.35">
      <c r="D38" s="84"/>
      <c r="E38" s="92"/>
      <c r="F38" s="90"/>
      <c r="G38" s="92"/>
      <c r="H38" s="154">
        <f>('Call Option Dynamics'!K35-'Call Option Dynamics'!K40)/('Call Option Dynamics'!K34-'Call Option Dynamics'!K39)</f>
        <v>0.24935282826474758</v>
      </c>
      <c r="J38" s="85"/>
    </row>
    <row r="39" spans="4:10" x14ac:dyDescent="0.35">
      <c r="D39" s="84"/>
      <c r="E39" s="92"/>
      <c r="F39" s="90"/>
      <c r="G39" s="92"/>
      <c r="H39" s="90"/>
      <c r="J39" s="123">
        <f>'100% Equity Portfolio'!H36</f>
        <v>889342.74385191966</v>
      </c>
    </row>
    <row r="40" spans="4:10" x14ac:dyDescent="0.35">
      <c r="D40" s="84"/>
      <c r="E40" s="92"/>
      <c r="F40" s="90"/>
      <c r="G40" s="92"/>
      <c r="H40" s="90"/>
      <c r="J40" s="155" t="s">
        <v>112</v>
      </c>
    </row>
    <row r="41" spans="4:10" x14ac:dyDescent="0.35">
      <c r="D41" s="84"/>
      <c r="E41" s="92"/>
      <c r="F41" s="90"/>
      <c r="G41" s="92"/>
      <c r="H41" s="90"/>
      <c r="J41" s="85"/>
    </row>
    <row r="42" spans="4:10" x14ac:dyDescent="0.35">
      <c r="D42" s="84"/>
      <c r="E42" s="92"/>
      <c r="F42" s="116">
        <f>'100% Equity Portfolio'!D38</f>
        <v>893001.52075851685</v>
      </c>
      <c r="G42" s="92"/>
      <c r="H42" s="90"/>
      <c r="J42" s="85"/>
    </row>
    <row r="43" spans="4:10" x14ac:dyDescent="0.35">
      <c r="D43" s="84"/>
      <c r="E43" s="92"/>
      <c r="F43" s="154">
        <f>('Call Option Dynamics'!I38-'Call Option Dynamics'!I47)/('Call Option Dynamics'!I37-'Call Option Dynamics'!I46)</f>
        <v>0.17008562844797065</v>
      </c>
      <c r="G43" s="92"/>
      <c r="H43" s="90"/>
      <c r="J43" s="85"/>
    </row>
    <row r="44" spans="4:10" x14ac:dyDescent="0.35">
      <c r="D44" s="84"/>
      <c r="E44" s="92"/>
      <c r="F44" s="90"/>
      <c r="G44" s="92"/>
      <c r="H44" s="90"/>
      <c r="J44" s="123">
        <f>'100% Equity Portfolio'!H40</f>
        <v>896675.34995911969</v>
      </c>
    </row>
    <row r="45" spans="4:10" x14ac:dyDescent="0.35">
      <c r="D45" s="84"/>
      <c r="E45" s="92"/>
      <c r="F45" s="90"/>
      <c r="G45" s="92"/>
      <c r="H45" s="90"/>
      <c r="J45" s="155" t="s">
        <v>112</v>
      </c>
    </row>
    <row r="46" spans="4:10" x14ac:dyDescent="0.35">
      <c r="D46" s="84"/>
      <c r="E46" s="92"/>
      <c r="F46" s="90"/>
      <c r="G46" s="92"/>
      <c r="H46" s="116">
        <f>'100% Equity Portfolio'!F42</f>
        <v>805025.56700223568</v>
      </c>
      <c r="J46" s="85"/>
    </row>
    <row r="47" spans="4:10" x14ac:dyDescent="0.35">
      <c r="D47" s="84"/>
      <c r="E47" s="92"/>
      <c r="F47" s="90"/>
      <c r="G47" s="92"/>
      <c r="H47" s="139">
        <f>('Call Option Dynamics'!K45-'Call Option Dynamics'!K50)/('Call Option Dynamics'!K44-'Call Option Dynamics'!K49)</f>
        <v>0</v>
      </c>
      <c r="J47" s="85"/>
    </row>
    <row r="48" spans="4:10" x14ac:dyDescent="0.35">
      <c r="D48" s="84"/>
      <c r="E48" s="92"/>
      <c r="F48" s="90"/>
      <c r="G48" s="92"/>
      <c r="H48" s="90"/>
      <c r="J48" s="85"/>
    </row>
    <row r="49" spans="4:10" x14ac:dyDescent="0.35">
      <c r="D49" s="84"/>
      <c r="E49" s="92"/>
      <c r="F49" s="90"/>
      <c r="G49" s="92"/>
      <c r="H49" s="90"/>
      <c r="J49" s="123">
        <f>'100% Equity Portfolio'!H44</f>
        <v>722743.36922144343</v>
      </c>
    </row>
    <row r="50" spans="4:10" ht="15" thickBot="1" x14ac:dyDescent="0.4">
      <c r="D50" s="86"/>
      <c r="E50" s="93"/>
      <c r="F50" s="91"/>
      <c r="G50" s="93"/>
      <c r="H50" s="91"/>
      <c r="I50" s="87"/>
      <c r="J50" s="156" t="s">
        <v>112</v>
      </c>
    </row>
  </sheetData>
  <mergeCells count="4">
    <mergeCell ref="E13:F13"/>
    <mergeCell ref="G13:H13"/>
    <mergeCell ref="I13:J13"/>
    <mergeCell ref="B2:K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7B33-73D9-43C3-9803-A1A2F2192496}">
  <dimension ref="C1:L35"/>
  <sheetViews>
    <sheetView showGridLines="0" topLeftCell="B2" zoomScale="72" workbookViewId="0">
      <selection activeCell="P19" sqref="P19"/>
    </sheetView>
  </sheetViews>
  <sheetFormatPr defaultRowHeight="14.5" x14ac:dyDescent="0.35"/>
  <cols>
    <col min="1" max="1" width="8.7265625" style="7"/>
    <col min="2" max="9" width="12.08984375" style="7" customWidth="1"/>
    <col min="10" max="16384" width="8.7265625" style="7"/>
  </cols>
  <sheetData>
    <row r="1" spans="3:12" ht="15" thickBot="1" x14ac:dyDescent="0.4"/>
    <row r="2" spans="3:12" ht="22" thickTop="1" thickBot="1" x14ac:dyDescent="0.55000000000000004">
      <c r="C2" s="680" t="s">
        <v>178</v>
      </c>
      <c r="D2" s="680"/>
      <c r="E2" s="680"/>
      <c r="F2" s="680"/>
      <c r="G2" s="680"/>
      <c r="H2" s="680"/>
      <c r="I2" s="680"/>
      <c r="J2" s="38"/>
      <c r="K2" s="38"/>
      <c r="L2" s="38"/>
    </row>
    <row r="3" spans="3:12" ht="15" thickTop="1" x14ac:dyDescent="0.35"/>
    <row r="4" spans="3:12" ht="15" thickBot="1" x14ac:dyDescent="0.4"/>
    <row r="5" spans="3:12" ht="15.5" x14ac:dyDescent="0.35">
      <c r="C5" s="135"/>
      <c r="D5" s="709" t="s">
        <v>79</v>
      </c>
      <c r="E5" s="710"/>
      <c r="F5" s="709" t="s">
        <v>81</v>
      </c>
      <c r="G5" s="710"/>
      <c r="H5" s="709" t="s">
        <v>77</v>
      </c>
      <c r="I5" s="711"/>
    </row>
    <row r="6" spans="3:12" x14ac:dyDescent="0.35">
      <c r="C6" s="84"/>
      <c r="I6" s="85"/>
    </row>
    <row r="7" spans="3:12" x14ac:dyDescent="0.35">
      <c r="C7" s="84"/>
      <c r="I7" s="160" t="s">
        <v>112</v>
      </c>
    </row>
    <row r="8" spans="3:12" x14ac:dyDescent="0.35">
      <c r="C8" s="84"/>
      <c r="I8" s="157"/>
    </row>
    <row r="9" spans="3:12" x14ac:dyDescent="0.35">
      <c r="C9" s="84"/>
      <c r="G9" s="163">
        <f>('Insured Portfolio'!I6-'Insured Portfolio'!I10)/('100% Equity Portfolio'!H16-'100% Equity Portfolio'!H20)</f>
        <v>1</v>
      </c>
      <c r="I9" s="85"/>
    </row>
    <row r="10" spans="3:12" x14ac:dyDescent="0.35">
      <c r="C10" s="84"/>
      <c r="I10" s="85"/>
    </row>
    <row r="11" spans="3:12" x14ac:dyDescent="0.35">
      <c r="C11" s="84"/>
      <c r="I11" s="160" t="s">
        <v>112</v>
      </c>
    </row>
    <row r="12" spans="3:12" x14ac:dyDescent="0.35">
      <c r="C12" s="84"/>
      <c r="E12" s="159">
        <f>('Insured Portfolio'!G8-'Insured Portfolio'!G16)/('100% Equity Portfolio'!F18-'100% Equity Portfolio'!F26)</f>
        <v>0.76529314514557034</v>
      </c>
      <c r="I12" s="157"/>
    </row>
    <row r="13" spans="3:12" x14ac:dyDescent="0.35">
      <c r="C13" s="84"/>
      <c r="I13" s="85"/>
    </row>
    <row r="14" spans="3:12" x14ac:dyDescent="0.35">
      <c r="C14" s="84"/>
      <c r="I14" s="160" t="s">
        <v>112</v>
      </c>
    </row>
    <row r="15" spans="3:12" x14ac:dyDescent="0.35">
      <c r="C15" s="84"/>
      <c r="I15" s="157"/>
    </row>
    <row r="16" spans="3:12" x14ac:dyDescent="0.35">
      <c r="C16" s="84"/>
      <c r="G16" s="159">
        <f>('Insured Portfolio'!I14-'Insured Portfolio'!I18)/('100% Equity Portfolio'!H24-'100% Equity Portfolio'!H28)</f>
        <v>0.34123137002480236</v>
      </c>
      <c r="I16" s="85"/>
    </row>
    <row r="17" spans="3:9" x14ac:dyDescent="0.35">
      <c r="C17" s="84"/>
      <c r="I17" s="85"/>
    </row>
    <row r="18" spans="3:9" x14ac:dyDescent="0.35">
      <c r="C18" s="84"/>
      <c r="I18" s="160" t="s">
        <v>112</v>
      </c>
    </row>
    <row r="19" spans="3:9" x14ac:dyDescent="0.35">
      <c r="C19" s="84"/>
      <c r="I19" s="157"/>
    </row>
    <row r="20" spans="3:9" x14ac:dyDescent="0.35">
      <c r="C20" s="161">
        <f>('Insured Portfolio'!$E$12-'Insured Portfolio'!$E$28)/('100% Equity Portfolio'!$D$22-'100% Equity Portfolio'!$D$38)</f>
        <v>0.56890131100639774</v>
      </c>
      <c r="I20" s="85"/>
    </row>
    <row r="21" spans="3:9" x14ac:dyDescent="0.35">
      <c r="C21" s="84"/>
      <c r="I21" s="85"/>
    </row>
    <row r="22" spans="3:9" x14ac:dyDescent="0.35">
      <c r="C22" s="84"/>
      <c r="I22" s="160" t="s">
        <v>112</v>
      </c>
    </row>
    <row r="23" spans="3:9" x14ac:dyDescent="0.35">
      <c r="C23" s="84"/>
      <c r="I23" s="85"/>
    </row>
    <row r="24" spans="3:9" x14ac:dyDescent="0.35">
      <c r="C24" s="84"/>
      <c r="G24" s="159">
        <f>('Insured Portfolio'!I22-'Insured Portfolio'!I26)/('100% Equity Portfolio'!H32-'100% Equity Portfolio'!H36)</f>
        <v>0.24935282826474758</v>
      </c>
      <c r="I24" s="85"/>
    </row>
    <row r="25" spans="3:9" x14ac:dyDescent="0.35">
      <c r="C25" s="84"/>
      <c r="I25" s="85"/>
    </row>
    <row r="26" spans="3:9" x14ac:dyDescent="0.35">
      <c r="C26" s="84"/>
      <c r="I26" s="160" t="s">
        <v>112</v>
      </c>
    </row>
    <row r="27" spans="3:9" x14ac:dyDescent="0.35">
      <c r="C27" s="84"/>
      <c r="I27" s="85"/>
    </row>
    <row r="28" spans="3:9" x14ac:dyDescent="0.35">
      <c r="C28" s="84"/>
      <c r="E28" s="159">
        <f>('Insured Portfolio'!G24-'Insured Portfolio'!G32)/('100% Equity Portfolio'!F34-'100% Equity Portfolio'!H34)</f>
        <v>3.1861910976550167E-2</v>
      </c>
      <c r="I28" s="85"/>
    </row>
    <row r="29" spans="3:9" x14ac:dyDescent="0.35">
      <c r="C29" s="84"/>
      <c r="I29" s="85"/>
    </row>
    <row r="30" spans="3:9" x14ac:dyDescent="0.35">
      <c r="C30" s="84"/>
      <c r="I30" s="160" t="s">
        <v>112</v>
      </c>
    </row>
    <row r="31" spans="3:9" x14ac:dyDescent="0.35">
      <c r="C31" s="84"/>
      <c r="I31" s="157"/>
    </row>
    <row r="32" spans="3:9" x14ac:dyDescent="0.35">
      <c r="C32" s="84"/>
      <c r="G32" s="162">
        <f>('Insured Portfolio'!I30-'Insured Portfolio'!I34)/('100% Equity Portfolio'!H40-'100% Equity Portfolio'!H44)</f>
        <v>0</v>
      </c>
      <c r="I32" s="85"/>
    </row>
    <row r="33" spans="3:9" x14ac:dyDescent="0.35">
      <c r="C33" s="84"/>
      <c r="I33" s="85"/>
    </row>
    <row r="34" spans="3:9" x14ac:dyDescent="0.35">
      <c r="C34" s="84"/>
      <c r="I34" s="160" t="s">
        <v>112</v>
      </c>
    </row>
    <row r="35" spans="3:9" ht="15" thickBot="1" x14ac:dyDescent="0.4">
      <c r="C35" s="86"/>
      <c r="D35" s="87"/>
      <c r="E35" s="87"/>
      <c r="F35" s="87"/>
      <c r="G35" s="87"/>
      <c r="H35" s="87"/>
      <c r="I35" s="158"/>
    </row>
  </sheetData>
  <mergeCells count="4">
    <mergeCell ref="C2:I2"/>
    <mergeCell ref="D5:E5"/>
    <mergeCell ref="F5:G5"/>
    <mergeCell ref="H5:I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3AE3-8A9C-468D-9EAF-756861125A07}">
  <dimension ref="C2:Z123"/>
  <sheetViews>
    <sheetView showGridLines="0" topLeftCell="A64" zoomScale="68" workbookViewId="0">
      <selection activeCell="I131" sqref="I131"/>
    </sheetView>
  </sheetViews>
  <sheetFormatPr defaultRowHeight="14.5" x14ac:dyDescent="0.35"/>
  <cols>
    <col min="1" max="1" width="5.1796875" style="7" customWidth="1"/>
    <col min="2" max="2" width="3.36328125" style="7" customWidth="1"/>
    <col min="3" max="3" width="25.54296875" style="7" customWidth="1"/>
    <col min="4" max="4" width="22" style="7" customWidth="1"/>
    <col min="5" max="5" width="14.6328125" style="7" customWidth="1"/>
    <col min="6" max="6" width="30.54296875" style="7" customWidth="1"/>
    <col min="7" max="7" width="22.6328125" style="7" customWidth="1"/>
    <col min="8" max="8" width="32" style="7" bestFit="1" customWidth="1"/>
    <col min="9" max="9" width="14.26953125" style="7" customWidth="1"/>
    <col min="10" max="10" width="36.54296875" style="7" customWidth="1"/>
    <col min="11" max="11" width="24.453125" style="7" customWidth="1"/>
    <col min="12" max="12" width="14" style="7" customWidth="1"/>
    <col min="13" max="13" width="12" style="7" customWidth="1"/>
    <col min="14" max="14" width="27.453125" style="7" customWidth="1"/>
    <col min="15" max="15" width="18.81640625" style="7" customWidth="1"/>
    <col min="16" max="16" width="10.7265625" style="7" bestFit="1" customWidth="1"/>
    <col min="17" max="19" width="8.7265625" style="7"/>
    <col min="20" max="20" width="34.08984375" style="7" bestFit="1" customWidth="1"/>
    <col min="21" max="21" width="10.08984375" style="7" bestFit="1" customWidth="1"/>
    <col min="22" max="22" width="10.453125" style="7" bestFit="1" customWidth="1"/>
    <col min="23" max="23" width="26.7265625" style="7" customWidth="1"/>
    <col min="24" max="16384" width="8.7265625" style="7"/>
  </cols>
  <sheetData>
    <row r="2" spans="3:26" ht="15" thickBot="1" x14ac:dyDescent="0.4"/>
    <row r="3" spans="3:26" ht="24.5" thickTop="1" thickBot="1" x14ac:dyDescent="0.6">
      <c r="C3" s="712" t="s">
        <v>144</v>
      </c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712"/>
      <c r="O3" s="712"/>
      <c r="P3" s="712"/>
    </row>
    <row r="4" spans="3:26" ht="15" thickTop="1" x14ac:dyDescent="0.35"/>
    <row r="5" spans="3:26" ht="15" thickBot="1" x14ac:dyDescent="0.4"/>
    <row r="6" spans="3:26" ht="21" x14ac:dyDescent="0.5">
      <c r="C6" s="720" t="s">
        <v>202</v>
      </c>
      <c r="D6" s="721"/>
      <c r="E6" s="729" t="s">
        <v>79</v>
      </c>
      <c r="F6" s="729"/>
      <c r="G6" s="729"/>
      <c r="H6" s="729" t="s">
        <v>81</v>
      </c>
      <c r="I6" s="729"/>
      <c r="J6" s="729"/>
      <c r="K6" s="729"/>
      <c r="L6" s="729" t="s">
        <v>77</v>
      </c>
      <c r="M6" s="729"/>
      <c r="N6" s="729"/>
      <c r="O6" s="729"/>
      <c r="P6" s="186"/>
    </row>
    <row r="7" spans="3:26" x14ac:dyDescent="0.35">
      <c r="C7" s="184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5"/>
    </row>
    <row r="8" spans="3:26" x14ac:dyDescent="0.35">
      <c r="C8" s="184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5"/>
    </row>
    <row r="9" spans="3:26" x14ac:dyDescent="0.35">
      <c r="C9" s="184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5"/>
    </row>
    <row r="10" spans="3:26" x14ac:dyDescent="0.35">
      <c r="C10" s="184"/>
      <c r="D10" s="180"/>
      <c r="E10" s="180"/>
      <c r="F10" s="180"/>
      <c r="G10" s="180"/>
      <c r="H10" s="180"/>
      <c r="I10" s="180"/>
      <c r="J10" s="716" t="s">
        <v>116</v>
      </c>
      <c r="K10" s="717"/>
      <c r="L10" s="180"/>
      <c r="M10" s="180"/>
      <c r="N10" s="716" t="s">
        <v>117</v>
      </c>
      <c r="O10" s="717"/>
      <c r="P10" s="185"/>
    </row>
    <row r="11" spans="3:26" x14ac:dyDescent="0.35">
      <c r="C11" s="184"/>
      <c r="D11" s="180"/>
      <c r="E11" s="180"/>
      <c r="F11" s="180"/>
      <c r="G11" s="180"/>
      <c r="H11" s="180"/>
      <c r="I11" s="180"/>
      <c r="J11" s="183" t="s">
        <v>118</v>
      </c>
      <c r="K11" s="188">
        <f>'100% Equity Portfolio'!F18</f>
        <v>1242196.5723695119</v>
      </c>
      <c r="L11" s="180"/>
      <c r="M11" s="180"/>
      <c r="N11" s="183" t="s">
        <v>118</v>
      </c>
      <c r="O11" s="188">
        <f>'100% Equity Portfolio'!H16</f>
        <v>1383616.9829924889</v>
      </c>
      <c r="P11" s="185"/>
    </row>
    <row r="12" spans="3:26" ht="15.5" x14ac:dyDescent="0.35">
      <c r="C12" s="184"/>
      <c r="D12" s="180"/>
      <c r="E12" s="180"/>
      <c r="F12" s="180"/>
      <c r="G12" s="180"/>
      <c r="H12" s="180"/>
      <c r="I12" s="180"/>
      <c r="J12" s="183" t="s">
        <v>107</v>
      </c>
      <c r="K12" s="182"/>
      <c r="L12" s="180"/>
      <c r="M12" s="180"/>
      <c r="N12" s="183" t="s">
        <v>107</v>
      </c>
      <c r="O12" s="182"/>
      <c r="P12" s="185"/>
      <c r="T12" s="169" t="s">
        <v>72</v>
      </c>
      <c r="U12" s="169" t="s">
        <v>89</v>
      </c>
      <c r="V12" s="169" t="s">
        <v>90</v>
      </c>
      <c r="W12" s="170" t="s">
        <v>99</v>
      </c>
      <c r="X12" s="169" t="s">
        <v>91</v>
      </c>
      <c r="Y12" s="169" t="s">
        <v>92</v>
      </c>
      <c r="Z12" s="169" t="s">
        <v>114</v>
      </c>
    </row>
    <row r="13" spans="3:26" x14ac:dyDescent="0.35">
      <c r="C13" s="184"/>
      <c r="D13" s="180"/>
      <c r="E13" s="180"/>
      <c r="F13" s="180"/>
      <c r="G13" s="180"/>
      <c r="H13" s="180"/>
      <c r="I13" s="180"/>
      <c r="J13" s="257" t="s">
        <v>119</v>
      </c>
      <c r="K13" s="182">
        <f>K11*G32</f>
        <v>950644.52176377084</v>
      </c>
      <c r="L13" s="180"/>
      <c r="M13" s="180"/>
      <c r="N13" s="257" t="s">
        <v>119</v>
      </c>
      <c r="O13" s="189">
        <f>K16*O11</f>
        <v>1383616.9829924889</v>
      </c>
      <c r="P13" s="185"/>
      <c r="T13" s="171" t="str">
        <f>'Put Option Dynamics'!B5</f>
        <v>Q1 2025</v>
      </c>
      <c r="U13" s="74">
        <f>'Put Option Dynamics'!E5</f>
        <v>1.1198189216414756</v>
      </c>
      <c r="V13" s="74">
        <f>'Put Option Dynamics'!F5</f>
        <v>0.8930015207585168</v>
      </c>
      <c r="W13" s="152">
        <f>'Put Option Dynamics'!G5</f>
        <v>2.8686315686529594E-2</v>
      </c>
      <c r="X13" s="74">
        <f>'Put Option Dynamics'!H5</f>
        <v>1.0291017307692307</v>
      </c>
      <c r="Y13" s="74">
        <f>'Put Option Dynamics'!I5</f>
        <v>0.60004307200814677</v>
      </c>
      <c r="Z13" s="74">
        <f>'Put Option Dynamics'!J5</f>
        <v>0.39995692799185323</v>
      </c>
    </row>
    <row r="14" spans="3:26" x14ac:dyDescent="0.35">
      <c r="C14" s="184"/>
      <c r="D14" s="180"/>
      <c r="E14" s="180"/>
      <c r="F14" s="180"/>
      <c r="G14" s="180"/>
      <c r="H14" s="180"/>
      <c r="I14" s="180"/>
      <c r="J14" s="257" t="s">
        <v>120</v>
      </c>
      <c r="K14" s="187">
        <f>G38*V23</f>
        <v>453310.97682211187</v>
      </c>
      <c r="L14" s="180"/>
      <c r="M14" s="180"/>
      <c r="N14" s="257" t="s">
        <v>120</v>
      </c>
      <c r="O14" s="189">
        <f>K22*W23</f>
        <v>166500.62627933608</v>
      </c>
      <c r="P14" s="185"/>
      <c r="T14" s="171" t="str">
        <f>'Put Option Dynamics'!B6</f>
        <v>Q2 2025</v>
      </c>
      <c r="U14" s="74">
        <f>'Put Option Dynamics'!E6</f>
        <v>1.1092834282069912</v>
      </c>
      <c r="V14" s="74">
        <f>'Put Option Dynamics'!F6</f>
        <v>0.90148286233426089</v>
      </c>
      <c r="W14" s="152">
        <f>'Put Option Dynamics'!G6</f>
        <v>2.6645440352791525E-2</v>
      </c>
      <c r="X14" s="74">
        <f>'Put Option Dynamics'!H6</f>
        <v>1.0270036041666666</v>
      </c>
      <c r="Y14" s="74">
        <f>'Put Option Dynamics'!I6</f>
        <v>0.60404427343707146</v>
      </c>
      <c r="Z14" s="74">
        <f>'Put Option Dynamics'!J6</f>
        <v>0.39595572656292854</v>
      </c>
    </row>
    <row r="15" spans="3:26" x14ac:dyDescent="0.35">
      <c r="C15" s="184"/>
      <c r="D15" s="180"/>
      <c r="E15" s="180"/>
      <c r="F15" s="180"/>
      <c r="G15" s="180"/>
      <c r="H15" s="180"/>
      <c r="I15" s="180"/>
      <c r="J15" s="196" t="s">
        <v>145</v>
      </c>
      <c r="K15" s="197">
        <f>K13+K14</f>
        <v>1403955.4985858826</v>
      </c>
      <c r="L15" s="180"/>
      <c r="M15" s="180"/>
      <c r="N15" s="194" t="s">
        <v>145</v>
      </c>
      <c r="O15" s="195">
        <f>O13+O14</f>
        <v>1550117.6092718251</v>
      </c>
      <c r="P15" s="185"/>
      <c r="T15" s="173" t="str">
        <f>'Put Option Dynamics'!B7</f>
        <v>Q3 2025</v>
      </c>
      <c r="U15" s="76">
        <f>'Put Option Dynamics'!E7</f>
        <v>1.113847046247451</v>
      </c>
      <c r="V15" s="76">
        <f>'Put Option Dynamics'!F7</f>
        <v>0.89778933594966959</v>
      </c>
      <c r="W15" s="174">
        <f>'Put Option Dynamics'!G7</f>
        <v>2.8891953733901077E-2</v>
      </c>
      <c r="X15" s="76">
        <f>'Put Option Dynamics'!H7</f>
        <v>1.0293133750000001</v>
      </c>
      <c r="Y15" s="76">
        <f>'Put Option Dynamics'!I7</f>
        <v>0.60874494536231805</v>
      </c>
      <c r="Z15" s="76">
        <f>'Put Option Dynamics'!J7</f>
        <v>0.39125505463768195</v>
      </c>
    </row>
    <row r="16" spans="3:26" x14ac:dyDescent="0.35">
      <c r="C16" s="184"/>
      <c r="D16" s="180"/>
      <c r="E16" s="180"/>
      <c r="F16" s="180"/>
      <c r="G16" s="180"/>
      <c r="H16" s="180"/>
      <c r="I16" s="180"/>
      <c r="J16" s="183" t="s">
        <v>122</v>
      </c>
      <c r="K16" s="188">
        <f>'Delta 1'!H17</f>
        <v>1</v>
      </c>
      <c r="L16" s="180"/>
      <c r="M16" s="180"/>
      <c r="N16" s="180"/>
      <c r="O16" s="180"/>
      <c r="P16" s="185"/>
    </row>
    <row r="17" spans="3:23" x14ac:dyDescent="0.35">
      <c r="C17" s="184"/>
      <c r="D17" s="180"/>
      <c r="E17" s="180"/>
      <c r="F17" s="180"/>
      <c r="G17" s="180"/>
      <c r="H17" s="180"/>
      <c r="I17" s="180"/>
      <c r="J17" s="718" t="s">
        <v>143</v>
      </c>
      <c r="K17" s="719"/>
      <c r="L17" s="180"/>
      <c r="M17" s="180"/>
      <c r="N17" s="180"/>
      <c r="O17" s="180"/>
      <c r="P17" s="185"/>
      <c r="T17" s="2" t="s">
        <v>104</v>
      </c>
      <c r="U17" s="176">
        <v>2.7182818279999998</v>
      </c>
    </row>
    <row r="18" spans="3:23" x14ac:dyDescent="0.35">
      <c r="C18" s="184"/>
      <c r="D18" s="180"/>
      <c r="E18" s="180"/>
      <c r="F18" s="180"/>
      <c r="G18" s="180"/>
      <c r="H18" s="180"/>
      <c r="I18" s="180"/>
      <c r="J18" s="181" t="s">
        <v>294</v>
      </c>
      <c r="K18" s="187">
        <f>K11*(K16-G32)</f>
        <v>291552.0506057411</v>
      </c>
      <c r="L18" s="180"/>
      <c r="M18" s="180"/>
      <c r="N18" s="716" t="s">
        <v>124</v>
      </c>
      <c r="O18" s="717"/>
      <c r="P18" s="185"/>
    </row>
    <row r="19" spans="3:23" x14ac:dyDescent="0.35">
      <c r="C19" s="184"/>
      <c r="D19" s="180"/>
      <c r="E19" s="180"/>
      <c r="F19" s="180"/>
      <c r="G19" s="180"/>
      <c r="H19" s="180"/>
      <c r="I19" s="180"/>
      <c r="J19" s="181" t="s">
        <v>123</v>
      </c>
      <c r="K19" s="187">
        <f>K15-K13-K18-K14</f>
        <v>-291552.05060574121</v>
      </c>
      <c r="L19" s="180"/>
      <c r="M19" s="180"/>
      <c r="N19" s="183" t="s">
        <v>118</v>
      </c>
      <c r="O19" s="188">
        <f>'100% Equity Portfolio'!H20</f>
        <v>1115230.8358265797</v>
      </c>
      <c r="P19" s="185"/>
    </row>
    <row r="20" spans="3:23" x14ac:dyDescent="0.35">
      <c r="C20" s="184"/>
      <c r="D20" s="180"/>
      <c r="E20" s="180"/>
      <c r="F20" s="180"/>
      <c r="G20" s="180"/>
      <c r="H20" s="180"/>
      <c r="I20" s="180"/>
      <c r="J20" s="256" t="s">
        <v>125</v>
      </c>
      <c r="K20" s="182"/>
      <c r="L20" s="180"/>
      <c r="M20" s="180"/>
      <c r="N20" s="183" t="s">
        <v>107</v>
      </c>
      <c r="O20" s="182"/>
      <c r="P20" s="185"/>
    </row>
    <row r="21" spans="3:23" ht="18.5" x14ac:dyDescent="0.35">
      <c r="C21" s="184"/>
      <c r="D21" s="180"/>
      <c r="E21" s="180"/>
      <c r="F21" s="180"/>
      <c r="G21" s="180"/>
      <c r="H21" s="180"/>
      <c r="I21" s="180"/>
      <c r="J21" s="181" t="s">
        <v>295</v>
      </c>
      <c r="K21" s="189">
        <f>K16*K11</f>
        <v>1242196.5723695119</v>
      </c>
      <c r="L21" s="180"/>
      <c r="M21" s="180"/>
      <c r="N21" s="257" t="s">
        <v>119</v>
      </c>
      <c r="O21" s="189">
        <f>K16*O19</f>
        <v>1115230.8358265797</v>
      </c>
      <c r="P21" s="185"/>
      <c r="T21" s="713" t="s">
        <v>115</v>
      </c>
      <c r="U21" s="714"/>
      <c r="V21" s="714"/>
      <c r="W21" s="715"/>
    </row>
    <row r="22" spans="3:23" x14ac:dyDescent="0.35">
      <c r="C22" s="184"/>
      <c r="D22" s="180"/>
      <c r="E22" s="180"/>
      <c r="F22" s="180"/>
      <c r="G22" s="180"/>
      <c r="H22" s="180"/>
      <c r="I22" s="180"/>
      <c r="J22" s="181" t="s">
        <v>126</v>
      </c>
      <c r="K22" s="187">
        <f>K14+K19</f>
        <v>161758.92621637066</v>
      </c>
      <c r="L22" s="180"/>
      <c r="M22" s="180"/>
      <c r="N22" s="257" t="s">
        <v>120</v>
      </c>
      <c r="O22" s="189">
        <f>K22*W23</f>
        <v>166500.62627933608</v>
      </c>
      <c r="P22" s="185"/>
      <c r="T22" s="179"/>
      <c r="U22" s="178" t="str">
        <f>T13</f>
        <v>Q1 2025</v>
      </c>
      <c r="V22" s="178" t="str">
        <f>T14</f>
        <v>Q2 2025</v>
      </c>
      <c r="W22" s="178" t="str">
        <f>T15</f>
        <v>Q3 2025</v>
      </c>
    </row>
    <row r="23" spans="3:23" x14ac:dyDescent="0.35">
      <c r="C23" s="184"/>
      <c r="D23" s="180"/>
      <c r="E23" s="180"/>
      <c r="F23" s="180"/>
      <c r="G23" s="180"/>
      <c r="H23" s="180"/>
      <c r="I23" s="180"/>
      <c r="J23" s="194" t="s">
        <v>145</v>
      </c>
      <c r="K23" s="193">
        <f>K21+K22</f>
        <v>1403955.4985858826</v>
      </c>
      <c r="L23" s="180"/>
      <c r="M23" s="180"/>
      <c r="N23" s="194" t="s">
        <v>145</v>
      </c>
      <c r="O23" s="193">
        <f>O21+O22</f>
        <v>1281731.4621059159</v>
      </c>
      <c r="P23" s="185"/>
      <c r="T23" s="168" t="s">
        <v>170</v>
      </c>
      <c r="U23" s="177">
        <f>U17^W13</f>
        <v>1.0291017307642454</v>
      </c>
      <c r="V23" s="177">
        <f>U17^W14</f>
        <v>1.0270036041620454</v>
      </c>
      <c r="W23" s="177">
        <f>U17^W15</f>
        <v>1.0293133749949779</v>
      </c>
    </row>
    <row r="24" spans="3:23" x14ac:dyDescent="0.35">
      <c r="C24" s="184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5"/>
    </row>
    <row r="25" spans="3:23" x14ac:dyDescent="0.35">
      <c r="C25" s="184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5"/>
    </row>
    <row r="26" spans="3:23" x14ac:dyDescent="0.35">
      <c r="C26" s="184"/>
      <c r="D26" s="180"/>
      <c r="E26" s="180"/>
      <c r="F26" s="716" t="s">
        <v>127</v>
      </c>
      <c r="G26" s="717"/>
      <c r="H26" s="180"/>
      <c r="I26" s="180"/>
      <c r="J26" s="180"/>
      <c r="K26" s="180"/>
      <c r="L26" s="180"/>
      <c r="M26" s="180"/>
      <c r="N26" s="180"/>
      <c r="O26" s="180"/>
      <c r="P26" s="185"/>
    </row>
    <row r="27" spans="3:23" x14ac:dyDescent="0.35">
      <c r="C27" s="184"/>
      <c r="D27" s="180"/>
      <c r="E27" s="180"/>
      <c r="F27" s="183" t="s">
        <v>118</v>
      </c>
      <c r="G27" s="188">
        <f>'100% Equity Portfolio'!D22</f>
        <v>1119818.9216414755</v>
      </c>
      <c r="H27" s="180"/>
      <c r="I27" s="180"/>
      <c r="J27" s="180"/>
      <c r="K27" s="180"/>
      <c r="L27" s="180"/>
      <c r="M27" s="180"/>
      <c r="N27" s="180"/>
      <c r="O27" s="180"/>
      <c r="P27" s="185"/>
    </row>
    <row r="28" spans="3:23" x14ac:dyDescent="0.35">
      <c r="C28" s="184"/>
      <c r="D28" s="180"/>
      <c r="E28" s="180"/>
      <c r="F28" s="183" t="s">
        <v>107</v>
      </c>
      <c r="G28" s="182"/>
      <c r="H28" s="180"/>
      <c r="I28" s="180"/>
      <c r="J28" s="180"/>
      <c r="K28" s="180"/>
      <c r="L28" s="180"/>
      <c r="M28" s="180"/>
      <c r="N28" s="180"/>
      <c r="O28" s="180"/>
      <c r="P28" s="185"/>
    </row>
    <row r="29" spans="3:23" x14ac:dyDescent="0.35">
      <c r="C29" s="184"/>
      <c r="D29" s="180"/>
      <c r="E29" s="180"/>
      <c r="F29" s="257" t="s">
        <v>119</v>
      </c>
      <c r="G29" s="189">
        <f>G27*D60</f>
        <v>637066.45262210805</v>
      </c>
      <c r="H29" s="180"/>
      <c r="I29" s="180"/>
      <c r="J29" s="180"/>
      <c r="K29" s="180"/>
      <c r="L29" s="180"/>
      <c r="M29" s="180"/>
      <c r="N29" s="180"/>
      <c r="O29" s="180"/>
      <c r="P29" s="185"/>
    </row>
    <row r="30" spans="3:23" x14ac:dyDescent="0.35">
      <c r="C30" s="184"/>
      <c r="D30" s="180"/>
      <c r="E30" s="180"/>
      <c r="F30" s="257" t="s">
        <v>120</v>
      </c>
      <c r="G30" s="187">
        <f>D63*U23</f>
        <v>661315.09910051676</v>
      </c>
      <c r="H30" s="180"/>
      <c r="I30" s="180"/>
      <c r="J30" s="180"/>
      <c r="K30" s="180"/>
      <c r="L30" s="180"/>
      <c r="M30" s="180"/>
      <c r="N30" s="180"/>
      <c r="O30" s="180"/>
      <c r="P30" s="185"/>
    </row>
    <row r="31" spans="3:23" x14ac:dyDescent="0.35">
      <c r="C31" s="184"/>
      <c r="D31" s="180"/>
      <c r="E31" s="180"/>
      <c r="F31" s="196" t="s">
        <v>145</v>
      </c>
      <c r="G31" s="197">
        <f>G29+G30</f>
        <v>1298381.5517226248</v>
      </c>
      <c r="H31" s="180"/>
      <c r="I31" s="180"/>
      <c r="J31" s="180"/>
      <c r="K31" s="180"/>
      <c r="L31" s="180"/>
      <c r="M31" s="180"/>
      <c r="N31" s="180"/>
      <c r="O31" s="180"/>
      <c r="P31" s="185"/>
    </row>
    <row r="32" spans="3:23" x14ac:dyDescent="0.35">
      <c r="C32" s="184"/>
      <c r="D32" s="180"/>
      <c r="E32" s="180"/>
      <c r="F32" s="183" t="s">
        <v>128</v>
      </c>
      <c r="G32" s="188">
        <f>'Delta 1'!F21</f>
        <v>0.76529314515044877</v>
      </c>
      <c r="H32" s="180"/>
      <c r="I32" s="180"/>
      <c r="J32" s="180"/>
      <c r="K32" s="180"/>
      <c r="L32" s="180"/>
      <c r="M32" s="180"/>
      <c r="N32" s="180"/>
      <c r="O32" s="180"/>
      <c r="P32" s="185"/>
    </row>
    <row r="33" spans="3:16" x14ac:dyDescent="0.35">
      <c r="C33" s="184"/>
      <c r="D33" s="180"/>
      <c r="E33" s="180"/>
      <c r="F33" s="718" t="s">
        <v>142</v>
      </c>
      <c r="G33" s="719"/>
      <c r="H33" s="180"/>
      <c r="I33" s="180"/>
      <c r="J33" s="180"/>
      <c r="K33" s="180"/>
      <c r="L33" s="180"/>
      <c r="M33" s="180"/>
      <c r="N33" s="180"/>
      <c r="O33" s="180"/>
      <c r="P33" s="185"/>
    </row>
    <row r="34" spans="3:16" x14ac:dyDescent="0.35">
      <c r="C34" s="184"/>
      <c r="D34" s="180"/>
      <c r="E34" s="180"/>
      <c r="F34" s="181" t="s">
        <v>289</v>
      </c>
      <c r="G34" s="187">
        <f>G27*(G32-D60)</f>
        <v>219923.29191988066</v>
      </c>
      <c r="H34" s="180"/>
      <c r="I34" s="180"/>
      <c r="J34" s="180"/>
      <c r="K34" s="180"/>
      <c r="L34" s="180"/>
      <c r="M34" s="180"/>
      <c r="N34" s="180"/>
      <c r="O34" s="180"/>
      <c r="P34" s="185"/>
    </row>
    <row r="35" spans="3:16" x14ac:dyDescent="0.35">
      <c r="C35" s="184"/>
      <c r="D35" s="180"/>
      <c r="E35" s="180"/>
      <c r="F35" s="181" t="s">
        <v>123</v>
      </c>
      <c r="G35" s="189">
        <f>G31-G29-G34-G30</f>
        <v>-219923.29191988066</v>
      </c>
      <c r="H35" s="180"/>
      <c r="I35" s="180"/>
      <c r="J35" s="180"/>
      <c r="K35" s="180"/>
      <c r="L35" s="180"/>
      <c r="M35" s="180"/>
      <c r="N35" s="180"/>
      <c r="O35" s="180"/>
      <c r="P35" s="185"/>
    </row>
    <row r="36" spans="3:16" x14ac:dyDescent="0.35">
      <c r="C36" s="184"/>
      <c r="D36" s="180"/>
      <c r="E36" s="180"/>
      <c r="F36" s="256" t="s">
        <v>125</v>
      </c>
      <c r="G36" s="182"/>
      <c r="H36" s="180"/>
      <c r="I36" s="180"/>
      <c r="J36" s="180"/>
      <c r="K36" s="180"/>
      <c r="L36" s="180"/>
      <c r="M36" s="180"/>
      <c r="N36" s="180"/>
      <c r="O36" s="180"/>
      <c r="P36" s="185"/>
    </row>
    <row r="37" spans="3:16" x14ac:dyDescent="0.35">
      <c r="C37" s="184"/>
      <c r="D37" s="180"/>
      <c r="E37" s="180"/>
      <c r="F37" s="181" t="s">
        <v>290</v>
      </c>
      <c r="G37" s="189">
        <f>G32*G27</f>
        <v>856989.74454198871</v>
      </c>
      <c r="H37" s="180"/>
      <c r="I37" s="180"/>
      <c r="J37" s="180"/>
      <c r="K37" s="180"/>
      <c r="L37" s="180"/>
      <c r="M37" s="180"/>
      <c r="N37" s="180"/>
      <c r="O37" s="180"/>
      <c r="P37" s="185"/>
    </row>
    <row r="38" spans="3:16" x14ac:dyDescent="0.35">
      <c r="C38" s="184"/>
      <c r="D38" s="180"/>
      <c r="E38" s="180"/>
      <c r="F38" s="181" t="s">
        <v>126</v>
      </c>
      <c r="G38" s="187">
        <f>G30+G35</f>
        <v>441391.8071806361</v>
      </c>
      <c r="H38" s="180"/>
      <c r="I38" s="180"/>
      <c r="J38" s="180"/>
      <c r="K38" s="180"/>
      <c r="L38" s="180"/>
      <c r="M38" s="180"/>
      <c r="N38" s="180"/>
      <c r="O38" s="180"/>
      <c r="P38" s="185"/>
    </row>
    <row r="39" spans="3:16" x14ac:dyDescent="0.35">
      <c r="C39" s="184"/>
      <c r="D39" s="180"/>
      <c r="E39" s="180"/>
      <c r="F39" s="194" t="s">
        <v>145</v>
      </c>
      <c r="G39" s="193">
        <f>G37+G38</f>
        <v>1298381.5517226248</v>
      </c>
      <c r="H39" s="180"/>
      <c r="I39" s="180"/>
      <c r="J39" s="180"/>
      <c r="K39" s="180"/>
      <c r="L39" s="180"/>
      <c r="M39" s="180"/>
      <c r="N39" s="180"/>
      <c r="O39" s="180"/>
      <c r="P39" s="185"/>
    </row>
    <row r="40" spans="3:16" x14ac:dyDescent="0.35">
      <c r="C40" s="184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5"/>
    </row>
    <row r="41" spans="3:16" x14ac:dyDescent="0.35">
      <c r="C41" s="184"/>
      <c r="D41" s="180"/>
      <c r="E41" s="180"/>
      <c r="F41" s="180"/>
      <c r="G41" s="180"/>
      <c r="H41" s="180"/>
      <c r="I41" s="180"/>
      <c r="J41" s="716" t="s">
        <v>129</v>
      </c>
      <c r="K41" s="717"/>
      <c r="L41" s="180"/>
      <c r="M41" s="180"/>
      <c r="N41" s="716" t="s">
        <v>130</v>
      </c>
      <c r="O41" s="717"/>
      <c r="P41" s="185"/>
    </row>
    <row r="42" spans="3:16" x14ac:dyDescent="0.35">
      <c r="C42" s="184"/>
      <c r="D42" s="180"/>
      <c r="E42" s="180"/>
      <c r="F42" s="180"/>
      <c r="G42" s="180"/>
      <c r="H42" s="180"/>
      <c r="I42" s="180"/>
      <c r="J42" s="183" t="s">
        <v>118</v>
      </c>
      <c r="K42" s="188">
        <f>'100% Equity Portfolio'!F26</f>
        <v>1009497.5667774228</v>
      </c>
      <c r="L42" s="180"/>
      <c r="M42" s="180"/>
      <c r="N42" s="183" t="s">
        <v>118</v>
      </c>
      <c r="O42" s="188">
        <f>'100% Equity Portfolio'!H24</f>
        <v>1124425.8829490214</v>
      </c>
      <c r="P42" s="185"/>
    </row>
    <row r="43" spans="3:16" x14ac:dyDescent="0.35">
      <c r="C43" s="184"/>
      <c r="D43" s="180"/>
      <c r="E43" s="180"/>
      <c r="F43" s="180"/>
      <c r="G43" s="180"/>
      <c r="H43" s="180"/>
      <c r="I43" s="180"/>
      <c r="J43" s="183" t="s">
        <v>107</v>
      </c>
      <c r="K43" s="182"/>
      <c r="L43" s="180"/>
      <c r="M43" s="180"/>
      <c r="N43" s="183" t="s">
        <v>107</v>
      </c>
      <c r="O43" s="182"/>
      <c r="P43" s="185"/>
    </row>
    <row r="44" spans="3:16" x14ac:dyDescent="0.35">
      <c r="C44" s="184"/>
      <c r="D44" s="180"/>
      <c r="E44" s="180"/>
      <c r="F44" s="180"/>
      <c r="G44" s="180"/>
      <c r="H44" s="180"/>
      <c r="I44" s="180"/>
      <c r="J44" s="257" t="s">
        <v>119</v>
      </c>
      <c r="K44" s="254">
        <f>K42*G32</f>
        <v>772561.56790081912</v>
      </c>
      <c r="L44" s="180"/>
      <c r="M44" s="180"/>
      <c r="N44" s="257" t="s">
        <v>119</v>
      </c>
      <c r="O44" s="182">
        <f>K47*O42</f>
        <v>383689.38453004265</v>
      </c>
      <c r="P44" s="185"/>
    </row>
    <row r="45" spans="3:16" x14ac:dyDescent="0.35">
      <c r="C45" s="184"/>
      <c r="D45" s="180"/>
      <c r="E45" s="180"/>
      <c r="F45" s="180"/>
      <c r="G45" s="180"/>
      <c r="H45" s="180"/>
      <c r="I45" s="180"/>
      <c r="J45" s="257" t="s">
        <v>120</v>
      </c>
      <c r="K45" s="187">
        <f>G38*V23</f>
        <v>453310.97682211187</v>
      </c>
      <c r="L45" s="180"/>
      <c r="M45" s="180"/>
      <c r="N45" s="257" t="s">
        <v>120</v>
      </c>
      <c r="O45" s="187">
        <f>K53*W23</f>
        <v>907237.12469380652</v>
      </c>
      <c r="P45" s="185"/>
    </row>
    <row r="46" spans="3:16" x14ac:dyDescent="0.35">
      <c r="C46" s="184"/>
      <c r="D46" s="180"/>
      <c r="E46" s="180"/>
      <c r="F46" s="180"/>
      <c r="G46" s="180"/>
      <c r="H46" s="180"/>
      <c r="I46" s="180"/>
      <c r="J46" s="196" t="s">
        <v>145</v>
      </c>
      <c r="K46" s="197">
        <f>K44+K45</f>
        <v>1225872.544722931</v>
      </c>
      <c r="L46" s="180"/>
      <c r="M46" s="180"/>
      <c r="N46" s="194" t="s">
        <v>145</v>
      </c>
      <c r="O46" s="193">
        <f>O44+O45</f>
        <v>1290926.509223849</v>
      </c>
      <c r="P46" s="185"/>
    </row>
    <row r="47" spans="3:16" x14ac:dyDescent="0.35">
      <c r="C47" s="184"/>
      <c r="D47" s="180"/>
      <c r="E47" s="180"/>
      <c r="F47" s="180"/>
      <c r="G47" s="180"/>
      <c r="H47" s="180"/>
      <c r="I47" s="180"/>
      <c r="J47" s="183" t="s">
        <v>122</v>
      </c>
      <c r="K47" s="188">
        <f>'Delta 1'!H27</f>
        <v>0.34123137002480236</v>
      </c>
      <c r="L47" s="180"/>
      <c r="M47" s="180"/>
      <c r="N47" s="180"/>
      <c r="O47" s="180"/>
      <c r="P47" s="185"/>
    </row>
    <row r="48" spans="3:16" x14ac:dyDescent="0.35">
      <c r="C48" s="184"/>
      <c r="D48" s="180"/>
      <c r="E48" s="180"/>
      <c r="F48" s="180"/>
      <c r="G48" s="180"/>
      <c r="H48" s="180"/>
      <c r="I48" s="180"/>
      <c r="J48" s="718" t="s">
        <v>143</v>
      </c>
      <c r="K48" s="719"/>
      <c r="L48" s="180"/>
      <c r="M48" s="180"/>
      <c r="N48" s="180"/>
      <c r="O48" s="180"/>
      <c r="P48" s="185"/>
    </row>
    <row r="49" spans="3:16" x14ac:dyDescent="0.35">
      <c r="C49" s="184"/>
      <c r="D49" s="180"/>
      <c r="E49" s="180"/>
      <c r="F49" s="180"/>
      <c r="G49" s="180"/>
      <c r="H49" s="180"/>
      <c r="I49" s="180"/>
      <c r="J49" s="181" t="s">
        <v>296</v>
      </c>
      <c r="K49" s="187">
        <f>K42*(K47-G32)</f>
        <v>-428089.33015265467</v>
      </c>
      <c r="L49" s="180"/>
      <c r="M49" s="180"/>
      <c r="N49" s="716" t="s">
        <v>132</v>
      </c>
      <c r="O49" s="717"/>
      <c r="P49" s="185"/>
    </row>
    <row r="50" spans="3:16" x14ac:dyDescent="0.35">
      <c r="C50" s="184"/>
      <c r="D50" s="180"/>
      <c r="E50" s="180"/>
      <c r="F50" s="180"/>
      <c r="G50" s="180"/>
      <c r="H50" s="180"/>
      <c r="I50" s="180"/>
      <c r="J50" s="181" t="s">
        <v>131</v>
      </c>
      <c r="K50" s="187">
        <f>K46-K44-K49-K45</f>
        <v>428089.33015265467</v>
      </c>
      <c r="L50" s="180"/>
      <c r="M50" s="180"/>
      <c r="N50" s="183" t="s">
        <v>118</v>
      </c>
      <c r="O50" s="188">
        <f>'100% Equity Portfolio'!H28</f>
        <v>906316.15011990967</v>
      </c>
      <c r="P50" s="185"/>
    </row>
    <row r="51" spans="3:16" x14ac:dyDescent="0.35">
      <c r="C51" s="184"/>
      <c r="D51" s="180"/>
      <c r="E51" s="180"/>
      <c r="F51" s="180"/>
      <c r="G51" s="180"/>
      <c r="H51" s="180"/>
      <c r="I51" s="180"/>
      <c r="J51" s="256" t="s">
        <v>125</v>
      </c>
      <c r="K51" s="182"/>
      <c r="L51" s="180"/>
      <c r="M51" s="180"/>
      <c r="N51" s="183" t="s">
        <v>107</v>
      </c>
      <c r="O51" s="182"/>
      <c r="P51" s="185"/>
    </row>
    <row r="52" spans="3:16" x14ac:dyDescent="0.35">
      <c r="C52" s="184"/>
      <c r="D52" s="180"/>
      <c r="E52" s="180"/>
      <c r="F52" s="180"/>
      <c r="G52" s="180"/>
      <c r="H52" s="180"/>
      <c r="I52" s="180"/>
      <c r="J52" s="181" t="s">
        <v>297</v>
      </c>
      <c r="K52" s="182">
        <f>K47*K42</f>
        <v>344472.23774816439</v>
      </c>
      <c r="L52" s="180"/>
      <c r="M52" s="180"/>
      <c r="N52" s="257" t="s">
        <v>119</v>
      </c>
      <c r="O52" s="189">
        <f>K47*O50</f>
        <v>309263.50158102124</v>
      </c>
      <c r="P52" s="185"/>
    </row>
    <row r="53" spans="3:16" x14ac:dyDescent="0.35">
      <c r="C53" s="184"/>
      <c r="D53" s="180"/>
      <c r="E53" s="180"/>
      <c r="F53" s="180"/>
      <c r="G53" s="180"/>
      <c r="H53" s="180"/>
      <c r="I53" s="180"/>
      <c r="J53" s="181" t="s">
        <v>126</v>
      </c>
      <c r="K53" s="187">
        <f>K45+K50</f>
        <v>881400.30697476654</v>
      </c>
      <c r="L53" s="180"/>
      <c r="M53" s="180"/>
      <c r="N53" s="257" t="s">
        <v>120</v>
      </c>
      <c r="O53" s="187">
        <f>K53*W23</f>
        <v>907237.12469380652</v>
      </c>
      <c r="P53" s="185"/>
    </row>
    <row r="54" spans="3:16" x14ac:dyDescent="0.35">
      <c r="C54" s="184"/>
      <c r="D54" s="180"/>
      <c r="E54" s="180"/>
      <c r="F54" s="180"/>
      <c r="G54" s="180"/>
      <c r="H54" s="180"/>
      <c r="I54" s="180"/>
      <c r="J54" s="194" t="s">
        <v>145</v>
      </c>
      <c r="K54" s="193">
        <f>K52+K53</f>
        <v>1225872.544722931</v>
      </c>
      <c r="L54" s="180"/>
      <c r="M54" s="180"/>
      <c r="N54" s="194" t="s">
        <v>145</v>
      </c>
      <c r="O54" s="193">
        <f>O52+O53</f>
        <v>1216500.6262748279</v>
      </c>
      <c r="P54" s="185"/>
    </row>
    <row r="55" spans="3:16" x14ac:dyDescent="0.35">
      <c r="C55" s="184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5"/>
    </row>
    <row r="56" spans="3:16" x14ac:dyDescent="0.35">
      <c r="C56" s="184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5"/>
    </row>
    <row r="57" spans="3:16" x14ac:dyDescent="0.35">
      <c r="C57" s="730" t="s">
        <v>133</v>
      </c>
      <c r="D57" s="717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5"/>
    </row>
    <row r="58" spans="3:16" x14ac:dyDescent="0.35">
      <c r="C58" s="607" t="s">
        <v>118</v>
      </c>
      <c r="D58" s="190">
        <f>'100% Equity Portfolio'!B30</f>
        <v>1000000</v>
      </c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5"/>
    </row>
    <row r="59" spans="3:16" x14ac:dyDescent="0.35">
      <c r="C59" s="607" t="s">
        <v>107</v>
      </c>
      <c r="D59" s="188">
        <v>1211515.2327797615</v>
      </c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5"/>
    </row>
    <row r="60" spans="3:16" x14ac:dyDescent="0.35">
      <c r="C60" s="607" t="s">
        <v>134</v>
      </c>
      <c r="D60" s="187">
        <f>'Delta 1'!D32</f>
        <v>0.56890131101577612</v>
      </c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5"/>
    </row>
    <row r="61" spans="3:16" x14ac:dyDescent="0.35">
      <c r="C61" s="607" t="s">
        <v>125</v>
      </c>
      <c r="D61" s="182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5"/>
    </row>
    <row r="62" spans="3:16" x14ac:dyDescent="0.35">
      <c r="C62" s="184" t="s">
        <v>291</v>
      </c>
      <c r="D62" s="187">
        <f>D60*D58</f>
        <v>568901.31101577613</v>
      </c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5"/>
    </row>
    <row r="63" spans="3:16" x14ac:dyDescent="0.35">
      <c r="C63" s="184" t="s">
        <v>126</v>
      </c>
      <c r="D63" s="187">
        <f>D59-D62</f>
        <v>642613.92176398542</v>
      </c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5"/>
    </row>
    <row r="64" spans="3:16" x14ac:dyDescent="0.35">
      <c r="C64" s="608" t="s">
        <v>145</v>
      </c>
      <c r="D64" s="193">
        <f>D62+D63</f>
        <v>1211515.2327797615</v>
      </c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5"/>
    </row>
    <row r="65" spans="3:16" x14ac:dyDescent="0.35">
      <c r="C65" s="184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5"/>
    </row>
    <row r="66" spans="3:16" x14ac:dyDescent="0.35">
      <c r="C66" s="184"/>
      <c r="D66" s="180"/>
      <c r="E66" s="180"/>
      <c r="F66" s="180"/>
      <c r="G66" s="180"/>
      <c r="H66" s="180"/>
      <c r="I66" s="180"/>
      <c r="J66" s="716" t="s">
        <v>135</v>
      </c>
      <c r="K66" s="717"/>
      <c r="L66" s="180"/>
      <c r="M66" s="180"/>
      <c r="N66" s="716" t="s">
        <v>136</v>
      </c>
      <c r="O66" s="717"/>
      <c r="P66" s="185"/>
    </row>
    <row r="67" spans="3:16" x14ac:dyDescent="0.35">
      <c r="C67" s="184"/>
      <c r="D67" s="180"/>
      <c r="E67" s="180"/>
      <c r="F67" s="180"/>
      <c r="G67" s="180"/>
      <c r="H67" s="180"/>
      <c r="I67" s="180"/>
      <c r="J67" s="183" t="s">
        <v>118</v>
      </c>
      <c r="K67" s="188">
        <f>'100% Equity Portfolio'!F34</f>
        <v>990591.78834106424</v>
      </c>
      <c r="L67" s="180"/>
      <c r="M67" s="180"/>
      <c r="N67" s="183" t="s">
        <v>118</v>
      </c>
      <c r="O67" s="188">
        <f>'100% Equity Portfolio'!H32</f>
        <v>1103367.7374806746</v>
      </c>
      <c r="P67" s="185"/>
    </row>
    <row r="68" spans="3:16" x14ac:dyDescent="0.35">
      <c r="C68" s="184"/>
      <c r="D68" s="180"/>
      <c r="E68" s="180"/>
      <c r="F68" s="180"/>
      <c r="G68" s="180"/>
      <c r="H68" s="180"/>
      <c r="I68" s="180"/>
      <c r="J68" s="183" t="s">
        <v>107</v>
      </c>
      <c r="K68" s="182"/>
      <c r="L68" s="180"/>
      <c r="M68" s="180"/>
      <c r="N68" s="183" t="s">
        <v>107</v>
      </c>
      <c r="O68" s="182"/>
      <c r="P68" s="185"/>
    </row>
    <row r="69" spans="3:16" x14ac:dyDescent="0.35">
      <c r="C69" s="184"/>
      <c r="D69" s="180"/>
      <c r="E69" s="180"/>
      <c r="F69" s="180"/>
      <c r="G69" s="180"/>
      <c r="H69" s="180"/>
      <c r="I69" s="180"/>
      <c r="J69" s="257" t="s">
        <v>119</v>
      </c>
      <c r="K69" s="189">
        <f>K67*G88</f>
        <v>168485.42685538903</v>
      </c>
      <c r="L69" s="180"/>
      <c r="M69" s="180"/>
      <c r="N69" s="257" t="s">
        <v>119</v>
      </c>
      <c r="O69" s="182">
        <f>O67*K72</f>
        <v>275127.86595688178</v>
      </c>
      <c r="P69" s="185"/>
    </row>
    <row r="70" spans="3:16" x14ac:dyDescent="0.35">
      <c r="C70" s="184"/>
      <c r="D70" s="180"/>
      <c r="E70" s="180"/>
      <c r="F70" s="180"/>
      <c r="G70" s="180"/>
      <c r="H70" s="180"/>
      <c r="I70" s="180"/>
      <c r="J70" s="257" t="s">
        <v>120</v>
      </c>
      <c r="K70" s="187">
        <f>G94*V23</f>
        <v>1044933.1461934861</v>
      </c>
      <c r="L70" s="180"/>
      <c r="M70" s="180"/>
      <c r="N70" s="257" t="s">
        <v>120</v>
      </c>
      <c r="O70" s="187">
        <f>K78*W23</f>
        <v>994740.4977947775</v>
      </c>
      <c r="P70" s="185"/>
    </row>
    <row r="71" spans="3:16" x14ac:dyDescent="0.35">
      <c r="C71" s="184"/>
      <c r="D71" s="180"/>
      <c r="E71" s="180"/>
      <c r="F71" s="180"/>
      <c r="G71" s="180"/>
      <c r="H71" s="180"/>
      <c r="I71" s="180"/>
      <c r="J71" s="196" t="s">
        <v>145</v>
      </c>
      <c r="K71" s="197">
        <f>K69+K70</f>
        <v>1213418.5730488752</v>
      </c>
      <c r="L71" s="180"/>
      <c r="M71" s="180"/>
      <c r="N71" s="194" t="s">
        <v>145</v>
      </c>
      <c r="O71" s="193">
        <f>O69+O70</f>
        <v>1269868.3637516592</v>
      </c>
      <c r="P71" s="185"/>
    </row>
    <row r="72" spans="3:16" x14ac:dyDescent="0.35">
      <c r="C72" s="184"/>
      <c r="D72" s="180"/>
      <c r="E72" s="180"/>
      <c r="F72" s="180"/>
      <c r="G72" s="180"/>
      <c r="H72" s="180"/>
      <c r="I72" s="180"/>
      <c r="J72" s="183" t="s">
        <v>122</v>
      </c>
      <c r="K72" s="188">
        <f>'Delta 1'!H38</f>
        <v>0.24935282826474758</v>
      </c>
      <c r="L72" s="180"/>
      <c r="M72" s="180"/>
      <c r="N72" s="180"/>
      <c r="O72" s="180"/>
      <c r="P72" s="185"/>
    </row>
    <row r="73" spans="3:16" x14ac:dyDescent="0.35">
      <c r="C73" s="184"/>
      <c r="D73" s="180"/>
      <c r="E73" s="180"/>
      <c r="F73" s="180"/>
      <c r="G73" s="180"/>
      <c r="H73" s="180"/>
      <c r="I73" s="180"/>
      <c r="J73" s="718" t="s">
        <v>143</v>
      </c>
      <c r="K73" s="719"/>
      <c r="L73" s="180"/>
      <c r="M73" s="180"/>
      <c r="N73" s="180"/>
      <c r="O73" s="180"/>
      <c r="P73" s="185"/>
    </row>
    <row r="74" spans="3:16" x14ac:dyDescent="0.35">
      <c r="C74" s="184"/>
      <c r="D74" s="180"/>
      <c r="E74" s="180"/>
      <c r="F74" s="180"/>
      <c r="G74" s="180"/>
      <c r="H74" s="180"/>
      <c r="I74" s="180"/>
      <c r="J74" s="181" t="s">
        <v>299</v>
      </c>
      <c r="K74" s="187">
        <f>K67*(K72-G88)</f>
        <v>78521.43722328954</v>
      </c>
      <c r="L74" s="180"/>
      <c r="M74" s="180"/>
      <c r="N74" s="716" t="s">
        <v>137</v>
      </c>
      <c r="O74" s="717"/>
      <c r="P74" s="185"/>
    </row>
    <row r="75" spans="3:16" x14ac:dyDescent="0.35">
      <c r="C75" s="184"/>
      <c r="D75" s="180"/>
      <c r="E75" s="180"/>
      <c r="F75" s="180"/>
      <c r="G75" s="180"/>
      <c r="H75" s="180"/>
      <c r="I75" s="180"/>
      <c r="J75" s="181" t="s">
        <v>123</v>
      </c>
      <c r="K75" s="187">
        <f>K71-K69-K74-K70</f>
        <v>-78521.437223289395</v>
      </c>
      <c r="L75" s="180"/>
      <c r="M75" s="180"/>
      <c r="N75" s="183" t="s">
        <v>118</v>
      </c>
      <c r="O75" s="188">
        <f>'100% Equity Portfolio'!H36</f>
        <v>889342.74385191966</v>
      </c>
      <c r="P75" s="185"/>
    </row>
    <row r="76" spans="3:16" x14ac:dyDescent="0.35">
      <c r="C76" s="184"/>
      <c r="D76" s="180"/>
      <c r="E76" s="180"/>
      <c r="F76" s="180"/>
      <c r="G76" s="180"/>
      <c r="H76" s="180"/>
      <c r="I76" s="180"/>
      <c r="J76" s="256" t="s">
        <v>125</v>
      </c>
      <c r="K76" s="182"/>
      <c r="L76" s="180"/>
      <c r="M76" s="180"/>
      <c r="N76" s="183" t="s">
        <v>107</v>
      </c>
      <c r="O76" s="182"/>
      <c r="P76" s="185"/>
    </row>
    <row r="77" spans="3:16" x14ac:dyDescent="0.35">
      <c r="C77" s="184"/>
      <c r="D77" s="180"/>
      <c r="E77" s="180"/>
      <c r="F77" s="180"/>
      <c r="G77" s="180"/>
      <c r="H77" s="180"/>
      <c r="I77" s="180"/>
      <c r="J77" s="181" t="s">
        <v>298</v>
      </c>
      <c r="K77" s="189">
        <f>K72*K67</f>
        <v>247006.86407867857</v>
      </c>
      <c r="L77" s="180"/>
      <c r="M77" s="180"/>
      <c r="N77" s="257" t="s">
        <v>119</v>
      </c>
      <c r="O77" s="189">
        <f>O75*K72</f>
        <v>221760.12847620712</v>
      </c>
      <c r="P77" s="185"/>
    </row>
    <row r="78" spans="3:16" x14ac:dyDescent="0.35">
      <c r="C78" s="184"/>
      <c r="D78" s="180"/>
      <c r="E78" s="180"/>
      <c r="F78" s="180"/>
      <c r="G78" s="180"/>
      <c r="H78" s="180"/>
      <c r="I78" s="180"/>
      <c r="J78" s="181" t="s">
        <v>126</v>
      </c>
      <c r="K78" s="187">
        <f>K70+K75</f>
        <v>966411.70897019666</v>
      </c>
      <c r="L78" s="180"/>
      <c r="M78" s="180"/>
      <c r="N78" s="257" t="s">
        <v>120</v>
      </c>
      <c r="O78" s="187">
        <f>K78*W23</f>
        <v>994740.4977947775</v>
      </c>
      <c r="P78" s="185"/>
    </row>
    <row r="79" spans="3:16" x14ac:dyDescent="0.35">
      <c r="C79" s="184"/>
      <c r="D79" s="180"/>
      <c r="E79" s="180"/>
      <c r="F79" s="180"/>
      <c r="G79" s="180"/>
      <c r="H79" s="180"/>
      <c r="I79" s="180"/>
      <c r="J79" s="194" t="s">
        <v>145</v>
      </c>
      <c r="K79" s="193">
        <f>K77+K78</f>
        <v>1213418.5730488752</v>
      </c>
      <c r="L79" s="180"/>
      <c r="M79" s="180"/>
      <c r="N79" s="194" t="s">
        <v>145</v>
      </c>
      <c r="O79" s="193">
        <f>O77+O78</f>
        <v>1216500.6262709845</v>
      </c>
      <c r="P79" s="185"/>
    </row>
    <row r="80" spans="3:16" x14ac:dyDescent="0.35">
      <c r="C80" s="184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5"/>
    </row>
    <row r="81" spans="3:16" x14ac:dyDescent="0.35">
      <c r="C81" s="184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5"/>
    </row>
    <row r="82" spans="3:16" x14ac:dyDescent="0.35">
      <c r="C82" s="184"/>
      <c r="D82" s="180"/>
      <c r="E82" s="180"/>
      <c r="F82" s="716" t="s">
        <v>138</v>
      </c>
      <c r="G82" s="717"/>
      <c r="H82" s="180"/>
      <c r="I82" s="180"/>
      <c r="J82" s="180"/>
      <c r="K82" s="180"/>
      <c r="L82" s="180"/>
      <c r="M82" s="180"/>
      <c r="N82" s="180"/>
      <c r="O82" s="180"/>
      <c r="P82" s="185"/>
    </row>
    <row r="83" spans="3:16" x14ac:dyDescent="0.35">
      <c r="C83" s="184"/>
      <c r="D83" s="180"/>
      <c r="E83" s="180"/>
      <c r="F83" s="183" t="s">
        <v>118</v>
      </c>
      <c r="G83" s="188">
        <f>'100% Equity Portfolio'!D38</f>
        <v>893001.52075851685</v>
      </c>
      <c r="H83" s="180"/>
      <c r="I83" s="180"/>
      <c r="J83" s="180"/>
      <c r="K83" s="180"/>
      <c r="L83" s="180"/>
      <c r="M83" s="180"/>
      <c r="N83" s="180"/>
      <c r="O83" s="180"/>
      <c r="P83" s="185"/>
    </row>
    <row r="84" spans="3:16" x14ac:dyDescent="0.35">
      <c r="C84" s="184"/>
      <c r="D84" s="180"/>
      <c r="E84" s="180"/>
      <c r="F84" s="183" t="s">
        <v>107</v>
      </c>
      <c r="G84" s="191"/>
      <c r="H84" s="180"/>
      <c r="I84" s="180"/>
      <c r="J84" s="180"/>
      <c r="K84" s="180"/>
      <c r="L84" s="180"/>
      <c r="M84" s="180"/>
      <c r="N84" s="180"/>
      <c r="O84" s="180"/>
      <c r="P84" s="185"/>
    </row>
    <row r="85" spans="3:16" x14ac:dyDescent="0.35">
      <c r="C85" s="184"/>
      <c r="D85" s="180"/>
      <c r="E85" s="180"/>
      <c r="F85" s="257" t="s">
        <v>119</v>
      </c>
      <c r="G85" s="189">
        <f>D60*G83</f>
        <v>508029.73589860206</v>
      </c>
      <c r="H85" s="180"/>
      <c r="I85" s="180"/>
      <c r="J85" s="180"/>
      <c r="K85" s="180"/>
      <c r="L85" s="180"/>
      <c r="M85" s="180"/>
      <c r="N85" s="180"/>
      <c r="O85" s="180"/>
      <c r="P85" s="185"/>
    </row>
    <row r="86" spans="3:16" x14ac:dyDescent="0.35">
      <c r="C86" s="184"/>
      <c r="D86" s="180"/>
      <c r="E86" s="180"/>
      <c r="F86" s="257" t="s">
        <v>120</v>
      </c>
      <c r="G86" s="187">
        <f>D63*U23</f>
        <v>661315.09910051676</v>
      </c>
      <c r="H86" s="180"/>
      <c r="I86" s="180"/>
      <c r="J86" s="180"/>
      <c r="K86" s="180"/>
      <c r="L86" s="180"/>
      <c r="M86" s="180"/>
      <c r="N86" s="180"/>
      <c r="O86" s="180"/>
      <c r="P86" s="185"/>
    </row>
    <row r="87" spans="3:16" x14ac:dyDescent="0.35">
      <c r="C87" s="184"/>
      <c r="D87" s="180"/>
      <c r="E87" s="180"/>
      <c r="F87" s="196" t="s">
        <v>145</v>
      </c>
      <c r="G87" s="197">
        <f>G85+G86</f>
        <v>1169344.8349991189</v>
      </c>
      <c r="H87" s="180"/>
      <c r="I87" s="180"/>
      <c r="J87" s="180"/>
      <c r="K87" s="180"/>
      <c r="L87" s="180"/>
      <c r="M87" s="180"/>
      <c r="N87" s="180"/>
      <c r="O87" s="180"/>
      <c r="P87" s="185"/>
    </row>
    <row r="88" spans="3:16" x14ac:dyDescent="0.35">
      <c r="C88" s="184"/>
      <c r="D88" s="180"/>
      <c r="E88" s="180"/>
      <c r="F88" s="183" t="s">
        <v>128</v>
      </c>
      <c r="G88" s="188">
        <f>'Delta 1'!F43</f>
        <v>0.17008562844797065</v>
      </c>
      <c r="H88" s="180"/>
      <c r="I88" s="180"/>
      <c r="J88" s="180"/>
      <c r="K88" s="180"/>
      <c r="L88" s="180"/>
      <c r="M88" s="180"/>
      <c r="N88" s="180"/>
      <c r="O88" s="180"/>
      <c r="P88" s="185"/>
    </row>
    <row r="89" spans="3:16" x14ac:dyDescent="0.35">
      <c r="C89" s="184"/>
      <c r="D89" s="180"/>
      <c r="E89" s="180"/>
      <c r="F89" s="718" t="s">
        <v>143</v>
      </c>
      <c r="G89" s="719"/>
      <c r="H89" s="180"/>
      <c r="I89" s="180"/>
      <c r="J89" s="180"/>
      <c r="K89" s="180"/>
      <c r="L89" s="180"/>
      <c r="M89" s="180"/>
      <c r="N89" s="180"/>
      <c r="O89" s="180"/>
      <c r="P89" s="185"/>
    </row>
    <row r="90" spans="3:16" x14ac:dyDescent="0.35">
      <c r="C90" s="184"/>
      <c r="D90" s="180"/>
      <c r="E90" s="180"/>
      <c r="F90" s="181" t="s">
        <v>292</v>
      </c>
      <c r="G90" s="187">
        <f>G83*(G88-D60)</f>
        <v>-356143.01103539619</v>
      </c>
      <c r="H90" s="180"/>
      <c r="I90" s="180"/>
      <c r="J90" s="180"/>
      <c r="K90" s="180"/>
      <c r="L90" s="180"/>
      <c r="M90" s="180"/>
      <c r="N90" s="180"/>
      <c r="O90" s="180"/>
      <c r="P90" s="185"/>
    </row>
    <row r="91" spans="3:16" x14ac:dyDescent="0.35">
      <c r="C91" s="184"/>
      <c r="D91" s="180"/>
      <c r="E91" s="180"/>
      <c r="F91" s="181" t="s">
        <v>131</v>
      </c>
      <c r="G91" s="187">
        <f>G87-G85-G90-G86</f>
        <v>356143.01103539637</v>
      </c>
      <c r="H91" s="180"/>
      <c r="I91" s="180"/>
      <c r="J91" s="180"/>
      <c r="K91" s="180"/>
      <c r="L91" s="180"/>
      <c r="M91" s="180"/>
      <c r="N91" s="180"/>
      <c r="O91" s="180"/>
      <c r="P91" s="185"/>
    </row>
    <row r="92" spans="3:16" x14ac:dyDescent="0.35">
      <c r="C92" s="184"/>
      <c r="D92" s="180"/>
      <c r="E92" s="180"/>
      <c r="F92" s="256" t="s">
        <v>125</v>
      </c>
      <c r="G92" s="182"/>
      <c r="H92" s="180"/>
      <c r="I92" s="180"/>
      <c r="J92" s="180"/>
      <c r="K92" s="180"/>
      <c r="L92" s="180"/>
      <c r="M92" s="180"/>
      <c r="N92" s="180"/>
      <c r="O92" s="180"/>
      <c r="P92" s="185"/>
    </row>
    <row r="93" spans="3:16" x14ac:dyDescent="0.35">
      <c r="C93" s="184"/>
      <c r="D93" s="180"/>
      <c r="E93" s="180"/>
      <c r="F93" s="181" t="s">
        <v>293</v>
      </c>
      <c r="G93" s="189">
        <f>G88*G83</f>
        <v>151886.72486320583</v>
      </c>
      <c r="H93" s="180"/>
      <c r="I93" s="180"/>
      <c r="J93" s="180"/>
      <c r="K93" s="180"/>
      <c r="L93" s="180"/>
      <c r="M93" s="180"/>
      <c r="N93" s="180"/>
      <c r="O93" s="180"/>
      <c r="P93" s="185"/>
    </row>
    <row r="94" spans="3:16" x14ac:dyDescent="0.35">
      <c r="C94" s="184"/>
      <c r="D94" s="180"/>
      <c r="E94" s="180"/>
      <c r="F94" s="181" t="s">
        <v>126</v>
      </c>
      <c r="G94" s="187">
        <f>G86+G91</f>
        <v>1017458.1101359131</v>
      </c>
      <c r="H94" s="180"/>
      <c r="I94" s="180"/>
      <c r="J94" s="180"/>
      <c r="K94" s="180"/>
      <c r="L94" s="180"/>
      <c r="M94" s="180"/>
      <c r="N94" s="180"/>
      <c r="O94" s="180"/>
      <c r="P94" s="185"/>
    </row>
    <row r="95" spans="3:16" x14ac:dyDescent="0.35">
      <c r="C95" s="184"/>
      <c r="D95" s="180"/>
      <c r="E95" s="180"/>
      <c r="F95" s="194" t="s">
        <v>145</v>
      </c>
      <c r="G95" s="193">
        <f>G93+G94</f>
        <v>1169344.8349991189</v>
      </c>
      <c r="H95" s="180"/>
      <c r="I95" s="180"/>
      <c r="J95" s="180"/>
      <c r="K95" s="180"/>
      <c r="L95" s="180"/>
      <c r="M95" s="180"/>
      <c r="N95" s="180"/>
      <c r="O95" s="180"/>
      <c r="P95" s="185"/>
    </row>
    <row r="96" spans="3:16" x14ac:dyDescent="0.35">
      <c r="C96" s="184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P96" s="185"/>
    </row>
    <row r="97" spans="3:16" x14ac:dyDescent="0.35">
      <c r="C97" s="184"/>
      <c r="D97" s="180"/>
      <c r="E97" s="180"/>
      <c r="F97" s="180"/>
      <c r="G97" s="180"/>
      <c r="H97" s="180"/>
      <c r="I97" s="180"/>
      <c r="J97" s="716" t="s">
        <v>140</v>
      </c>
      <c r="K97" s="717"/>
      <c r="L97" s="180"/>
      <c r="M97" s="180"/>
      <c r="N97" s="716" t="s">
        <v>139</v>
      </c>
      <c r="O97" s="717"/>
      <c r="P97" s="185"/>
    </row>
    <row r="98" spans="3:16" x14ac:dyDescent="0.35">
      <c r="C98" s="184"/>
      <c r="D98" s="180"/>
      <c r="E98" s="180"/>
      <c r="F98" s="180"/>
      <c r="G98" s="180"/>
      <c r="H98" s="180"/>
      <c r="I98" s="180"/>
      <c r="J98" s="183" t="s">
        <v>118</v>
      </c>
      <c r="K98" s="188">
        <f>'100% Equity Portfolio'!F42</f>
        <v>805025.56700223568</v>
      </c>
      <c r="L98" s="180"/>
      <c r="M98" s="180"/>
      <c r="N98" s="183" t="s">
        <v>118</v>
      </c>
      <c r="O98" s="188">
        <f>'100% Equity Portfolio'!H40</f>
        <v>896675.34995911969</v>
      </c>
      <c r="P98" s="185"/>
    </row>
    <row r="99" spans="3:16" x14ac:dyDescent="0.35">
      <c r="C99" s="184"/>
      <c r="D99" s="180"/>
      <c r="E99" s="180"/>
      <c r="F99" s="180"/>
      <c r="G99" s="180"/>
      <c r="H99" s="180"/>
      <c r="I99" s="180"/>
      <c r="J99" s="183" t="s">
        <v>107</v>
      </c>
      <c r="K99" s="182"/>
      <c r="L99" s="180"/>
      <c r="M99" s="180"/>
      <c r="N99" s="183" t="s">
        <v>107</v>
      </c>
      <c r="O99" s="182"/>
      <c r="P99" s="185"/>
    </row>
    <row r="100" spans="3:16" x14ac:dyDescent="0.35">
      <c r="C100" s="184"/>
      <c r="D100" s="180"/>
      <c r="E100" s="180"/>
      <c r="F100" s="180"/>
      <c r="G100" s="180"/>
      <c r="H100" s="180"/>
      <c r="I100" s="180"/>
      <c r="J100" s="257" t="s">
        <v>119</v>
      </c>
      <c r="K100" s="433">
        <f>K98*G88</f>
        <v>136923.27948025917</v>
      </c>
      <c r="L100" s="180"/>
      <c r="M100" s="180"/>
      <c r="N100" s="257" t="s">
        <v>119</v>
      </c>
      <c r="O100" s="192">
        <f>O98*K103</f>
        <v>0</v>
      </c>
      <c r="P100" s="185"/>
    </row>
    <row r="101" spans="3:16" x14ac:dyDescent="0.35">
      <c r="C101" s="184"/>
      <c r="D101" s="180"/>
      <c r="E101" s="180"/>
      <c r="F101" s="180"/>
      <c r="G101" s="180"/>
      <c r="H101" s="180"/>
      <c r="I101" s="180"/>
      <c r="J101" s="257" t="s">
        <v>120</v>
      </c>
      <c r="K101" s="434">
        <f>G94*V23</f>
        <v>1044933.1461934861</v>
      </c>
      <c r="L101" s="180"/>
      <c r="M101" s="180"/>
      <c r="N101" s="257" t="s">
        <v>120</v>
      </c>
      <c r="O101" s="187">
        <f>K109*W23</f>
        <v>1216500.6262697438</v>
      </c>
      <c r="P101" s="185"/>
    </row>
    <row r="102" spans="3:16" x14ac:dyDescent="0.35">
      <c r="C102" s="184"/>
      <c r="D102" s="180"/>
      <c r="E102" s="180"/>
      <c r="F102" s="180"/>
      <c r="G102" s="180"/>
      <c r="H102" s="180"/>
      <c r="I102" s="180"/>
      <c r="J102" s="196" t="s">
        <v>145</v>
      </c>
      <c r="K102" s="435">
        <f>K100+K101</f>
        <v>1181856.4256737451</v>
      </c>
      <c r="L102" s="180"/>
      <c r="M102" s="180"/>
      <c r="N102" s="194" t="s">
        <v>145</v>
      </c>
      <c r="O102" s="193">
        <f>O100+O101</f>
        <v>1216500.6262697438</v>
      </c>
      <c r="P102" s="185"/>
    </row>
    <row r="103" spans="3:16" x14ac:dyDescent="0.35">
      <c r="C103" s="184"/>
      <c r="D103" s="180"/>
      <c r="E103" s="180"/>
      <c r="F103" s="180"/>
      <c r="G103" s="180"/>
      <c r="H103" s="180"/>
      <c r="I103" s="180"/>
      <c r="J103" s="183" t="s">
        <v>128</v>
      </c>
      <c r="K103" s="436">
        <f>'Delta 1'!H47</f>
        <v>0</v>
      </c>
      <c r="L103" s="180"/>
      <c r="M103" s="180"/>
      <c r="N103" s="180"/>
      <c r="O103" s="180"/>
      <c r="P103" s="185"/>
    </row>
    <row r="104" spans="3:16" x14ac:dyDescent="0.35">
      <c r="C104" s="184"/>
      <c r="D104" s="180"/>
      <c r="E104" s="180"/>
      <c r="F104" s="180"/>
      <c r="G104" s="180"/>
      <c r="H104" s="180"/>
      <c r="I104" s="180"/>
      <c r="J104" s="718" t="s">
        <v>143</v>
      </c>
      <c r="K104" s="719"/>
      <c r="L104" s="180"/>
      <c r="M104" s="180"/>
      <c r="P104" s="185"/>
    </row>
    <row r="105" spans="3:16" x14ac:dyDescent="0.35">
      <c r="C105" s="184"/>
      <c r="D105" s="180"/>
      <c r="E105" s="180"/>
      <c r="F105" s="180"/>
      <c r="G105" s="180"/>
      <c r="H105" s="180"/>
      <c r="I105" s="180"/>
      <c r="J105" s="181" t="s">
        <v>300</v>
      </c>
      <c r="K105" s="434">
        <f>K98*(K103-G88)</f>
        <v>-136923.27948025917</v>
      </c>
      <c r="L105" s="180"/>
      <c r="M105" s="180"/>
      <c r="N105" s="716" t="s">
        <v>141</v>
      </c>
      <c r="O105" s="717"/>
      <c r="P105" s="185"/>
    </row>
    <row r="106" spans="3:16" x14ac:dyDescent="0.35">
      <c r="C106" s="184"/>
      <c r="D106" s="180"/>
      <c r="E106" s="180"/>
      <c r="F106" s="180"/>
      <c r="G106" s="180"/>
      <c r="H106" s="180"/>
      <c r="I106" s="180"/>
      <c r="J106" s="181" t="s">
        <v>131</v>
      </c>
      <c r="K106" s="187">
        <f>K102-K100-K105-K101</f>
        <v>136923.27948025905</v>
      </c>
      <c r="L106" s="180"/>
      <c r="M106" s="180"/>
      <c r="N106" s="183" t="s">
        <v>118</v>
      </c>
      <c r="O106" s="188">
        <f>'100% Equity Portfolio'!H44</f>
        <v>722743.36922144343</v>
      </c>
      <c r="P106" s="185"/>
    </row>
    <row r="107" spans="3:16" x14ac:dyDescent="0.35">
      <c r="C107" s="184"/>
      <c r="D107" s="180"/>
      <c r="E107" s="180"/>
      <c r="F107" s="180"/>
      <c r="G107" s="180"/>
      <c r="H107" s="180"/>
      <c r="I107" s="180"/>
      <c r="J107" s="256" t="s">
        <v>125</v>
      </c>
      <c r="K107" s="90"/>
      <c r="L107" s="180"/>
      <c r="M107" s="180"/>
      <c r="N107" s="183" t="s">
        <v>107</v>
      </c>
      <c r="O107" s="182"/>
      <c r="P107" s="185"/>
    </row>
    <row r="108" spans="3:16" x14ac:dyDescent="0.35">
      <c r="C108" s="184"/>
      <c r="D108" s="180"/>
      <c r="E108" s="180"/>
      <c r="F108" s="180"/>
      <c r="G108" s="180"/>
      <c r="H108" s="180"/>
      <c r="I108" s="180"/>
      <c r="J108" s="181" t="s">
        <v>301</v>
      </c>
      <c r="K108" s="90">
        <f>K103*K98</f>
        <v>0</v>
      </c>
      <c r="L108" s="180"/>
      <c r="M108" s="180"/>
      <c r="N108" s="257" t="s">
        <v>119</v>
      </c>
      <c r="O108" s="182">
        <f>O106*K103</f>
        <v>0</v>
      </c>
      <c r="P108" s="185"/>
    </row>
    <row r="109" spans="3:16" x14ac:dyDescent="0.35">
      <c r="C109" s="184"/>
      <c r="D109" s="180"/>
      <c r="E109" s="180"/>
      <c r="F109" s="180"/>
      <c r="G109" s="180"/>
      <c r="H109" s="180"/>
      <c r="I109" s="180"/>
      <c r="J109" s="181" t="s">
        <v>126</v>
      </c>
      <c r="K109" s="187">
        <f>K101+K106</f>
        <v>1181856.4256737451</v>
      </c>
      <c r="L109" s="180"/>
      <c r="M109" s="180"/>
      <c r="N109" s="257" t="s">
        <v>120</v>
      </c>
      <c r="O109" s="187">
        <f>K109*W23</f>
        <v>1216500.6262697438</v>
      </c>
      <c r="P109" s="185"/>
    </row>
    <row r="110" spans="3:16" x14ac:dyDescent="0.35">
      <c r="C110" s="184"/>
      <c r="D110" s="180"/>
      <c r="E110" s="180"/>
      <c r="F110" s="180"/>
      <c r="G110" s="180"/>
      <c r="H110" s="180"/>
      <c r="I110" s="180"/>
      <c r="J110" s="194" t="s">
        <v>145</v>
      </c>
      <c r="K110" s="193">
        <f>K108+K109</f>
        <v>1181856.4256737451</v>
      </c>
      <c r="L110" s="180"/>
      <c r="M110" s="180"/>
      <c r="N110" s="194" t="s">
        <v>145</v>
      </c>
      <c r="O110" s="193">
        <f>O108+O109</f>
        <v>1216500.6262697438</v>
      </c>
      <c r="P110" s="185"/>
    </row>
    <row r="111" spans="3:16" x14ac:dyDescent="0.35">
      <c r="C111" s="184"/>
      <c r="D111" s="180"/>
      <c r="E111" s="180"/>
      <c r="F111" s="180"/>
      <c r="G111" s="180"/>
      <c r="H111" s="180"/>
      <c r="I111" s="180"/>
      <c r="J111" s="301"/>
      <c r="K111" s="302"/>
      <c r="N111" s="609"/>
      <c r="O111" s="610"/>
      <c r="P111" s="185"/>
    </row>
    <row r="112" spans="3:16" ht="15" thickBot="1" x14ac:dyDescent="0.4">
      <c r="C112" s="728" t="s">
        <v>202</v>
      </c>
      <c r="D112" s="727"/>
      <c r="E112" s="727" t="s">
        <v>79</v>
      </c>
      <c r="F112" s="727"/>
      <c r="G112" s="727"/>
      <c r="H112" s="727" t="s">
        <v>81</v>
      </c>
      <c r="I112" s="727"/>
      <c r="J112" s="727"/>
      <c r="K112" s="727"/>
      <c r="L112" s="727" t="s">
        <v>77</v>
      </c>
      <c r="M112" s="727"/>
      <c r="N112" s="727"/>
      <c r="O112" s="727"/>
      <c r="P112" s="611"/>
    </row>
    <row r="117" spans="3:16" ht="18.5" x14ac:dyDescent="0.35">
      <c r="C117" s="722" t="s">
        <v>188</v>
      </c>
      <c r="D117" s="723"/>
      <c r="E117" s="724"/>
      <c r="F117" s="437"/>
      <c r="G117" s="437"/>
      <c r="H117" s="713" t="s">
        <v>144</v>
      </c>
      <c r="I117" s="714"/>
      <c r="J117" s="714"/>
      <c r="K117" s="714"/>
      <c r="L117" s="714"/>
      <c r="M117" s="714"/>
      <c r="N117" s="714"/>
      <c r="O117" s="714"/>
      <c r="P117" s="715"/>
    </row>
    <row r="118" spans="3:16" ht="43.5" x14ac:dyDescent="0.35">
      <c r="C118" s="438" t="s">
        <v>72</v>
      </c>
      <c r="D118" s="439" t="s">
        <v>189</v>
      </c>
      <c r="E118" s="440" t="s">
        <v>190</v>
      </c>
      <c r="F118" s="437"/>
      <c r="G118" s="180"/>
      <c r="H118" s="222" t="s">
        <v>60</v>
      </c>
      <c r="I118" s="725" t="s">
        <v>191</v>
      </c>
      <c r="J118" s="726"/>
      <c r="K118" s="725" t="s">
        <v>192</v>
      </c>
      <c r="L118" s="726"/>
      <c r="M118" s="725" t="s">
        <v>193</v>
      </c>
      <c r="N118" s="726"/>
      <c r="O118" s="725" t="s">
        <v>194</v>
      </c>
      <c r="P118" s="726"/>
    </row>
    <row r="119" spans="3:16" x14ac:dyDescent="0.35">
      <c r="C119" s="637" t="str">
        <f>'DSEX Data'!G3</f>
        <v>Q4 2024</v>
      </c>
      <c r="D119" s="442">
        <f>'DSEX Data'!H3</f>
        <v>5243.6320408163265</v>
      </c>
      <c r="E119" s="443"/>
      <c r="F119" s="437"/>
      <c r="G119" s="180"/>
      <c r="H119" s="311" t="s">
        <v>195</v>
      </c>
      <c r="I119" s="441"/>
      <c r="J119" s="444"/>
      <c r="K119" s="445"/>
      <c r="L119" s="445">
        <f>G93</f>
        <v>151886.72486320583</v>
      </c>
      <c r="M119" s="446"/>
      <c r="N119" s="447">
        <f>M107</f>
        <v>0</v>
      </c>
      <c r="O119" s="448"/>
      <c r="P119" s="447">
        <f>Q109</f>
        <v>0</v>
      </c>
    </row>
    <row r="120" spans="3:16" x14ac:dyDescent="0.35">
      <c r="C120" s="638" t="str">
        <f>'DSEX Data'!G4</f>
        <v>Q1 2025</v>
      </c>
      <c r="D120" s="442">
        <f>'DSEX Data'!H4</f>
        <v>5190.0984210526312</v>
      </c>
      <c r="E120" s="449">
        <f>D120-D119</f>
        <v>-53.533619763695242</v>
      </c>
      <c r="F120" s="437"/>
      <c r="G120" s="180"/>
      <c r="H120" s="311" t="s">
        <v>196</v>
      </c>
      <c r="I120" s="450"/>
      <c r="J120" s="444"/>
      <c r="K120" s="451"/>
      <c r="L120" s="445">
        <f>G94</f>
        <v>1017458.1101359131</v>
      </c>
      <c r="M120" s="451"/>
      <c r="N120" s="452">
        <f>K109</f>
        <v>1181856.4256737451</v>
      </c>
      <c r="O120" s="451"/>
      <c r="P120" s="452">
        <f>O101</f>
        <v>1216500.6262697438</v>
      </c>
    </row>
    <row r="121" spans="3:16" x14ac:dyDescent="0.35">
      <c r="C121" s="638" t="str">
        <f>'DSEX Data'!G5</f>
        <v>Q2 2025</v>
      </c>
      <c r="D121" s="442">
        <f>'DSEX Data'!H5</f>
        <v>4878.9333333333325</v>
      </c>
      <c r="E121" s="449">
        <f>D121-D120</f>
        <v>-311.16508771929875</v>
      </c>
      <c r="F121" s="437"/>
      <c r="G121" s="180"/>
      <c r="H121" s="414" t="s">
        <v>197</v>
      </c>
      <c r="I121" s="450"/>
      <c r="J121" s="453">
        <f>D58</f>
        <v>1000000</v>
      </c>
      <c r="K121" s="454"/>
      <c r="L121" s="455">
        <f>SUM(L119:L120)</f>
        <v>1169344.8349991189</v>
      </c>
      <c r="M121" s="454"/>
      <c r="N121" s="456">
        <f>SUM(N119:N120)</f>
        <v>1181856.4256737451</v>
      </c>
      <c r="O121" s="454"/>
      <c r="P121" s="456">
        <f>SUM(P119:P120)</f>
        <v>1216500.6262697438</v>
      </c>
    </row>
    <row r="122" spans="3:16" x14ac:dyDescent="0.35">
      <c r="C122" s="639" t="str">
        <f>'DSEX Data'!G6</f>
        <v>Q3 2025</v>
      </c>
      <c r="D122" s="458">
        <f>'DSEX Data'!H6</f>
        <v>5357.3375806451604</v>
      </c>
      <c r="E122" s="459">
        <f>D122-D121</f>
        <v>478.40424731182793</v>
      </c>
      <c r="F122" s="437"/>
      <c r="G122" s="180"/>
      <c r="H122" s="311" t="s">
        <v>198</v>
      </c>
      <c r="I122" s="450"/>
      <c r="J122" s="444"/>
      <c r="K122" s="460"/>
      <c r="L122" s="388">
        <f>LN(L121/J121)*4</f>
        <v>0.62577448752655596</v>
      </c>
      <c r="M122" s="317"/>
      <c r="N122" s="315">
        <f>LN(N121/L121)*4</f>
        <v>4.2571289773697653E-2</v>
      </c>
      <c r="O122" s="317"/>
      <c r="P122" s="315">
        <f>LN(P121/N121)*4</f>
        <v>0.1155678149160876</v>
      </c>
    </row>
    <row r="123" spans="3:16" x14ac:dyDescent="0.35">
      <c r="C123" s="416"/>
      <c r="D123" s="437"/>
      <c r="E123" s="437"/>
      <c r="F123" s="437"/>
      <c r="G123" s="437"/>
      <c r="H123" s="320" t="s">
        <v>199</v>
      </c>
      <c r="I123" s="461"/>
      <c r="J123" s="462"/>
      <c r="K123" s="457"/>
      <c r="L123" s="463"/>
      <c r="M123" s="412"/>
      <c r="N123" s="413">
        <f>N122-L122</f>
        <v>-0.58320319775285834</v>
      </c>
      <c r="O123" s="412"/>
      <c r="P123" s="413">
        <f>P122-N122</f>
        <v>7.299652514238994E-2</v>
      </c>
    </row>
  </sheetData>
  <mergeCells count="37">
    <mergeCell ref="E112:G112"/>
    <mergeCell ref="H112:K112"/>
    <mergeCell ref="L112:O112"/>
    <mergeCell ref="C112:D112"/>
    <mergeCell ref="E6:G6"/>
    <mergeCell ref="H6:K6"/>
    <mergeCell ref="L6:O6"/>
    <mergeCell ref="J10:K10"/>
    <mergeCell ref="N10:O10"/>
    <mergeCell ref="F26:G26"/>
    <mergeCell ref="J41:K41"/>
    <mergeCell ref="N41:O41"/>
    <mergeCell ref="N49:O49"/>
    <mergeCell ref="C57:D57"/>
    <mergeCell ref="J104:K104"/>
    <mergeCell ref="C117:E117"/>
    <mergeCell ref="H117:P117"/>
    <mergeCell ref="I118:J118"/>
    <mergeCell ref="K118:L118"/>
    <mergeCell ref="M118:N118"/>
    <mergeCell ref="O118:P118"/>
    <mergeCell ref="C3:P3"/>
    <mergeCell ref="T21:W21"/>
    <mergeCell ref="N105:O105"/>
    <mergeCell ref="F33:G33"/>
    <mergeCell ref="J17:K17"/>
    <mergeCell ref="J48:K48"/>
    <mergeCell ref="J73:K73"/>
    <mergeCell ref="F89:G89"/>
    <mergeCell ref="J66:K66"/>
    <mergeCell ref="N66:O66"/>
    <mergeCell ref="N74:O74"/>
    <mergeCell ref="F82:G82"/>
    <mergeCell ref="N97:O97"/>
    <mergeCell ref="J97:K97"/>
    <mergeCell ref="N18:O18"/>
    <mergeCell ref="C6:D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3B6B-EE97-44DF-A726-F02085E538C1}">
  <dimension ref="B1:O41"/>
  <sheetViews>
    <sheetView showGridLines="0" zoomScale="75" workbookViewId="0">
      <selection activeCell="J17" sqref="J17"/>
    </sheetView>
  </sheetViews>
  <sheetFormatPr defaultRowHeight="14.5" x14ac:dyDescent="0.35"/>
  <cols>
    <col min="1" max="1" width="4.453125" style="7" customWidth="1"/>
    <col min="2" max="2" width="22.453125" style="7" customWidth="1"/>
    <col min="3" max="3" width="16.6328125" style="7" customWidth="1"/>
    <col min="4" max="4" width="15.1796875" style="7" customWidth="1"/>
    <col min="5" max="5" width="21.26953125" style="7" customWidth="1"/>
    <col min="6" max="6" width="13.90625" style="7" customWidth="1"/>
    <col min="7" max="7" width="17" style="7" bestFit="1" customWidth="1"/>
    <col min="8" max="8" width="15.1796875" style="7" customWidth="1"/>
    <col min="9" max="9" width="12.90625" style="7" customWidth="1"/>
    <col min="10" max="10" width="11.453125" style="7" customWidth="1"/>
    <col min="11" max="11" width="10.7265625" style="7" customWidth="1"/>
    <col min="12" max="16384" width="8.7265625" style="7"/>
  </cols>
  <sheetData>
    <row r="1" spans="2:15" ht="15" thickBot="1" x14ac:dyDescent="0.4"/>
    <row r="2" spans="2:15" ht="24.5" thickTop="1" thickBot="1" x14ac:dyDescent="0.6">
      <c r="B2" s="695" t="s">
        <v>288</v>
      </c>
      <c r="C2" s="695"/>
      <c r="D2" s="695"/>
      <c r="E2" s="695"/>
      <c r="F2" s="695"/>
      <c r="G2" s="695"/>
      <c r="H2" s="695"/>
      <c r="I2" s="695"/>
      <c r="J2" s="695"/>
      <c r="K2" s="695"/>
      <c r="L2" s="432"/>
      <c r="M2" s="432"/>
      <c r="N2" s="432"/>
      <c r="O2" s="432"/>
    </row>
    <row r="3" spans="2:15" ht="15" thickTop="1" x14ac:dyDescent="0.35"/>
    <row r="5" spans="2:15" ht="15.5" x14ac:dyDescent="0.35">
      <c r="B5" s="237" t="s">
        <v>60</v>
      </c>
      <c r="C5" s="238" t="s">
        <v>146</v>
      </c>
      <c r="G5" s="733" t="s">
        <v>110</v>
      </c>
      <c r="H5" s="734"/>
      <c r="I5" s="734"/>
      <c r="J5" s="734"/>
      <c r="K5" s="735"/>
    </row>
    <row r="6" spans="2:15" x14ac:dyDescent="0.35">
      <c r="B6" s="199" t="s">
        <v>147</v>
      </c>
      <c r="C6" s="144">
        <f>'Call Option Dynamics'!C9</f>
        <v>1000000</v>
      </c>
      <c r="G6" s="226"/>
      <c r="H6" s="227" t="s">
        <v>171</v>
      </c>
      <c r="I6" s="227" t="s">
        <v>79</v>
      </c>
      <c r="J6" s="227" t="s">
        <v>81</v>
      </c>
      <c r="K6" s="228" t="s">
        <v>77</v>
      </c>
    </row>
    <row r="7" spans="2:15" x14ac:dyDescent="0.35">
      <c r="B7" s="200" t="s">
        <v>150</v>
      </c>
      <c r="C7" s="201">
        <f>$C$6*0.5</f>
        <v>500000</v>
      </c>
      <c r="G7" s="229" t="s">
        <v>148</v>
      </c>
      <c r="H7" s="229" t="s">
        <v>149</v>
      </c>
      <c r="I7" s="230">
        <f>'Call Option Dynamics'!G5</f>
        <v>2.8686315686529594E-2</v>
      </c>
      <c r="J7" s="230">
        <f>'Call Option Dynamics'!G6</f>
        <v>2.6645440352791525E-2</v>
      </c>
      <c r="K7" s="230">
        <f>'Call Option Dynamics'!G7</f>
        <v>2.8891953733901077E-2</v>
      </c>
    </row>
    <row r="8" spans="2:15" x14ac:dyDescent="0.35">
      <c r="B8" s="202" t="s">
        <v>153</v>
      </c>
      <c r="C8" s="203">
        <f>$C$6*0.5</f>
        <v>500000</v>
      </c>
      <c r="G8" s="231" t="s">
        <v>151</v>
      </c>
      <c r="H8" s="231" t="s">
        <v>152</v>
      </c>
      <c r="I8" s="74">
        <f>'Dynamic Asset Allocation'!U23</f>
        <v>1.0291017307642454</v>
      </c>
      <c r="J8" s="74">
        <f>'Dynamic Asset Allocation'!V23</f>
        <v>1.0270036041620454</v>
      </c>
      <c r="K8" s="74">
        <f>'Dynamic Asset Allocation'!W23</f>
        <v>1.0293133749949779</v>
      </c>
    </row>
    <row r="9" spans="2:15" x14ac:dyDescent="0.35">
      <c r="G9" s="212" t="s">
        <v>154</v>
      </c>
      <c r="H9" s="212" t="s">
        <v>155</v>
      </c>
      <c r="I9" s="76">
        <f>'Call Option Dynamics'!K5</f>
        <v>0.97172123037570501</v>
      </c>
      <c r="J9" s="76">
        <f>'Call Option Dynamics'!K6</f>
        <v>0.97370641733620966</v>
      </c>
      <c r="K9" s="76">
        <f>'Call Option Dynamics'!K7</f>
        <v>0.97152142806351771</v>
      </c>
    </row>
    <row r="11" spans="2:15" ht="15.5" x14ac:dyDescent="0.35">
      <c r="B11" s="733" t="s">
        <v>156</v>
      </c>
      <c r="C11" s="736"/>
      <c r="D11" s="736"/>
      <c r="E11" s="737"/>
    </row>
    <row r="12" spans="2:15" ht="29" x14ac:dyDescent="0.35">
      <c r="B12" s="222" t="s">
        <v>157</v>
      </c>
      <c r="C12" s="223" t="s">
        <v>158</v>
      </c>
      <c r="D12" s="223" t="s">
        <v>172</v>
      </c>
      <c r="E12" s="224" t="s">
        <v>159</v>
      </c>
    </row>
    <row r="13" spans="2:15" x14ac:dyDescent="0.35">
      <c r="B13" s="208" t="str">
        <f>'Stock Selection'!C5</f>
        <v>UCB</v>
      </c>
      <c r="C13" s="213">
        <f t="shared" ref="C13:C20" si="0">$C$7*(1/8)</f>
        <v>62500</v>
      </c>
      <c r="D13" s="214">
        <f>Data!G237</f>
        <v>9.1999999999999993</v>
      </c>
      <c r="E13" s="248">
        <f t="shared" ref="E13:E20" si="1">C13/D13</f>
        <v>6793.4782608695659</v>
      </c>
    </row>
    <row r="14" spans="2:15" x14ac:dyDescent="0.35">
      <c r="B14" s="208" t="str">
        <f>'Stock Selection'!C6</f>
        <v>IDLC</v>
      </c>
      <c r="C14" s="213">
        <f t="shared" si="0"/>
        <v>62500</v>
      </c>
      <c r="D14" s="214">
        <f>Data!O237</f>
        <v>32.700000000000003</v>
      </c>
      <c r="E14" s="248">
        <f t="shared" si="1"/>
        <v>1911.3149847094799</v>
      </c>
    </row>
    <row r="15" spans="2:15" x14ac:dyDescent="0.35">
      <c r="B15" s="208" t="str">
        <f>'Stock Selection'!C7</f>
        <v>GP</v>
      </c>
      <c r="C15" s="213">
        <f t="shared" si="0"/>
        <v>62500</v>
      </c>
      <c r="D15" s="214">
        <f>Data!W237</f>
        <v>323.10000000000002</v>
      </c>
      <c r="E15" s="248">
        <f t="shared" si="1"/>
        <v>193.4385639121015</v>
      </c>
    </row>
    <row r="16" spans="2:15" x14ac:dyDescent="0.35">
      <c r="B16" s="208" t="str">
        <f>'Stock Selection'!C8</f>
        <v>BATASHOE</v>
      </c>
      <c r="C16" s="213">
        <f t="shared" si="0"/>
        <v>62500</v>
      </c>
      <c r="D16" s="214">
        <f>Data!AE237</f>
        <v>905.4</v>
      </c>
      <c r="E16" s="248">
        <f t="shared" si="1"/>
        <v>69.030262867241007</v>
      </c>
    </row>
    <row r="17" spans="2:8" x14ac:dyDescent="0.35">
      <c r="B17" s="208" t="str">
        <f>'Stock Selection'!C9</f>
        <v>RENATA</v>
      </c>
      <c r="C17" s="213">
        <f t="shared" si="0"/>
        <v>62500</v>
      </c>
      <c r="D17" s="214">
        <f>Data!AM237</f>
        <v>635.1</v>
      </c>
      <c r="E17" s="248">
        <f t="shared" si="1"/>
        <v>98.409699259959055</v>
      </c>
    </row>
    <row r="18" spans="2:8" x14ac:dyDescent="0.35">
      <c r="B18" s="208" t="str">
        <f>'Stock Selection'!C10</f>
        <v>WALTONHIL</v>
      </c>
      <c r="C18" s="213">
        <f t="shared" si="0"/>
        <v>62500</v>
      </c>
      <c r="D18" s="214">
        <f>Data!AU237</f>
        <v>487.5</v>
      </c>
      <c r="E18" s="248">
        <f t="shared" si="1"/>
        <v>128.2051282051282</v>
      </c>
    </row>
    <row r="19" spans="2:8" x14ac:dyDescent="0.35">
      <c r="B19" s="208" t="str">
        <f>'Stock Selection'!C11</f>
        <v>RAKC</v>
      </c>
      <c r="C19" s="213">
        <f t="shared" si="0"/>
        <v>62500</v>
      </c>
      <c r="D19" s="214">
        <f>Data!BC237</f>
        <v>22.6</v>
      </c>
      <c r="E19" s="248">
        <f t="shared" si="1"/>
        <v>2765.4867256637167</v>
      </c>
    </row>
    <row r="20" spans="2:8" x14ac:dyDescent="0.35">
      <c r="B20" s="208" t="str">
        <f>'Stock Selection'!C12</f>
        <v>OLYMPIC</v>
      </c>
      <c r="C20" s="213">
        <f t="shared" si="0"/>
        <v>62500</v>
      </c>
      <c r="D20" s="214">
        <f>Data!BK237</f>
        <v>158</v>
      </c>
      <c r="E20" s="248">
        <f t="shared" si="1"/>
        <v>395.56962025316454</v>
      </c>
    </row>
    <row r="21" spans="2:8" x14ac:dyDescent="0.35">
      <c r="B21" s="215" t="s">
        <v>160</v>
      </c>
      <c r="C21" s="216">
        <f>SUM(C13:C20)</f>
        <v>500000</v>
      </c>
      <c r="D21" s="2"/>
      <c r="E21" s="2"/>
    </row>
    <row r="23" spans="2:8" x14ac:dyDescent="0.35">
      <c r="B23" s="693" t="s">
        <v>161</v>
      </c>
      <c r="C23" s="694" t="s">
        <v>79</v>
      </c>
      <c r="D23" s="694"/>
      <c r="E23" s="694" t="s">
        <v>81</v>
      </c>
      <c r="F23" s="694"/>
      <c r="G23" s="694" t="s">
        <v>77</v>
      </c>
      <c r="H23" s="739"/>
    </row>
    <row r="24" spans="2:8" x14ac:dyDescent="0.35">
      <c r="B24" s="738"/>
      <c r="C24" s="217" t="s">
        <v>162</v>
      </c>
      <c r="D24" s="217" t="s">
        <v>163</v>
      </c>
      <c r="E24" s="217" t="s">
        <v>162</v>
      </c>
      <c r="F24" s="217" t="s">
        <v>163</v>
      </c>
      <c r="G24" s="217" t="s">
        <v>162</v>
      </c>
      <c r="H24" s="218" t="s">
        <v>163</v>
      </c>
    </row>
    <row r="25" spans="2:8" x14ac:dyDescent="0.35">
      <c r="B25" s="208" t="str">
        <f>B13</f>
        <v>UCB</v>
      </c>
      <c r="C25" s="172">
        <f>Data!G298</f>
        <v>11</v>
      </c>
      <c r="D25" s="209">
        <f>C25*E13</f>
        <v>74728.260869565231</v>
      </c>
      <c r="E25" s="172">
        <f>Data!G353</f>
        <v>9.9</v>
      </c>
      <c r="F25" s="209">
        <f>E25*E13</f>
        <v>67255.434782608703</v>
      </c>
      <c r="G25" s="172">
        <f>Data!G416</f>
        <v>10.6</v>
      </c>
      <c r="H25" s="209">
        <f>G25*E13</f>
        <v>72010.869565217392</v>
      </c>
    </row>
    <row r="26" spans="2:8" x14ac:dyDescent="0.35">
      <c r="B26" s="208" t="str">
        <f t="shared" ref="B26:B32" si="2">B14</f>
        <v>IDLC</v>
      </c>
      <c r="C26" s="172">
        <f>Data!O298</f>
        <v>31.4</v>
      </c>
      <c r="D26" s="209">
        <f t="shared" ref="D26:D32" si="3">C26*E14</f>
        <v>60015.290519877664</v>
      </c>
      <c r="E26" s="172">
        <f>Data!O353</f>
        <v>29</v>
      </c>
      <c r="F26" s="209">
        <f t="shared" ref="F26:F32" si="4">E26*E14</f>
        <v>55428.134556574914</v>
      </c>
      <c r="G26" s="172">
        <f>Data!O416</f>
        <v>41.2</v>
      </c>
      <c r="H26" s="209">
        <f t="shared" ref="H26:H32" si="5">G26*E14</f>
        <v>78746.177370030578</v>
      </c>
    </row>
    <row r="27" spans="2:8" x14ac:dyDescent="0.35">
      <c r="B27" s="208" t="str">
        <f t="shared" si="2"/>
        <v>GP</v>
      </c>
      <c r="C27" s="172">
        <f>Data!W298</f>
        <v>321.89999999999998</v>
      </c>
      <c r="D27" s="209">
        <f t="shared" si="3"/>
        <v>62267.873723305471</v>
      </c>
      <c r="E27" s="172">
        <f>Data!W353</f>
        <v>303.10000000000002</v>
      </c>
      <c r="F27" s="209">
        <f t="shared" si="4"/>
        <v>58631.228721757972</v>
      </c>
      <c r="G27" s="172">
        <f>Data!W416</f>
        <v>299</v>
      </c>
      <c r="H27" s="209">
        <f t="shared" si="5"/>
        <v>57838.130609718348</v>
      </c>
    </row>
    <row r="28" spans="2:8" x14ac:dyDescent="0.35">
      <c r="B28" s="208" t="str">
        <f t="shared" si="2"/>
        <v>BATASHOE</v>
      </c>
      <c r="C28" s="172">
        <f>Data!AE298</f>
        <v>834.7</v>
      </c>
      <c r="D28" s="209">
        <f t="shared" si="3"/>
        <v>57619.560415286069</v>
      </c>
      <c r="E28" s="172">
        <f>Data!AE353</f>
        <v>802.7</v>
      </c>
      <c r="F28" s="209">
        <f t="shared" si="4"/>
        <v>55410.592003534359</v>
      </c>
      <c r="G28" s="172">
        <f>Data!AE416</f>
        <v>877.7</v>
      </c>
      <c r="H28" s="209">
        <f t="shared" si="5"/>
        <v>60587.861718577435</v>
      </c>
    </row>
    <row r="29" spans="2:8" x14ac:dyDescent="0.35">
      <c r="B29" s="208" t="str">
        <f t="shared" si="2"/>
        <v>RENATA</v>
      </c>
      <c r="C29" s="172">
        <f>Data!AM298</f>
        <v>500.5</v>
      </c>
      <c r="D29" s="209">
        <f t="shared" si="3"/>
        <v>49254.054479609506</v>
      </c>
      <c r="E29" s="172">
        <f>Data!AM353</f>
        <v>488.4</v>
      </c>
      <c r="F29" s="209">
        <f t="shared" si="4"/>
        <v>48063.297118563998</v>
      </c>
      <c r="G29" s="172">
        <f>Data!AM416</f>
        <v>480.4</v>
      </c>
      <c r="H29" s="209">
        <f t="shared" si="5"/>
        <v>47276.019524484327</v>
      </c>
    </row>
    <row r="30" spans="2:8" x14ac:dyDescent="0.35">
      <c r="B30" s="208" t="str">
        <f t="shared" si="2"/>
        <v>WALTONHIL</v>
      </c>
      <c r="C30" s="172">
        <f>Data!AU298</f>
        <v>462.7</v>
      </c>
      <c r="D30" s="209">
        <f t="shared" si="3"/>
        <v>59320.51282051282</v>
      </c>
      <c r="E30" s="172">
        <f>Data!AU353</f>
        <v>406.3</v>
      </c>
      <c r="F30" s="209">
        <f t="shared" si="4"/>
        <v>52089.743589743593</v>
      </c>
      <c r="G30" s="172">
        <f>Data!AU416</f>
        <v>419.9</v>
      </c>
      <c r="H30" s="209">
        <f t="shared" si="5"/>
        <v>53833.333333333328</v>
      </c>
    </row>
    <row r="31" spans="2:8" x14ac:dyDescent="0.35">
      <c r="B31" s="208" t="str">
        <f t="shared" si="2"/>
        <v>RAKC</v>
      </c>
      <c r="C31" s="172">
        <f>Data!BC298</f>
        <v>22.6</v>
      </c>
      <c r="D31" s="209">
        <f t="shared" si="3"/>
        <v>62500</v>
      </c>
      <c r="E31" s="172">
        <f>Data!BC353</f>
        <v>19.2</v>
      </c>
      <c r="F31" s="209">
        <f t="shared" si="4"/>
        <v>53097.345132743358</v>
      </c>
      <c r="G31" s="172">
        <f>Data!BC416</f>
        <v>25.1</v>
      </c>
      <c r="H31" s="209">
        <f t="shared" si="5"/>
        <v>69413.716814159299</v>
      </c>
    </row>
    <row r="32" spans="2:8" x14ac:dyDescent="0.35">
      <c r="B32" s="208" t="str">
        <f t="shared" si="2"/>
        <v>OLYMPIC</v>
      </c>
      <c r="C32" s="172">
        <f>Data!BK298</f>
        <v>147.19999999999999</v>
      </c>
      <c r="D32" s="209">
        <f t="shared" si="3"/>
        <v>58227.848101265816</v>
      </c>
      <c r="E32" s="172">
        <f>Data!BK353</f>
        <v>153.5</v>
      </c>
      <c r="F32" s="209">
        <f t="shared" si="4"/>
        <v>60719.936708860754</v>
      </c>
      <c r="G32" s="172">
        <f>Data!BK416</f>
        <v>154.69999999999999</v>
      </c>
      <c r="H32" s="209">
        <f t="shared" si="5"/>
        <v>61194.620253164554</v>
      </c>
    </row>
    <row r="33" spans="2:8" x14ac:dyDescent="0.35">
      <c r="B33" s="215" t="s">
        <v>164</v>
      </c>
      <c r="C33" s="2"/>
      <c r="D33" s="166">
        <f>SUM(D25:D32)</f>
        <v>483933.40092942258</v>
      </c>
      <c r="E33" s="2"/>
      <c r="F33" s="167">
        <f>SUM(F25:F32)</f>
        <v>450695.71261438768</v>
      </c>
      <c r="G33" s="2"/>
      <c r="H33" s="167">
        <f>SUM(H25:H32)</f>
        <v>500900.72918868525</v>
      </c>
    </row>
    <row r="35" spans="2:8" ht="15.5" x14ac:dyDescent="0.35">
      <c r="B35" s="731" t="s">
        <v>165</v>
      </c>
      <c r="C35" s="732"/>
      <c r="D35" s="732"/>
      <c r="E35" s="732"/>
      <c r="F35" s="732"/>
    </row>
    <row r="36" spans="2:8" x14ac:dyDescent="0.35">
      <c r="B36" s="219"/>
      <c r="C36" s="220" t="s">
        <v>176</v>
      </c>
      <c r="D36" s="220" t="s">
        <v>79</v>
      </c>
      <c r="E36" s="220" t="s">
        <v>81</v>
      </c>
      <c r="F36" s="221" t="s">
        <v>77</v>
      </c>
    </row>
    <row r="37" spans="2:8" x14ac:dyDescent="0.35">
      <c r="B37" s="210" t="s">
        <v>166</v>
      </c>
      <c r="C37" s="328">
        <f>C7</f>
        <v>500000</v>
      </c>
      <c r="D37" s="211">
        <f>D33</f>
        <v>483933.40092942258</v>
      </c>
      <c r="E37" s="211">
        <f>F33</f>
        <v>450695.71261438768</v>
      </c>
      <c r="F37" s="211">
        <f>H33</f>
        <v>500900.72918868525</v>
      </c>
    </row>
    <row r="38" spans="2:8" x14ac:dyDescent="0.35">
      <c r="B38" s="210" t="s">
        <v>167</v>
      </c>
      <c r="C38" s="328">
        <f>C8</f>
        <v>500000</v>
      </c>
      <c r="D38" s="211">
        <f>$C$8*I8</f>
        <v>514550.86538212269</v>
      </c>
      <c r="E38" s="211">
        <f>D38*J8</f>
        <v>528445.59327213943</v>
      </c>
      <c r="F38" s="211">
        <f>E38*K8</f>
        <v>543936.11711216928</v>
      </c>
    </row>
    <row r="39" spans="2:8" x14ac:dyDescent="0.35">
      <c r="B39" s="215" t="s">
        <v>121</v>
      </c>
      <c r="C39" s="166">
        <f>C37+C38</f>
        <v>1000000</v>
      </c>
      <c r="D39" s="166">
        <f>D37+D38</f>
        <v>998484.26631154527</v>
      </c>
      <c r="E39" s="166">
        <f t="shared" ref="E39:F39" si="6">E37+E38</f>
        <v>979141.30588652706</v>
      </c>
      <c r="F39" s="166">
        <f t="shared" si="6"/>
        <v>1044836.8463008546</v>
      </c>
    </row>
    <row r="40" spans="2:8" x14ac:dyDescent="0.35">
      <c r="B40" s="232" t="s">
        <v>168</v>
      </c>
      <c r="D40" s="233">
        <f>(D39-C39)/C39</f>
        <v>-1.5157336884547257E-3</v>
      </c>
      <c r="E40" s="233">
        <f>(E39-D39)/D39</f>
        <v>-1.9372323708687123E-2</v>
      </c>
      <c r="F40" s="233">
        <f>(F39-E39)/E39</f>
        <v>6.7095055656799144E-2</v>
      </c>
    </row>
    <row r="41" spans="2:8" x14ac:dyDescent="0.35">
      <c r="B41" s="234" t="s">
        <v>169</v>
      </c>
      <c r="C41" s="175"/>
      <c r="D41" s="235"/>
      <c r="E41" s="236">
        <f>E40-D40</f>
        <v>-1.7856590020232398E-2</v>
      </c>
      <c r="F41" s="236">
        <f>F40-E40</f>
        <v>8.6467379365486263E-2</v>
      </c>
    </row>
  </sheetData>
  <mergeCells count="8">
    <mergeCell ref="B35:F35"/>
    <mergeCell ref="B2:K2"/>
    <mergeCell ref="G5:K5"/>
    <mergeCell ref="B11:E11"/>
    <mergeCell ref="B23:B24"/>
    <mergeCell ref="C23:D23"/>
    <mergeCell ref="E23:F23"/>
    <mergeCell ref="G23:H2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1C8E-56E9-4B03-B8E9-17B4B099B02D}">
  <dimension ref="B1:K48"/>
  <sheetViews>
    <sheetView showGridLines="0" zoomScale="91" zoomScaleNormal="91" workbookViewId="0">
      <selection activeCell="H36" sqref="H36"/>
    </sheetView>
  </sheetViews>
  <sheetFormatPr defaultRowHeight="14.5" x14ac:dyDescent="0.35"/>
  <cols>
    <col min="1" max="1" width="4.81640625" style="7" customWidth="1"/>
    <col min="2" max="2" width="21.26953125" style="7" customWidth="1"/>
    <col min="3" max="3" width="14.6328125" style="7" customWidth="1"/>
    <col min="4" max="4" width="16.36328125" style="7" customWidth="1"/>
    <col min="5" max="5" width="23.08984375" style="7" customWidth="1"/>
    <col min="6" max="6" width="13.54296875" style="7" customWidth="1"/>
    <col min="7" max="7" width="14.26953125" style="7" customWidth="1"/>
    <col min="8" max="8" width="14.36328125" style="7" customWidth="1"/>
    <col min="9" max="16384" width="8.7265625" style="7"/>
  </cols>
  <sheetData>
    <row r="1" spans="2:11" ht="15" thickBot="1" x14ac:dyDescent="0.4"/>
    <row r="2" spans="2:11" ht="24.5" thickTop="1" thickBot="1" x14ac:dyDescent="0.6">
      <c r="B2" s="680" t="s">
        <v>174</v>
      </c>
      <c r="C2" s="680"/>
      <c r="D2" s="680"/>
      <c r="E2" s="680"/>
      <c r="F2" s="680"/>
      <c r="G2" s="680"/>
      <c r="H2" s="680"/>
      <c r="I2" s="242"/>
      <c r="J2" s="242"/>
      <c r="K2" s="242"/>
    </row>
    <row r="3" spans="2:11" ht="15" thickTop="1" x14ac:dyDescent="0.35"/>
    <row r="4" spans="2:11" ht="15.5" x14ac:dyDescent="0.35">
      <c r="B4" s="153" t="s">
        <v>60</v>
      </c>
      <c r="C4" s="133" t="s">
        <v>146</v>
      </c>
    </row>
    <row r="5" spans="2:11" x14ac:dyDescent="0.35">
      <c r="B5" s="243" t="s">
        <v>147</v>
      </c>
      <c r="C5" s="144">
        <f>'Static Asset Allocation'!C6</f>
        <v>1000000</v>
      </c>
    </row>
    <row r="6" spans="2:11" x14ac:dyDescent="0.35">
      <c r="B6" s="246" t="s">
        <v>150</v>
      </c>
      <c r="C6" s="247">
        <f>C5*100%</f>
        <v>1000000</v>
      </c>
      <c r="I6" s="198"/>
    </row>
    <row r="7" spans="2:11" x14ac:dyDescent="0.35">
      <c r="B7" s="244" t="s">
        <v>153</v>
      </c>
      <c r="C7" s="150">
        <f>C5*0%</f>
        <v>0</v>
      </c>
    </row>
    <row r="9" spans="2:11" ht="15.5" x14ac:dyDescent="0.35">
      <c r="B9" s="732" t="s">
        <v>156</v>
      </c>
      <c r="C9" s="740"/>
      <c r="D9" s="740"/>
      <c r="E9" s="740"/>
    </row>
    <row r="10" spans="2:11" ht="39" customHeight="1" x14ac:dyDescent="0.35">
      <c r="B10" s="204" t="s">
        <v>157</v>
      </c>
      <c r="C10" s="204" t="s">
        <v>158</v>
      </c>
      <c r="D10" s="204" t="s">
        <v>172</v>
      </c>
      <c r="E10" s="204" t="s">
        <v>159</v>
      </c>
    </row>
    <row r="11" spans="2:11" x14ac:dyDescent="0.35">
      <c r="B11" s="208" t="str">
        <f>'Static Asset Allocation'!B13</f>
        <v>UCB</v>
      </c>
      <c r="C11" s="245">
        <f t="shared" ref="C11:C18" si="0">$C$6*(1/8)</f>
        <v>125000</v>
      </c>
      <c r="D11" s="172">
        <f>'Static Asset Allocation'!D13</f>
        <v>9.1999999999999993</v>
      </c>
      <c r="E11" s="245">
        <f>C11/D11</f>
        <v>13586.956521739132</v>
      </c>
    </row>
    <row r="12" spans="2:11" x14ac:dyDescent="0.35">
      <c r="B12" s="208" t="str">
        <f>'Static Asset Allocation'!B14</f>
        <v>IDLC</v>
      </c>
      <c r="C12" s="245">
        <f t="shared" si="0"/>
        <v>125000</v>
      </c>
      <c r="D12" s="172">
        <f>'Static Asset Allocation'!D14</f>
        <v>32.700000000000003</v>
      </c>
      <c r="E12" s="245">
        <f t="shared" ref="E12:E18" si="1">C12/D12</f>
        <v>3822.6299694189597</v>
      </c>
    </row>
    <row r="13" spans="2:11" x14ac:dyDescent="0.35">
      <c r="B13" s="208" t="str">
        <f>'Static Asset Allocation'!B15</f>
        <v>GP</v>
      </c>
      <c r="C13" s="245">
        <f t="shared" si="0"/>
        <v>125000</v>
      </c>
      <c r="D13" s="172">
        <f>'Static Asset Allocation'!D15</f>
        <v>323.10000000000002</v>
      </c>
      <c r="E13" s="245">
        <f t="shared" si="1"/>
        <v>386.877127824203</v>
      </c>
    </row>
    <row r="14" spans="2:11" x14ac:dyDescent="0.35">
      <c r="B14" s="208" t="str">
        <f>'Static Asset Allocation'!B16</f>
        <v>BATASHOE</v>
      </c>
      <c r="C14" s="245">
        <f t="shared" si="0"/>
        <v>125000</v>
      </c>
      <c r="D14" s="172">
        <f>'Static Asset Allocation'!D16</f>
        <v>905.4</v>
      </c>
      <c r="E14" s="245">
        <f t="shared" si="1"/>
        <v>138.06052573448201</v>
      </c>
    </row>
    <row r="15" spans="2:11" x14ac:dyDescent="0.35">
      <c r="B15" s="208" t="str">
        <f>'Static Asset Allocation'!B17</f>
        <v>RENATA</v>
      </c>
      <c r="C15" s="245">
        <f t="shared" si="0"/>
        <v>125000</v>
      </c>
      <c r="D15" s="172">
        <f>'Static Asset Allocation'!D17</f>
        <v>635.1</v>
      </c>
      <c r="E15" s="245">
        <f t="shared" si="1"/>
        <v>196.81939851991811</v>
      </c>
    </row>
    <row r="16" spans="2:11" x14ac:dyDescent="0.35">
      <c r="B16" s="208" t="str">
        <f>'Static Asset Allocation'!B18</f>
        <v>WALTONHIL</v>
      </c>
      <c r="C16" s="245">
        <f t="shared" si="0"/>
        <v>125000</v>
      </c>
      <c r="D16" s="172">
        <f>'Static Asset Allocation'!D18</f>
        <v>487.5</v>
      </c>
      <c r="E16" s="245">
        <f t="shared" si="1"/>
        <v>256.41025641025641</v>
      </c>
    </row>
    <row r="17" spans="2:8" x14ac:dyDescent="0.35">
      <c r="B17" s="208" t="str">
        <f>'Static Asset Allocation'!B19</f>
        <v>RAKC</v>
      </c>
      <c r="C17" s="245">
        <f t="shared" si="0"/>
        <v>125000</v>
      </c>
      <c r="D17" s="172">
        <f>'Static Asset Allocation'!D19</f>
        <v>22.6</v>
      </c>
      <c r="E17" s="245">
        <f t="shared" si="1"/>
        <v>5530.9734513274334</v>
      </c>
    </row>
    <row r="18" spans="2:8" x14ac:dyDescent="0.35">
      <c r="B18" s="208" t="str">
        <f>'Static Asset Allocation'!B20</f>
        <v>OLYMPIC</v>
      </c>
      <c r="C18" s="245">
        <f t="shared" si="0"/>
        <v>125000</v>
      </c>
      <c r="D18" s="172">
        <f>'Static Asset Allocation'!D20</f>
        <v>158</v>
      </c>
      <c r="E18" s="245">
        <f t="shared" si="1"/>
        <v>791.13924050632909</v>
      </c>
    </row>
    <row r="19" spans="2:8" x14ac:dyDescent="0.35">
      <c r="B19" s="215" t="s">
        <v>160</v>
      </c>
      <c r="C19" s="258">
        <f>SUM(C11:C18)</f>
        <v>1000000</v>
      </c>
      <c r="D19" s="2"/>
      <c r="E19" s="2"/>
    </row>
    <row r="21" spans="2:8" ht="15.5" x14ac:dyDescent="0.35">
      <c r="B21" s="741" t="s">
        <v>161</v>
      </c>
      <c r="C21" s="741" t="s">
        <v>79</v>
      </c>
      <c r="D21" s="741"/>
      <c r="E21" s="741" t="s">
        <v>81</v>
      </c>
      <c r="F21" s="741"/>
      <c r="G21" s="741" t="s">
        <v>77</v>
      </c>
      <c r="H21" s="741"/>
    </row>
    <row r="22" spans="2:8" x14ac:dyDescent="0.35">
      <c r="B22" s="741"/>
      <c r="C22" s="205" t="s">
        <v>162</v>
      </c>
      <c r="D22" s="205" t="s">
        <v>163</v>
      </c>
      <c r="E22" s="205" t="s">
        <v>162</v>
      </c>
      <c r="F22" s="205" t="s">
        <v>163</v>
      </c>
      <c r="G22" s="205" t="s">
        <v>162</v>
      </c>
      <c r="H22" s="205" t="s">
        <v>163</v>
      </c>
    </row>
    <row r="23" spans="2:8" x14ac:dyDescent="0.35">
      <c r="B23" s="208" t="str">
        <f>B11</f>
        <v>UCB</v>
      </c>
      <c r="C23" s="172">
        <f>'Static Asset Allocation'!C25</f>
        <v>11</v>
      </c>
      <c r="D23" s="211">
        <f>C23*E11</f>
        <v>149456.52173913046</v>
      </c>
      <c r="E23" s="172">
        <f>'Static Asset Allocation'!E25</f>
        <v>9.9</v>
      </c>
      <c r="F23" s="211">
        <f>E23*E11</f>
        <v>134510.86956521741</v>
      </c>
      <c r="G23" s="172">
        <f>'Static Asset Allocation'!G25</f>
        <v>10.6</v>
      </c>
      <c r="H23" s="211">
        <f>G23*E11</f>
        <v>144021.73913043478</v>
      </c>
    </row>
    <row r="24" spans="2:8" x14ac:dyDescent="0.35">
      <c r="B24" s="208" t="str">
        <f t="shared" ref="B24:B30" si="2">B12</f>
        <v>IDLC</v>
      </c>
      <c r="C24" s="172">
        <f>'Static Asset Allocation'!C26</f>
        <v>31.4</v>
      </c>
      <c r="D24" s="211">
        <f t="shared" ref="D24:D30" si="3">C24*E12</f>
        <v>120030.58103975533</v>
      </c>
      <c r="E24" s="172">
        <f>'Static Asset Allocation'!E26</f>
        <v>29</v>
      </c>
      <c r="F24" s="211">
        <f t="shared" ref="F24:F30" si="4">E24*E12</f>
        <v>110856.26911314983</v>
      </c>
      <c r="G24" s="172">
        <f>'Static Asset Allocation'!G26</f>
        <v>41.2</v>
      </c>
      <c r="H24" s="211">
        <f t="shared" ref="H24:H30" si="5">G24*E12</f>
        <v>157492.35474006116</v>
      </c>
    </row>
    <row r="25" spans="2:8" x14ac:dyDescent="0.35">
      <c r="B25" s="208" t="str">
        <f t="shared" si="2"/>
        <v>GP</v>
      </c>
      <c r="C25" s="172">
        <f>'Static Asset Allocation'!C27</f>
        <v>321.89999999999998</v>
      </c>
      <c r="D25" s="211">
        <f t="shared" si="3"/>
        <v>124535.74744661094</v>
      </c>
      <c r="E25" s="172">
        <f>'Static Asset Allocation'!E27</f>
        <v>303.10000000000002</v>
      </c>
      <c r="F25" s="211">
        <f t="shared" si="4"/>
        <v>117262.45744351594</v>
      </c>
      <c r="G25" s="172">
        <f>'Static Asset Allocation'!G27</f>
        <v>299</v>
      </c>
      <c r="H25" s="211">
        <f t="shared" si="5"/>
        <v>115676.2612194367</v>
      </c>
    </row>
    <row r="26" spans="2:8" x14ac:dyDescent="0.35">
      <c r="B26" s="208" t="str">
        <f t="shared" si="2"/>
        <v>BATASHOE</v>
      </c>
      <c r="C26" s="172">
        <f>'Static Asset Allocation'!C28</f>
        <v>834.7</v>
      </c>
      <c r="D26" s="211">
        <f t="shared" si="3"/>
        <v>115239.12083057214</v>
      </c>
      <c r="E26" s="172">
        <f>'Static Asset Allocation'!E28</f>
        <v>802.7</v>
      </c>
      <c r="F26" s="211">
        <f t="shared" si="4"/>
        <v>110821.18400706872</v>
      </c>
      <c r="G26" s="172">
        <f>'Static Asset Allocation'!G28</f>
        <v>877.7</v>
      </c>
      <c r="H26" s="211">
        <f t="shared" si="5"/>
        <v>121175.72343715487</v>
      </c>
    </row>
    <row r="27" spans="2:8" x14ac:dyDescent="0.35">
      <c r="B27" s="208" t="str">
        <f t="shared" si="2"/>
        <v>RENATA</v>
      </c>
      <c r="C27" s="172">
        <f>'Static Asset Allocation'!C29</f>
        <v>500.5</v>
      </c>
      <c r="D27" s="211">
        <f t="shared" si="3"/>
        <v>98508.108959219011</v>
      </c>
      <c r="E27" s="172">
        <f>'Static Asset Allocation'!E29</f>
        <v>488.4</v>
      </c>
      <c r="F27" s="211">
        <f t="shared" si="4"/>
        <v>96126.594237127996</v>
      </c>
      <c r="G27" s="172">
        <f>'Static Asset Allocation'!G29</f>
        <v>480.4</v>
      </c>
      <c r="H27" s="211">
        <f t="shared" si="5"/>
        <v>94552.039048968654</v>
      </c>
    </row>
    <row r="28" spans="2:8" x14ac:dyDescent="0.35">
      <c r="B28" s="208" t="str">
        <f t="shared" si="2"/>
        <v>WALTONHIL</v>
      </c>
      <c r="C28" s="172">
        <f>'Static Asset Allocation'!C30</f>
        <v>462.7</v>
      </c>
      <c r="D28" s="211">
        <f t="shared" si="3"/>
        <v>118641.02564102564</v>
      </c>
      <c r="E28" s="172">
        <f>'Static Asset Allocation'!E30</f>
        <v>406.3</v>
      </c>
      <c r="F28" s="211">
        <f t="shared" si="4"/>
        <v>104179.48717948719</v>
      </c>
      <c r="G28" s="172">
        <f>'Static Asset Allocation'!G30</f>
        <v>419.9</v>
      </c>
      <c r="H28" s="211">
        <f t="shared" si="5"/>
        <v>107666.66666666666</v>
      </c>
    </row>
    <row r="29" spans="2:8" x14ac:dyDescent="0.35">
      <c r="B29" s="208" t="str">
        <f t="shared" si="2"/>
        <v>RAKC</v>
      </c>
      <c r="C29" s="172">
        <f>'Static Asset Allocation'!C31</f>
        <v>22.6</v>
      </c>
      <c r="D29" s="211">
        <f t="shared" si="3"/>
        <v>125000</v>
      </c>
      <c r="E29" s="172">
        <f>'Static Asset Allocation'!E31</f>
        <v>19.2</v>
      </c>
      <c r="F29" s="211">
        <f t="shared" si="4"/>
        <v>106194.69026548672</v>
      </c>
      <c r="G29" s="172">
        <f>'Static Asset Allocation'!G31</f>
        <v>25.1</v>
      </c>
      <c r="H29" s="211">
        <f t="shared" si="5"/>
        <v>138827.4336283186</v>
      </c>
    </row>
    <row r="30" spans="2:8" x14ac:dyDescent="0.35">
      <c r="B30" s="208" t="str">
        <f t="shared" si="2"/>
        <v>OLYMPIC</v>
      </c>
      <c r="C30" s="172">
        <f>'Static Asset Allocation'!C32</f>
        <v>147.19999999999999</v>
      </c>
      <c r="D30" s="211">
        <f t="shared" si="3"/>
        <v>116455.69620253163</v>
      </c>
      <c r="E30" s="172">
        <f>'Static Asset Allocation'!E32</f>
        <v>153.5</v>
      </c>
      <c r="F30" s="211">
        <f t="shared" si="4"/>
        <v>121439.87341772151</v>
      </c>
      <c r="G30" s="172">
        <f>'Static Asset Allocation'!G32</f>
        <v>154.69999999999999</v>
      </c>
      <c r="H30" s="211">
        <f t="shared" si="5"/>
        <v>122389.24050632911</v>
      </c>
    </row>
    <row r="31" spans="2:8" x14ac:dyDescent="0.35">
      <c r="B31" s="215" t="s">
        <v>164</v>
      </c>
      <c r="C31" s="2"/>
      <c r="D31" s="166">
        <f>SUM(D23:D30)</f>
        <v>967866.80185884517</v>
      </c>
      <c r="E31" s="2"/>
      <c r="F31" s="166">
        <f>SUM(F23:F30)</f>
        <v>901391.42522877536</v>
      </c>
      <c r="G31" s="2"/>
      <c r="H31" s="166">
        <f>SUM(H23:H30)</f>
        <v>1001801.4583773705</v>
      </c>
    </row>
    <row r="33" spans="2:5" ht="15.5" x14ac:dyDescent="0.35">
      <c r="B33" s="732" t="s">
        <v>173</v>
      </c>
      <c r="C33" s="732"/>
      <c r="D33" s="732"/>
      <c r="E33" s="732"/>
    </row>
    <row r="34" spans="2:5" x14ac:dyDescent="0.35">
      <c r="B34" s="225"/>
      <c r="C34" s="207" t="s">
        <v>79</v>
      </c>
      <c r="D34" s="207" t="s">
        <v>81</v>
      </c>
      <c r="E34" s="207" t="s">
        <v>77</v>
      </c>
    </row>
    <row r="35" spans="2:5" x14ac:dyDescent="0.35">
      <c r="B35" s="210" t="s">
        <v>166</v>
      </c>
      <c r="C35" s="211">
        <f>D31</f>
        <v>967866.80185884517</v>
      </c>
      <c r="D35" s="211">
        <f>F31</f>
        <v>901391.42522877536</v>
      </c>
      <c r="E35" s="211">
        <f>H31</f>
        <v>1001801.4583773705</v>
      </c>
    </row>
    <row r="36" spans="2:5" x14ac:dyDescent="0.35">
      <c r="B36" s="210" t="s">
        <v>167</v>
      </c>
      <c r="C36" s="172">
        <v>0</v>
      </c>
      <c r="D36" s="172">
        <v>0</v>
      </c>
      <c r="E36" s="172">
        <v>0</v>
      </c>
    </row>
    <row r="37" spans="2:5" x14ac:dyDescent="0.35">
      <c r="B37" s="215" t="s">
        <v>121</v>
      </c>
      <c r="C37" s="166">
        <f>C35+C36</f>
        <v>967866.80185884517</v>
      </c>
      <c r="D37" s="166">
        <f>D35+D36</f>
        <v>901391.42522877536</v>
      </c>
      <c r="E37" s="166">
        <f>E35+E36</f>
        <v>1001801.4583773705</v>
      </c>
    </row>
    <row r="38" spans="2:5" x14ac:dyDescent="0.35">
      <c r="B38" s="232" t="s">
        <v>168</v>
      </c>
      <c r="C38" s="233">
        <f>(C37-C6)/C6</f>
        <v>-3.2133198141154833E-2</v>
      </c>
      <c r="D38" s="233">
        <f>(D37-C37)/C37</f>
        <v>-6.8682360529775305E-2</v>
      </c>
      <c r="E38" s="233">
        <f>(E37-D37)/D37</f>
        <v>0.11139448450279058</v>
      </c>
    </row>
    <row r="39" spans="2:5" x14ac:dyDescent="0.35">
      <c r="B39" s="234" t="s">
        <v>169</v>
      </c>
      <c r="C39" s="235"/>
      <c r="D39" s="236">
        <f>D38-C38</f>
        <v>-3.6549162388620472E-2</v>
      </c>
      <c r="E39" s="236">
        <f>E38-D38</f>
        <v>0.18007684503256588</v>
      </c>
    </row>
    <row r="41" spans="2:5" ht="15.5" x14ac:dyDescent="0.35">
      <c r="B41" s="732" t="s">
        <v>144</v>
      </c>
      <c r="C41" s="732"/>
      <c r="D41" s="732"/>
      <c r="E41" s="732"/>
    </row>
    <row r="42" spans="2:5" x14ac:dyDescent="0.35">
      <c r="B42" s="225"/>
      <c r="C42" s="207" t="s">
        <v>79</v>
      </c>
      <c r="D42" s="207" t="s">
        <v>81</v>
      </c>
      <c r="E42" s="207" t="s">
        <v>77</v>
      </c>
    </row>
    <row r="43" spans="2:5" x14ac:dyDescent="0.35">
      <c r="B43" s="210" t="s">
        <v>166</v>
      </c>
      <c r="C43" s="211">
        <f>'Dynamic Asset Allocation'!L119</f>
        <v>151886.72486320583</v>
      </c>
      <c r="D43" s="303">
        <f>'Dynamic Asset Allocation'!N119</f>
        <v>0</v>
      </c>
      <c r="E43" s="303">
        <f>'Dynamic Asset Allocation'!P119</f>
        <v>0</v>
      </c>
    </row>
    <row r="44" spans="2:5" x14ac:dyDescent="0.35">
      <c r="B44" s="210" t="s">
        <v>167</v>
      </c>
      <c r="C44" s="211">
        <f>'Dynamic Asset Allocation'!L120</f>
        <v>1017458.1101359131</v>
      </c>
      <c r="D44" s="303">
        <f>'Dynamic Asset Allocation'!N120</f>
        <v>1181856.4256737451</v>
      </c>
      <c r="E44" s="303">
        <f>'Dynamic Asset Allocation'!P120</f>
        <v>1216500.6262697438</v>
      </c>
    </row>
    <row r="45" spans="2:5" x14ac:dyDescent="0.35">
      <c r="B45" s="215" t="s">
        <v>121</v>
      </c>
      <c r="C45" s="166">
        <f>C43+C44</f>
        <v>1169344.8349991189</v>
      </c>
      <c r="D45" s="166">
        <f>D43+D44</f>
        <v>1181856.4256737451</v>
      </c>
      <c r="E45" s="166">
        <f>E43+E44</f>
        <v>1216500.6262697438</v>
      </c>
    </row>
    <row r="46" spans="2:5" x14ac:dyDescent="0.35">
      <c r="B46" s="232" t="s">
        <v>168</v>
      </c>
      <c r="C46" s="233">
        <f>(C45-C5)/C5</f>
        <v>0.16934483499911893</v>
      </c>
      <c r="D46" s="233">
        <f>(D45-C45)/C45</f>
        <v>1.0699658732093003E-2</v>
      </c>
      <c r="E46" s="233">
        <f>(E45-D45)/D45</f>
        <v>2.931337499497786E-2</v>
      </c>
    </row>
    <row r="47" spans="2:5" x14ac:dyDescent="0.35">
      <c r="B47" s="234" t="s">
        <v>169</v>
      </c>
      <c r="C47" s="235"/>
      <c r="D47" s="236">
        <f>D46-C46</f>
        <v>-0.15864517626702593</v>
      </c>
      <c r="E47" s="236">
        <f>E46-D46</f>
        <v>1.8613716262884855E-2</v>
      </c>
    </row>
    <row r="48" spans="2:5" x14ac:dyDescent="0.35">
      <c r="B48" s="206"/>
      <c r="C48" s="105"/>
      <c r="D48" s="105"/>
      <c r="E48" s="105"/>
    </row>
  </sheetData>
  <mergeCells count="8">
    <mergeCell ref="B41:E41"/>
    <mergeCell ref="B2:H2"/>
    <mergeCell ref="B9:E9"/>
    <mergeCell ref="B21:B22"/>
    <mergeCell ref="C21:D21"/>
    <mergeCell ref="E21:F21"/>
    <mergeCell ref="G21:H21"/>
    <mergeCell ref="B33:E3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561D-7A9F-4CD6-AC4B-E8F2BCDADC78}">
  <dimension ref="B1:S53"/>
  <sheetViews>
    <sheetView showGridLines="0" zoomScale="85" workbookViewId="0">
      <selection activeCell="H18" sqref="H18"/>
    </sheetView>
  </sheetViews>
  <sheetFormatPr defaultRowHeight="14.5" x14ac:dyDescent="0.35"/>
  <cols>
    <col min="1" max="1" width="8.7265625" style="7"/>
    <col min="2" max="2" width="31.1796875" style="7" customWidth="1"/>
    <col min="3" max="3" width="12.90625" style="7" customWidth="1"/>
    <col min="4" max="4" width="15" style="7" customWidth="1"/>
    <col min="5" max="5" width="12.36328125" style="7" bestFit="1" customWidth="1"/>
    <col min="6" max="6" width="12.08984375" style="7" customWidth="1"/>
    <col min="7" max="7" width="16" style="7" customWidth="1"/>
    <col min="8" max="8" width="14.08984375" style="7" customWidth="1"/>
    <col min="9" max="9" width="12.36328125" style="7" customWidth="1"/>
    <col min="10" max="10" width="14.54296875" style="7" bestFit="1" customWidth="1"/>
    <col min="11" max="11" width="15.6328125" style="7" customWidth="1"/>
    <col min="12" max="12" width="18.90625" style="7" bestFit="1" customWidth="1"/>
    <col min="13" max="14" width="14.453125" style="7" customWidth="1"/>
    <col min="15" max="15" width="16.6328125" style="7" customWidth="1"/>
    <col min="16" max="16" width="16.90625" style="7" customWidth="1"/>
    <col min="17" max="17" width="17" style="7" customWidth="1"/>
    <col min="18" max="19" width="14.453125" style="7" customWidth="1"/>
    <col min="20" max="16384" width="8.7265625" style="7"/>
  </cols>
  <sheetData>
    <row r="1" spans="2:12" ht="15" thickBot="1" x14ac:dyDescent="0.4"/>
    <row r="2" spans="2:12" ht="22" thickTop="1" thickBot="1" x14ac:dyDescent="0.55000000000000004">
      <c r="B2" s="695" t="s">
        <v>242</v>
      </c>
      <c r="C2" s="695"/>
      <c r="D2" s="695"/>
      <c r="E2" s="695"/>
      <c r="F2" s="695"/>
      <c r="G2" s="695"/>
      <c r="H2" s="695"/>
      <c r="I2" s="695"/>
      <c r="J2" s="695"/>
      <c r="K2" s="695"/>
      <c r="L2" s="695"/>
    </row>
    <row r="3" spans="2:12" ht="14.25" customHeight="1" thickTop="1" x14ac:dyDescent="0.35"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</row>
    <row r="4" spans="2:12" ht="14.25" customHeight="1" x14ac:dyDescent="0.35"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</row>
    <row r="5" spans="2:12" ht="14.25" customHeight="1" x14ac:dyDescent="0.35">
      <c r="B5" s="722" t="s">
        <v>72</v>
      </c>
      <c r="C5" s="723"/>
      <c r="D5" s="722" t="s">
        <v>176</v>
      </c>
      <c r="E5" s="723"/>
      <c r="F5" s="724"/>
      <c r="G5" s="742" t="s">
        <v>79</v>
      </c>
      <c r="H5" s="742"/>
      <c r="I5" s="743" t="s">
        <v>81</v>
      </c>
      <c r="J5" s="744"/>
      <c r="K5" s="742" t="s">
        <v>77</v>
      </c>
      <c r="L5" s="744"/>
    </row>
    <row r="6" spans="2:12" ht="14.25" customHeight="1" x14ac:dyDescent="0.35">
      <c r="B6" s="750" t="s">
        <v>243</v>
      </c>
      <c r="C6" s="751"/>
      <c r="D6" s="312"/>
      <c r="E6" s="376"/>
      <c r="F6" s="319">
        <f>'100% Equity Portfolio'!C9</f>
        <v>1000000</v>
      </c>
      <c r="G6" s="377"/>
      <c r="H6" s="378">
        <f>H16</f>
        <v>967866.80185884517</v>
      </c>
      <c r="I6" s="379"/>
      <c r="J6" s="380">
        <f>J16</f>
        <v>901391.42522877536</v>
      </c>
      <c r="K6" s="377"/>
      <c r="L6" s="380">
        <f>L16</f>
        <v>1001801.4583773705</v>
      </c>
    </row>
    <row r="7" spans="2:12" s="386" customFormat="1" ht="38.25" customHeight="1" x14ac:dyDescent="0.35">
      <c r="B7" s="381" t="s">
        <v>181</v>
      </c>
      <c r="C7" s="382" t="s">
        <v>175</v>
      </c>
      <c r="D7" s="383" t="s">
        <v>205</v>
      </c>
      <c r="E7" s="384" t="s">
        <v>206</v>
      </c>
      <c r="F7" s="385" t="s">
        <v>207</v>
      </c>
      <c r="G7" s="384" t="s">
        <v>206</v>
      </c>
      <c r="H7" s="382" t="s">
        <v>195</v>
      </c>
      <c r="I7" s="384" t="s">
        <v>206</v>
      </c>
      <c r="J7" s="385" t="s">
        <v>195</v>
      </c>
      <c r="K7" s="384" t="s">
        <v>206</v>
      </c>
      <c r="L7" s="385" t="s">
        <v>195</v>
      </c>
    </row>
    <row r="8" spans="2:12" ht="14.25" customHeight="1" x14ac:dyDescent="0.35">
      <c r="B8" s="387" t="str">
        <f>'100% Equity and DAA'!B11</f>
        <v>UCB</v>
      </c>
      <c r="C8" s="388">
        <f t="shared" ref="C8:C15" si="0">1/8</f>
        <v>0.125</v>
      </c>
      <c r="D8" s="389">
        <f>$F$6*C8</f>
        <v>125000</v>
      </c>
      <c r="E8" s="390">
        <f>'100% Equity and DAA'!D11</f>
        <v>9.1999999999999993</v>
      </c>
      <c r="F8" s="391">
        <f t="shared" ref="F8:F15" si="1">D8/E8</f>
        <v>13586.956521739132</v>
      </c>
      <c r="G8" s="392">
        <f>'100% Equity and DAA'!C23</f>
        <v>11</v>
      </c>
      <c r="H8" s="378">
        <f t="shared" ref="H8:H15" si="2">G8*F8</f>
        <v>149456.52173913046</v>
      </c>
      <c r="I8" s="392">
        <f>'100% Equity and DAA'!E23</f>
        <v>9.9</v>
      </c>
      <c r="J8" s="380">
        <f t="shared" ref="J8:J15" si="3">I8*F8</f>
        <v>134510.86956521741</v>
      </c>
      <c r="K8" s="392">
        <f>'100% Equity and DAA'!G23</f>
        <v>10.6</v>
      </c>
      <c r="L8" s="380">
        <f t="shared" ref="L8:L15" si="4">K8*F8</f>
        <v>144021.73913043478</v>
      </c>
    </row>
    <row r="9" spans="2:12" ht="14.25" customHeight="1" x14ac:dyDescent="0.35">
      <c r="B9" s="393" t="str">
        <f>'100% Equity and DAA'!B12</f>
        <v>IDLC</v>
      </c>
      <c r="C9" s="388">
        <f t="shared" si="0"/>
        <v>0.125</v>
      </c>
      <c r="D9" s="389">
        <f t="shared" ref="D9:D15" si="5">$F$6*C9</f>
        <v>125000</v>
      </c>
      <c r="E9" s="390">
        <f>'100% Equity and DAA'!D12</f>
        <v>32.700000000000003</v>
      </c>
      <c r="F9" s="391">
        <f>D9/E9</f>
        <v>3822.6299694189597</v>
      </c>
      <c r="G9" s="392">
        <f>'100% Equity and DAA'!C24</f>
        <v>31.4</v>
      </c>
      <c r="H9" s="378">
        <f t="shared" si="2"/>
        <v>120030.58103975533</v>
      </c>
      <c r="I9" s="392">
        <f>'100% Equity and DAA'!E24</f>
        <v>29</v>
      </c>
      <c r="J9" s="380">
        <f t="shared" si="3"/>
        <v>110856.26911314983</v>
      </c>
      <c r="K9" s="392">
        <f>'100% Equity and DAA'!G24</f>
        <v>41.2</v>
      </c>
      <c r="L9" s="380">
        <f t="shared" si="4"/>
        <v>157492.35474006116</v>
      </c>
    </row>
    <row r="10" spans="2:12" ht="14.25" customHeight="1" x14ac:dyDescent="0.35">
      <c r="B10" s="393" t="str">
        <f>'100% Equity and DAA'!B13</f>
        <v>GP</v>
      </c>
      <c r="C10" s="388">
        <f t="shared" si="0"/>
        <v>0.125</v>
      </c>
      <c r="D10" s="389">
        <f t="shared" si="5"/>
        <v>125000</v>
      </c>
      <c r="E10" s="390">
        <f>'100% Equity and DAA'!D13</f>
        <v>323.10000000000002</v>
      </c>
      <c r="F10" s="391">
        <f t="shared" si="1"/>
        <v>386.877127824203</v>
      </c>
      <c r="G10" s="392">
        <f>'100% Equity and DAA'!C25</f>
        <v>321.89999999999998</v>
      </c>
      <c r="H10" s="378">
        <f t="shared" si="2"/>
        <v>124535.74744661094</v>
      </c>
      <c r="I10" s="392">
        <f>'100% Equity and DAA'!E25</f>
        <v>303.10000000000002</v>
      </c>
      <c r="J10" s="380">
        <f t="shared" si="3"/>
        <v>117262.45744351594</v>
      </c>
      <c r="K10" s="392">
        <f>'100% Equity and DAA'!G25</f>
        <v>299</v>
      </c>
      <c r="L10" s="380">
        <f t="shared" si="4"/>
        <v>115676.2612194367</v>
      </c>
    </row>
    <row r="11" spans="2:12" ht="18" customHeight="1" x14ac:dyDescent="0.35">
      <c r="B11" s="393" t="str">
        <f>'100% Equity and DAA'!B14</f>
        <v>BATASHOE</v>
      </c>
      <c r="C11" s="388">
        <f t="shared" si="0"/>
        <v>0.125</v>
      </c>
      <c r="D11" s="389">
        <f t="shared" si="5"/>
        <v>125000</v>
      </c>
      <c r="E11" s="390">
        <f>'100% Equity and DAA'!D14</f>
        <v>905.4</v>
      </c>
      <c r="F11" s="391">
        <f t="shared" si="1"/>
        <v>138.06052573448201</v>
      </c>
      <c r="G11" s="392">
        <f>'100% Equity and DAA'!C26</f>
        <v>834.7</v>
      </c>
      <c r="H11" s="378">
        <f t="shared" si="2"/>
        <v>115239.12083057214</v>
      </c>
      <c r="I11" s="392">
        <f>'100% Equity and DAA'!E26</f>
        <v>802.7</v>
      </c>
      <c r="J11" s="380">
        <f t="shared" si="3"/>
        <v>110821.18400706872</v>
      </c>
      <c r="K11" s="392">
        <f>'100% Equity and DAA'!G26</f>
        <v>877.7</v>
      </c>
      <c r="L11" s="380">
        <f t="shared" si="4"/>
        <v>121175.72343715487</v>
      </c>
    </row>
    <row r="12" spans="2:12" ht="18" customHeight="1" x14ac:dyDescent="0.35">
      <c r="B12" s="393" t="str">
        <f>'100% Equity and DAA'!B15</f>
        <v>RENATA</v>
      </c>
      <c r="C12" s="388">
        <f t="shared" si="0"/>
        <v>0.125</v>
      </c>
      <c r="D12" s="389">
        <f t="shared" si="5"/>
        <v>125000</v>
      </c>
      <c r="E12" s="390">
        <f>'100% Equity and DAA'!D15</f>
        <v>635.1</v>
      </c>
      <c r="F12" s="391">
        <f t="shared" si="1"/>
        <v>196.81939851991811</v>
      </c>
      <c r="G12" s="392">
        <f>'100% Equity and DAA'!C27</f>
        <v>500.5</v>
      </c>
      <c r="H12" s="378">
        <f t="shared" si="2"/>
        <v>98508.108959219011</v>
      </c>
      <c r="I12" s="392">
        <f>'100% Equity and DAA'!E27</f>
        <v>488.4</v>
      </c>
      <c r="J12" s="380">
        <f t="shared" si="3"/>
        <v>96126.594237127996</v>
      </c>
      <c r="K12" s="392">
        <f>'100% Equity and DAA'!G27</f>
        <v>480.4</v>
      </c>
      <c r="L12" s="380">
        <f t="shared" si="4"/>
        <v>94552.039048968654</v>
      </c>
    </row>
    <row r="13" spans="2:12" ht="18" customHeight="1" x14ac:dyDescent="0.35">
      <c r="B13" s="393" t="str">
        <f>'100% Equity and DAA'!B16</f>
        <v>WALTONHIL</v>
      </c>
      <c r="C13" s="388">
        <f t="shared" si="0"/>
        <v>0.125</v>
      </c>
      <c r="D13" s="389">
        <f t="shared" si="5"/>
        <v>125000</v>
      </c>
      <c r="E13" s="390">
        <f>'100% Equity and DAA'!D16</f>
        <v>487.5</v>
      </c>
      <c r="F13" s="391">
        <f t="shared" si="1"/>
        <v>256.41025641025641</v>
      </c>
      <c r="G13" s="392">
        <f>'100% Equity and DAA'!C28</f>
        <v>462.7</v>
      </c>
      <c r="H13" s="378">
        <f t="shared" si="2"/>
        <v>118641.02564102564</v>
      </c>
      <c r="I13" s="392">
        <f>'100% Equity and DAA'!E28</f>
        <v>406.3</v>
      </c>
      <c r="J13" s="380">
        <f t="shared" si="3"/>
        <v>104179.48717948719</v>
      </c>
      <c r="K13" s="392">
        <f>'100% Equity and DAA'!G28</f>
        <v>419.9</v>
      </c>
      <c r="L13" s="380">
        <f t="shared" si="4"/>
        <v>107666.66666666666</v>
      </c>
    </row>
    <row r="14" spans="2:12" x14ac:dyDescent="0.35">
      <c r="B14" s="393" t="str">
        <f>'100% Equity and DAA'!B17</f>
        <v>RAKC</v>
      </c>
      <c r="C14" s="388">
        <f t="shared" si="0"/>
        <v>0.125</v>
      </c>
      <c r="D14" s="389">
        <f t="shared" si="5"/>
        <v>125000</v>
      </c>
      <c r="E14" s="390">
        <f>'100% Equity and DAA'!D17</f>
        <v>22.6</v>
      </c>
      <c r="F14" s="391">
        <f t="shared" si="1"/>
        <v>5530.9734513274334</v>
      </c>
      <c r="G14" s="392">
        <f>'100% Equity and DAA'!C29</f>
        <v>22.6</v>
      </c>
      <c r="H14" s="378">
        <f t="shared" si="2"/>
        <v>125000</v>
      </c>
      <c r="I14" s="392">
        <f>'100% Equity and DAA'!E29</f>
        <v>19.2</v>
      </c>
      <c r="J14" s="380">
        <f t="shared" si="3"/>
        <v>106194.69026548672</v>
      </c>
      <c r="K14" s="392">
        <f>'100% Equity and DAA'!G29</f>
        <v>25.1</v>
      </c>
      <c r="L14" s="380">
        <f t="shared" si="4"/>
        <v>138827.4336283186</v>
      </c>
    </row>
    <row r="15" spans="2:12" x14ac:dyDescent="0.35">
      <c r="B15" s="394" t="str">
        <f>'100% Equity and DAA'!B18</f>
        <v>OLYMPIC</v>
      </c>
      <c r="C15" s="388">
        <f t="shared" si="0"/>
        <v>0.125</v>
      </c>
      <c r="D15" s="389">
        <f t="shared" si="5"/>
        <v>125000</v>
      </c>
      <c r="E15" s="390">
        <f>'100% Equity and DAA'!D18</f>
        <v>158</v>
      </c>
      <c r="F15" s="391">
        <f t="shared" si="1"/>
        <v>791.13924050632909</v>
      </c>
      <c r="G15" s="392">
        <f>'100% Equity and DAA'!C30</f>
        <v>147.19999999999999</v>
      </c>
      <c r="H15" s="378">
        <f t="shared" si="2"/>
        <v>116455.69620253163</v>
      </c>
      <c r="I15" s="392">
        <f>'100% Equity and DAA'!E30</f>
        <v>153.5</v>
      </c>
      <c r="J15" s="380">
        <f t="shared" si="3"/>
        <v>121439.87341772151</v>
      </c>
      <c r="K15" s="392">
        <f>'100% Equity and DAA'!G30</f>
        <v>154.69999999999999</v>
      </c>
      <c r="L15" s="380">
        <f t="shared" si="4"/>
        <v>122389.24050632911</v>
      </c>
    </row>
    <row r="16" spans="2:12" x14ac:dyDescent="0.35">
      <c r="B16" s="395" t="s">
        <v>210</v>
      </c>
      <c r="C16" s="396"/>
      <c r="D16" s="397">
        <f>SUM(D8:D15)</f>
        <v>1000000</v>
      </c>
      <c r="E16" s="398"/>
      <c r="F16" s="399"/>
      <c r="G16" s="400"/>
      <c r="H16" s="401">
        <f>SUM(H8:H15)</f>
        <v>967866.80185884517</v>
      </c>
      <c r="I16" s="400"/>
      <c r="J16" s="402">
        <f>SUM(J8:J15)</f>
        <v>901391.42522877536</v>
      </c>
      <c r="K16" s="400"/>
      <c r="L16" s="402">
        <f>SUM(L8:L15)</f>
        <v>1001801.4583773705</v>
      </c>
    </row>
    <row r="17" spans="2:19" x14ac:dyDescent="0.35"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</row>
    <row r="18" spans="2:19" x14ac:dyDescent="0.35"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</row>
    <row r="19" spans="2:19" ht="18.5" x14ac:dyDescent="0.45">
      <c r="B19" s="747" t="s">
        <v>244</v>
      </c>
      <c r="C19" s="748"/>
      <c r="D19" s="748"/>
      <c r="E19" s="748"/>
      <c r="F19" s="749"/>
      <c r="G19" s="614"/>
      <c r="H19" s="614"/>
      <c r="I19" s="614"/>
      <c r="J19" s="614"/>
      <c r="K19" s="180"/>
      <c r="L19" s="180"/>
    </row>
    <row r="20" spans="2:19" x14ac:dyDescent="0.35">
      <c r="B20" s="403" t="s">
        <v>60</v>
      </c>
      <c r="C20" s="616" t="s">
        <v>191</v>
      </c>
      <c r="D20" s="617" t="s">
        <v>192</v>
      </c>
      <c r="E20" s="616" t="s">
        <v>193</v>
      </c>
      <c r="F20" s="612" t="s">
        <v>194</v>
      </c>
      <c r="H20" s="305"/>
      <c r="J20" s="305"/>
      <c r="K20" s="180"/>
      <c r="L20" s="180"/>
    </row>
    <row r="21" spans="2:19" x14ac:dyDescent="0.35">
      <c r="B21" s="92" t="s">
        <v>195</v>
      </c>
      <c r="C21" s="425">
        <f>D16</f>
        <v>1000000</v>
      </c>
      <c r="D21" s="404">
        <f>H16</f>
        <v>967866.80185884517</v>
      </c>
      <c r="E21" s="425">
        <f>J16</f>
        <v>901391.42522877536</v>
      </c>
      <c r="F21" s="405">
        <f>L16</f>
        <v>1001801.4583773705</v>
      </c>
      <c r="G21" s="376"/>
      <c r="I21" s="407"/>
      <c r="K21" s="180"/>
      <c r="L21" s="180"/>
    </row>
    <row r="22" spans="2:19" x14ac:dyDescent="0.35">
      <c r="B22" s="92" t="s">
        <v>196</v>
      </c>
      <c r="C22" s="509">
        <v>0</v>
      </c>
      <c r="D22" s="613">
        <v>0</v>
      </c>
      <c r="E22" s="509">
        <v>0</v>
      </c>
      <c r="F22" s="408">
        <v>0</v>
      </c>
      <c r="G22" s="377"/>
      <c r="I22" s="613"/>
      <c r="K22" s="180"/>
      <c r="L22" s="180"/>
    </row>
    <row r="23" spans="2:19" x14ac:dyDescent="0.35">
      <c r="B23" s="134" t="s">
        <v>197</v>
      </c>
      <c r="C23" s="618">
        <f>SUM(C21:C22)</f>
        <v>1000000</v>
      </c>
      <c r="D23" s="401">
        <f>SUM(D21:D22)</f>
        <v>967866.80185884517</v>
      </c>
      <c r="E23" s="618">
        <f>SUM(E21:E22)</f>
        <v>901391.42522877536</v>
      </c>
      <c r="F23" s="402">
        <f>SUM(F21:F22)</f>
        <v>1001801.4583773705</v>
      </c>
      <c r="G23" s="377"/>
      <c r="I23" s="615"/>
      <c r="K23" s="180"/>
      <c r="L23" s="180"/>
    </row>
    <row r="24" spans="2:19" x14ac:dyDescent="0.35">
      <c r="B24" s="92" t="s">
        <v>198</v>
      </c>
      <c r="C24" s="509"/>
      <c r="D24" s="388">
        <f>LN(D23/C23)*4</f>
        <v>-0.13064321023595882</v>
      </c>
      <c r="E24" s="622">
        <f>LN(E23/D23)*4</f>
        <v>-0.28461951575141908</v>
      </c>
      <c r="F24" s="315">
        <f>LN(F23/E23)*4</f>
        <v>0.42246207677668868</v>
      </c>
      <c r="G24" s="377"/>
      <c r="I24" s="410"/>
      <c r="K24" s="180"/>
      <c r="L24" s="180"/>
    </row>
    <row r="25" spans="2:19" x14ac:dyDescent="0.35">
      <c r="B25" s="320" t="s">
        <v>199</v>
      </c>
      <c r="C25" s="619"/>
      <c r="D25" s="411"/>
      <c r="E25" s="623">
        <f>E24-D24</f>
        <v>-0.15397630551546027</v>
      </c>
      <c r="F25" s="413">
        <f>F24-E24</f>
        <v>0.70708159252810776</v>
      </c>
      <c r="G25" s="377"/>
      <c r="I25" s="388"/>
      <c r="K25" s="180"/>
      <c r="L25" s="180"/>
    </row>
    <row r="26" spans="2:19" x14ac:dyDescent="0.35">
      <c r="B26" s="180"/>
      <c r="C26" s="180"/>
      <c r="D26" s="180"/>
      <c r="E26" s="180"/>
      <c r="F26" s="180"/>
      <c r="K26" s="180"/>
      <c r="L26" s="180"/>
    </row>
    <row r="27" spans="2:19" x14ac:dyDescent="0.35"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</row>
    <row r="28" spans="2:19" x14ac:dyDescent="0.35"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</row>
    <row r="29" spans="2:19" ht="15" thickBot="1" x14ac:dyDescent="0.4"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</row>
    <row r="30" spans="2:19" ht="19.5" thickTop="1" thickBot="1" x14ac:dyDescent="0.5">
      <c r="B30" s="752" t="s">
        <v>245</v>
      </c>
      <c r="C30" s="752"/>
      <c r="D30" s="752"/>
      <c r="E30" s="752"/>
      <c r="F30" s="752"/>
      <c r="G30" s="752"/>
      <c r="H30" s="752"/>
      <c r="I30" s="752"/>
      <c r="J30" s="752"/>
      <c r="K30" s="752"/>
      <c r="L30" s="752"/>
      <c r="M30" s="752"/>
      <c r="N30" s="752"/>
      <c r="O30" s="752"/>
      <c r="P30" s="752"/>
      <c r="Q30" s="752"/>
      <c r="R30" s="752"/>
      <c r="S30" s="752"/>
    </row>
    <row r="31" spans="2:19" ht="15" thickTop="1" x14ac:dyDescent="0.35"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</row>
    <row r="32" spans="2:19" x14ac:dyDescent="0.35"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</row>
    <row r="33" spans="2:19" x14ac:dyDescent="0.35">
      <c r="B33" s="722" t="s">
        <v>72</v>
      </c>
      <c r="C33" s="724"/>
      <c r="D33" s="722" t="s">
        <v>191</v>
      </c>
      <c r="E33" s="723"/>
      <c r="F33" s="724"/>
      <c r="G33" s="743" t="s">
        <v>192</v>
      </c>
      <c r="H33" s="742"/>
      <c r="I33" s="742"/>
      <c r="J33" s="742"/>
      <c r="K33" s="744"/>
      <c r="L33" s="743" t="s">
        <v>193</v>
      </c>
      <c r="M33" s="742"/>
      <c r="N33" s="742"/>
      <c r="O33" s="742"/>
      <c r="P33" s="744"/>
      <c r="Q33" s="753" t="s">
        <v>194</v>
      </c>
      <c r="R33" s="754"/>
      <c r="S33" s="755"/>
    </row>
    <row r="34" spans="2:19" x14ac:dyDescent="0.35">
      <c r="B34" s="745" t="s">
        <v>243</v>
      </c>
      <c r="C34" s="746"/>
      <c r="D34" s="415"/>
      <c r="E34" s="416"/>
      <c r="F34" s="417">
        <f>F6</f>
        <v>1000000</v>
      </c>
      <c r="G34" s="92"/>
      <c r="K34" s="418">
        <f>I44</f>
        <v>967866.80185884517</v>
      </c>
      <c r="L34" s="92"/>
      <c r="P34" s="418">
        <f>N44</f>
        <v>904122.35588907008</v>
      </c>
      <c r="Q34" s="92"/>
      <c r="S34" s="419">
        <f>S44</f>
        <v>1006232.4133855922</v>
      </c>
    </row>
    <row r="35" spans="2:19" ht="36" customHeight="1" x14ac:dyDescent="0.35">
      <c r="B35" s="420" t="s">
        <v>181</v>
      </c>
      <c r="C35" s="420" t="s">
        <v>175</v>
      </c>
      <c r="D35" s="420" t="s">
        <v>205</v>
      </c>
      <c r="E35" s="421" t="s">
        <v>206</v>
      </c>
      <c r="F35" s="422" t="s">
        <v>207</v>
      </c>
      <c r="G35" s="420" t="s">
        <v>208</v>
      </c>
      <c r="H35" s="421" t="s">
        <v>206</v>
      </c>
      <c r="I35" s="423" t="s">
        <v>195</v>
      </c>
      <c r="J35" s="421" t="s">
        <v>205</v>
      </c>
      <c r="K35" s="422" t="s">
        <v>209</v>
      </c>
      <c r="L35" s="420" t="s">
        <v>208</v>
      </c>
      <c r="M35" s="421" t="s">
        <v>206</v>
      </c>
      <c r="N35" s="423" t="s">
        <v>195</v>
      </c>
      <c r="O35" s="421" t="s">
        <v>205</v>
      </c>
      <c r="P35" s="422" t="s">
        <v>209</v>
      </c>
      <c r="Q35" s="420" t="s">
        <v>208</v>
      </c>
      <c r="R35" s="421" t="s">
        <v>206</v>
      </c>
      <c r="S35" s="422" t="s">
        <v>195</v>
      </c>
    </row>
    <row r="36" spans="2:19" x14ac:dyDescent="0.35">
      <c r="B36" s="578" t="str">
        <f>B8</f>
        <v>UCB</v>
      </c>
      <c r="C36" s="317">
        <f t="shared" ref="C36:C43" si="6">1/8</f>
        <v>0.125</v>
      </c>
      <c r="D36" s="389">
        <f t="shared" ref="D36:D43" si="7">$F$34*C36</f>
        <v>125000</v>
      </c>
      <c r="E36" s="390">
        <f>'100% Equity and DAA'!D11</f>
        <v>9.1999999999999993</v>
      </c>
      <c r="F36" s="391">
        <f t="shared" ref="F36:F43" si="8">D36/E36</f>
        <v>13586.956521739132</v>
      </c>
      <c r="G36" s="424">
        <f t="shared" ref="G36:G43" si="9">F36</f>
        <v>13586.956521739132</v>
      </c>
      <c r="H36" s="392">
        <f>'100% Equity and DAA'!C23</f>
        <v>11</v>
      </c>
      <c r="I36" s="378">
        <f t="shared" ref="I36:I43" si="10">H36*G36</f>
        <v>149456.52173913046</v>
      </c>
      <c r="J36" s="425">
        <f t="shared" ref="J36:J43" si="11">$K$34*C36</f>
        <v>120983.35023235565</v>
      </c>
      <c r="K36" s="380">
        <f t="shared" ref="K36:K43" si="12">J36/H36</f>
        <v>10998.486384759604</v>
      </c>
      <c r="L36" s="424">
        <f t="shared" ref="L36:L43" si="13">K36</f>
        <v>10998.486384759604</v>
      </c>
      <c r="M36" s="392">
        <f>'100% Equity and DAA'!E23</f>
        <v>9.9</v>
      </c>
      <c r="N36" s="378">
        <f t="shared" ref="N36:N43" si="14">L36*M36</f>
        <v>108885.01520912009</v>
      </c>
      <c r="O36" s="425">
        <f t="shared" ref="O36:O43" si="15">$P$34*C36</f>
        <v>113015.29448613376</v>
      </c>
      <c r="P36" s="380">
        <f t="shared" ref="P36:P43" si="16">O36/M36</f>
        <v>11415.686311730682</v>
      </c>
      <c r="Q36" s="424">
        <f t="shared" ref="Q36:Q43" si="17">P36</f>
        <v>11415.686311730682</v>
      </c>
      <c r="R36" s="392">
        <f>'100% Equity and DAA'!G23</f>
        <v>10.6</v>
      </c>
      <c r="S36" s="426">
        <f t="shared" ref="S36:S43" si="18">R36*Q36</f>
        <v>121006.27490434522</v>
      </c>
    </row>
    <row r="37" spans="2:19" x14ac:dyDescent="0.35">
      <c r="B37" s="578" t="str">
        <f t="shared" ref="B37:B43" si="19">B9</f>
        <v>IDLC</v>
      </c>
      <c r="C37" s="317">
        <f t="shared" si="6"/>
        <v>0.125</v>
      </c>
      <c r="D37" s="389">
        <f t="shared" si="7"/>
        <v>125000</v>
      </c>
      <c r="E37" s="390">
        <f>'100% Equity and DAA'!D12</f>
        <v>32.700000000000003</v>
      </c>
      <c r="F37" s="391">
        <f t="shared" si="8"/>
        <v>3822.6299694189597</v>
      </c>
      <c r="G37" s="424">
        <f t="shared" si="9"/>
        <v>3822.6299694189597</v>
      </c>
      <c r="H37" s="392">
        <f>'100% Equity and DAA'!C24</f>
        <v>31.4</v>
      </c>
      <c r="I37" s="378">
        <f t="shared" si="10"/>
        <v>120030.58103975533</v>
      </c>
      <c r="J37" s="425">
        <f t="shared" si="11"/>
        <v>120983.35023235565</v>
      </c>
      <c r="K37" s="380">
        <f t="shared" si="12"/>
        <v>3852.9729373361674</v>
      </c>
      <c r="L37" s="424">
        <f t="shared" si="13"/>
        <v>3852.9729373361674</v>
      </c>
      <c r="M37" s="392">
        <f>'100% Equity and DAA'!E24</f>
        <v>29</v>
      </c>
      <c r="N37" s="378">
        <f t="shared" si="14"/>
        <v>111736.21518274886</v>
      </c>
      <c r="O37" s="425">
        <f t="shared" si="15"/>
        <v>113015.29448613376</v>
      </c>
      <c r="P37" s="380">
        <f t="shared" si="16"/>
        <v>3897.0791202115088</v>
      </c>
      <c r="Q37" s="424">
        <f t="shared" si="17"/>
        <v>3897.0791202115088</v>
      </c>
      <c r="R37" s="392">
        <f>'100% Equity and DAA'!G24</f>
        <v>41.2</v>
      </c>
      <c r="S37" s="425">
        <f t="shared" si="18"/>
        <v>160559.65975271419</v>
      </c>
    </row>
    <row r="38" spans="2:19" x14ac:dyDescent="0.35">
      <c r="B38" s="578" t="str">
        <f t="shared" si="19"/>
        <v>GP</v>
      </c>
      <c r="C38" s="317">
        <f t="shared" si="6"/>
        <v>0.125</v>
      </c>
      <c r="D38" s="389">
        <f t="shared" si="7"/>
        <v>125000</v>
      </c>
      <c r="E38" s="390">
        <f>'100% Equity and DAA'!D13</f>
        <v>323.10000000000002</v>
      </c>
      <c r="F38" s="391">
        <f t="shared" si="8"/>
        <v>386.877127824203</v>
      </c>
      <c r="G38" s="424">
        <f t="shared" si="9"/>
        <v>386.877127824203</v>
      </c>
      <c r="H38" s="392">
        <f>'100% Equity and DAA'!C25</f>
        <v>321.89999999999998</v>
      </c>
      <c r="I38" s="378">
        <f t="shared" si="10"/>
        <v>124535.74744661094</v>
      </c>
      <c r="J38" s="425">
        <f t="shared" si="11"/>
        <v>120983.35023235565</v>
      </c>
      <c r="K38" s="380">
        <f t="shared" si="12"/>
        <v>375.84141109771872</v>
      </c>
      <c r="L38" s="424">
        <f t="shared" si="13"/>
        <v>375.84141109771872</v>
      </c>
      <c r="M38" s="392">
        <f>'100% Equity and DAA'!E25</f>
        <v>303.10000000000002</v>
      </c>
      <c r="N38" s="378">
        <f t="shared" si="14"/>
        <v>113917.53170371856</v>
      </c>
      <c r="O38" s="425">
        <f t="shared" si="15"/>
        <v>113015.29448613376</v>
      </c>
      <c r="P38" s="380">
        <f t="shared" si="16"/>
        <v>372.86471292026971</v>
      </c>
      <c r="Q38" s="424">
        <f t="shared" si="17"/>
        <v>372.86471292026971</v>
      </c>
      <c r="R38" s="392">
        <f>'100% Equity and DAA'!G25</f>
        <v>299</v>
      </c>
      <c r="S38" s="425">
        <f t="shared" si="18"/>
        <v>111486.54916316064</v>
      </c>
    </row>
    <row r="39" spans="2:19" x14ac:dyDescent="0.35">
      <c r="B39" s="578" t="str">
        <f t="shared" si="19"/>
        <v>BATASHOE</v>
      </c>
      <c r="C39" s="317">
        <f t="shared" si="6"/>
        <v>0.125</v>
      </c>
      <c r="D39" s="389">
        <f t="shared" si="7"/>
        <v>125000</v>
      </c>
      <c r="E39" s="390">
        <f>'100% Equity and DAA'!D14</f>
        <v>905.4</v>
      </c>
      <c r="F39" s="391">
        <f t="shared" si="8"/>
        <v>138.06052573448201</v>
      </c>
      <c r="G39" s="424">
        <f t="shared" si="9"/>
        <v>138.06052573448201</v>
      </c>
      <c r="H39" s="392">
        <f>'100% Equity and DAA'!C26</f>
        <v>834.7</v>
      </c>
      <c r="I39" s="378">
        <f t="shared" si="10"/>
        <v>115239.12083057214</v>
      </c>
      <c r="J39" s="425">
        <f t="shared" si="11"/>
        <v>120983.35023235565</v>
      </c>
      <c r="K39" s="380">
        <f t="shared" si="12"/>
        <v>144.94231488241959</v>
      </c>
      <c r="L39" s="424">
        <f t="shared" si="13"/>
        <v>144.94231488241959</v>
      </c>
      <c r="M39" s="392">
        <f>'100% Equity and DAA'!E26</f>
        <v>802.7</v>
      </c>
      <c r="N39" s="378">
        <f t="shared" si="14"/>
        <v>116345.19615611821</v>
      </c>
      <c r="O39" s="425">
        <f t="shared" si="15"/>
        <v>113015.29448613376</v>
      </c>
      <c r="P39" s="380">
        <f t="shared" si="16"/>
        <v>140.79393856501028</v>
      </c>
      <c r="Q39" s="424">
        <f t="shared" si="17"/>
        <v>140.79393856501028</v>
      </c>
      <c r="R39" s="392">
        <f>'100% Equity and DAA'!G26</f>
        <v>877.7</v>
      </c>
      <c r="S39" s="425">
        <f t="shared" si="18"/>
        <v>123574.83987850953</v>
      </c>
    </row>
    <row r="40" spans="2:19" x14ac:dyDescent="0.35">
      <c r="B40" s="578" t="str">
        <f t="shared" si="19"/>
        <v>RENATA</v>
      </c>
      <c r="C40" s="317">
        <f t="shared" si="6"/>
        <v>0.125</v>
      </c>
      <c r="D40" s="389">
        <f t="shared" si="7"/>
        <v>125000</v>
      </c>
      <c r="E40" s="390">
        <f>'100% Equity and DAA'!D15</f>
        <v>635.1</v>
      </c>
      <c r="F40" s="391">
        <f t="shared" si="8"/>
        <v>196.81939851991811</v>
      </c>
      <c r="G40" s="424">
        <f t="shared" si="9"/>
        <v>196.81939851991811</v>
      </c>
      <c r="H40" s="392">
        <f>'100% Equity and DAA'!C27</f>
        <v>500.5</v>
      </c>
      <c r="I40" s="378">
        <f t="shared" si="10"/>
        <v>98508.108959219011</v>
      </c>
      <c r="J40" s="425">
        <f t="shared" si="11"/>
        <v>120983.35023235565</v>
      </c>
      <c r="K40" s="380">
        <f t="shared" si="12"/>
        <v>241.72497548922206</v>
      </c>
      <c r="L40" s="424">
        <f t="shared" si="13"/>
        <v>241.72497548922206</v>
      </c>
      <c r="M40" s="392">
        <f>'100% Equity and DAA'!E27</f>
        <v>488.4</v>
      </c>
      <c r="N40" s="378">
        <f t="shared" si="14"/>
        <v>118058.47802893605</v>
      </c>
      <c r="O40" s="425">
        <f t="shared" si="15"/>
        <v>113015.29448613376</v>
      </c>
      <c r="P40" s="380">
        <f t="shared" si="16"/>
        <v>231.39904685940576</v>
      </c>
      <c r="Q40" s="424">
        <f t="shared" si="17"/>
        <v>231.39904685940576</v>
      </c>
      <c r="R40" s="392">
        <f>'100% Equity and DAA'!G27</f>
        <v>480.4</v>
      </c>
      <c r="S40" s="425">
        <f t="shared" si="18"/>
        <v>111164.10211125851</v>
      </c>
    </row>
    <row r="41" spans="2:19" x14ac:dyDescent="0.35">
      <c r="B41" s="578" t="str">
        <f t="shared" si="19"/>
        <v>WALTONHIL</v>
      </c>
      <c r="C41" s="317">
        <f t="shared" si="6"/>
        <v>0.125</v>
      </c>
      <c r="D41" s="389">
        <f t="shared" si="7"/>
        <v>125000</v>
      </c>
      <c r="E41" s="390">
        <f>'100% Equity and DAA'!D16</f>
        <v>487.5</v>
      </c>
      <c r="F41" s="391">
        <f t="shared" si="8"/>
        <v>256.41025641025641</v>
      </c>
      <c r="G41" s="424">
        <f t="shared" si="9"/>
        <v>256.41025641025641</v>
      </c>
      <c r="H41" s="392">
        <f>'100% Equity and DAA'!C28</f>
        <v>462.7</v>
      </c>
      <c r="I41" s="378">
        <f t="shared" si="10"/>
        <v>118641.02564102564</v>
      </c>
      <c r="J41" s="425">
        <f t="shared" si="11"/>
        <v>120983.35023235565</v>
      </c>
      <c r="K41" s="380">
        <f t="shared" si="12"/>
        <v>261.47255291194216</v>
      </c>
      <c r="L41" s="424">
        <f t="shared" si="13"/>
        <v>261.47255291194216</v>
      </c>
      <c r="M41" s="392">
        <f>'100% Equity and DAA'!E28</f>
        <v>406.3</v>
      </c>
      <c r="N41" s="378">
        <f t="shared" si="14"/>
        <v>106236.2982481221</v>
      </c>
      <c r="O41" s="425">
        <f t="shared" si="15"/>
        <v>113015.29448613376</v>
      </c>
      <c r="P41" s="380">
        <f t="shared" si="16"/>
        <v>278.15725938009786</v>
      </c>
      <c r="Q41" s="424">
        <f t="shared" si="17"/>
        <v>278.15725938009786</v>
      </c>
      <c r="R41" s="392">
        <f>'100% Equity and DAA'!G28</f>
        <v>419.9</v>
      </c>
      <c r="S41" s="425">
        <f t="shared" si="18"/>
        <v>116798.23321370309</v>
      </c>
    </row>
    <row r="42" spans="2:19" x14ac:dyDescent="0.35">
      <c r="B42" s="578" t="str">
        <f t="shared" si="19"/>
        <v>RAKC</v>
      </c>
      <c r="C42" s="317">
        <f t="shared" si="6"/>
        <v>0.125</v>
      </c>
      <c r="D42" s="389">
        <f t="shared" si="7"/>
        <v>125000</v>
      </c>
      <c r="E42" s="390">
        <f>'100% Equity and DAA'!D17</f>
        <v>22.6</v>
      </c>
      <c r="F42" s="391">
        <f t="shared" si="8"/>
        <v>5530.9734513274334</v>
      </c>
      <c r="G42" s="424">
        <f t="shared" si="9"/>
        <v>5530.9734513274334</v>
      </c>
      <c r="H42" s="392">
        <f>'100% Equity and DAA'!C29</f>
        <v>22.6</v>
      </c>
      <c r="I42" s="378">
        <f t="shared" si="10"/>
        <v>125000</v>
      </c>
      <c r="J42" s="425">
        <f t="shared" si="11"/>
        <v>120983.35023235565</v>
      </c>
      <c r="K42" s="380">
        <f t="shared" si="12"/>
        <v>5353.2455855024618</v>
      </c>
      <c r="L42" s="424">
        <f t="shared" si="13"/>
        <v>5353.2455855024618</v>
      </c>
      <c r="M42" s="392">
        <f>'100% Equity and DAA'!E29</f>
        <v>19.2</v>
      </c>
      <c r="N42" s="378">
        <f t="shared" si="14"/>
        <v>102782.31524164726</v>
      </c>
      <c r="O42" s="425">
        <f t="shared" si="15"/>
        <v>113015.29448613376</v>
      </c>
      <c r="P42" s="380">
        <f t="shared" si="16"/>
        <v>5886.2132544861333</v>
      </c>
      <c r="Q42" s="424">
        <f t="shared" si="17"/>
        <v>5886.2132544861333</v>
      </c>
      <c r="R42" s="392">
        <f>'100% Equity and DAA'!G29</f>
        <v>25.1</v>
      </c>
      <c r="S42" s="425">
        <f t="shared" si="18"/>
        <v>147743.95268760197</v>
      </c>
    </row>
    <row r="43" spans="2:19" x14ac:dyDescent="0.35">
      <c r="B43" s="578" t="str">
        <f t="shared" si="19"/>
        <v>OLYMPIC</v>
      </c>
      <c r="C43" s="317">
        <f t="shared" si="6"/>
        <v>0.125</v>
      </c>
      <c r="D43" s="389">
        <f t="shared" si="7"/>
        <v>125000</v>
      </c>
      <c r="E43" s="390">
        <f>'100% Equity and DAA'!D18</f>
        <v>158</v>
      </c>
      <c r="F43" s="391">
        <f t="shared" si="8"/>
        <v>791.13924050632909</v>
      </c>
      <c r="G43" s="424">
        <f t="shared" si="9"/>
        <v>791.13924050632909</v>
      </c>
      <c r="H43" s="392">
        <f>'100% Equity and DAA'!C30</f>
        <v>147.19999999999999</v>
      </c>
      <c r="I43" s="378">
        <f t="shared" si="10"/>
        <v>116455.69620253163</v>
      </c>
      <c r="J43" s="425">
        <f t="shared" si="11"/>
        <v>120983.35023235565</v>
      </c>
      <c r="K43" s="380">
        <f t="shared" si="12"/>
        <v>821.89775973067697</v>
      </c>
      <c r="L43" s="424">
        <f t="shared" si="13"/>
        <v>821.89775973067697</v>
      </c>
      <c r="M43" s="392">
        <f>'100% Equity and DAA'!E30</f>
        <v>153.5</v>
      </c>
      <c r="N43" s="378">
        <f t="shared" si="14"/>
        <v>126161.30611865892</v>
      </c>
      <c r="O43" s="425">
        <f t="shared" si="15"/>
        <v>113015.29448613376</v>
      </c>
      <c r="P43" s="380">
        <f t="shared" si="16"/>
        <v>736.25599013767919</v>
      </c>
      <c r="Q43" s="424">
        <f t="shared" si="17"/>
        <v>736.25599013767919</v>
      </c>
      <c r="R43" s="392">
        <f>'100% Equity and DAA'!G30</f>
        <v>154.69999999999999</v>
      </c>
      <c r="S43" s="425">
        <f t="shared" si="18"/>
        <v>113898.80167429896</v>
      </c>
    </row>
    <row r="44" spans="2:19" x14ac:dyDescent="0.35">
      <c r="B44" s="427" t="s">
        <v>210</v>
      </c>
      <c r="C44" s="428"/>
      <c r="D44" s="397">
        <f>SUM(D36:D43)</f>
        <v>1000000</v>
      </c>
      <c r="E44" s="398"/>
      <c r="F44" s="399"/>
      <c r="G44" s="429"/>
      <c r="H44" s="400"/>
      <c r="I44" s="401">
        <f>SUM(I36:I43)</f>
        <v>967866.80185884517</v>
      </c>
      <c r="J44" s="430">
        <f>SUM(J36:J43)</f>
        <v>967866.80185884517</v>
      </c>
      <c r="K44" s="431"/>
      <c r="L44" s="429"/>
      <c r="M44" s="400"/>
      <c r="N44" s="401">
        <f>SUM(N36:N43)</f>
        <v>904122.35588907008</v>
      </c>
      <c r="O44" s="430">
        <f>SUM(O36:O43)</f>
        <v>904122.35588906996</v>
      </c>
      <c r="P44" s="431"/>
      <c r="Q44" s="429"/>
      <c r="R44" s="400"/>
      <c r="S44" s="430">
        <f>SUM(S36:S43)</f>
        <v>1006232.4133855922</v>
      </c>
    </row>
    <row r="45" spans="2:19" x14ac:dyDescent="0.35"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</row>
    <row r="46" spans="2:19" x14ac:dyDescent="0.35"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</row>
    <row r="47" spans="2:19" ht="18.5" x14ac:dyDescent="0.45">
      <c r="B47" s="747" t="s">
        <v>246</v>
      </c>
      <c r="C47" s="748"/>
      <c r="D47" s="748"/>
      <c r="E47" s="748"/>
      <c r="F47" s="749"/>
      <c r="G47" s="614"/>
      <c r="H47" s="614"/>
      <c r="I47" s="614"/>
      <c r="J47" s="614"/>
      <c r="K47" s="180"/>
      <c r="L47" s="180"/>
      <c r="M47" s="180"/>
      <c r="N47" s="180"/>
      <c r="O47" s="180"/>
      <c r="P47" s="180"/>
      <c r="Q47" s="180"/>
      <c r="R47" s="180"/>
      <c r="S47" s="180"/>
    </row>
    <row r="48" spans="2:19" x14ac:dyDescent="0.35">
      <c r="B48" s="403" t="s">
        <v>60</v>
      </c>
      <c r="C48" s="616" t="s">
        <v>191</v>
      </c>
      <c r="D48" s="617" t="s">
        <v>192</v>
      </c>
      <c r="E48" s="616" t="s">
        <v>193</v>
      </c>
      <c r="F48" s="612" t="s">
        <v>194</v>
      </c>
      <c r="H48" s="305"/>
      <c r="J48" s="305"/>
      <c r="K48" s="180"/>
      <c r="L48" s="180"/>
      <c r="M48" s="180"/>
      <c r="N48" s="180"/>
      <c r="O48" s="180"/>
      <c r="P48" s="180"/>
      <c r="Q48" s="180"/>
      <c r="R48" s="180"/>
      <c r="S48" s="180"/>
    </row>
    <row r="49" spans="2:19" x14ac:dyDescent="0.35">
      <c r="B49" s="92" t="s">
        <v>195</v>
      </c>
      <c r="C49" s="425">
        <f>D44</f>
        <v>1000000</v>
      </c>
      <c r="D49" s="404">
        <f>I44</f>
        <v>967866.80185884517</v>
      </c>
      <c r="E49" s="425">
        <f>N44</f>
        <v>904122.35588907008</v>
      </c>
      <c r="F49" s="405">
        <f>S44</f>
        <v>1006232.4133855922</v>
      </c>
      <c r="I49" s="407"/>
      <c r="K49" s="180"/>
      <c r="L49" s="180"/>
      <c r="M49" s="180"/>
      <c r="N49" s="180"/>
      <c r="O49" s="180"/>
      <c r="P49" s="180"/>
      <c r="Q49" s="180"/>
      <c r="R49" s="180"/>
      <c r="S49" s="180"/>
    </row>
    <row r="50" spans="2:19" ht="18.5" x14ac:dyDescent="0.45">
      <c r="B50" s="92" t="s">
        <v>196</v>
      </c>
      <c r="C50" s="509">
        <v>0</v>
      </c>
      <c r="D50" s="613">
        <v>0</v>
      </c>
      <c r="E50" s="509">
        <v>0</v>
      </c>
      <c r="F50" s="408">
        <v>0</v>
      </c>
      <c r="I50" s="613"/>
      <c r="K50" s="180"/>
      <c r="L50" s="464"/>
      <c r="M50" s="180"/>
      <c r="N50" s="180"/>
      <c r="O50" s="180"/>
      <c r="P50" s="180"/>
      <c r="Q50" s="180"/>
      <c r="R50" s="180"/>
      <c r="S50" s="180"/>
    </row>
    <row r="51" spans="2:19" x14ac:dyDescent="0.35">
      <c r="B51" s="134" t="s">
        <v>197</v>
      </c>
      <c r="C51" s="618">
        <f>SUM(C49:C50)</f>
        <v>1000000</v>
      </c>
      <c r="D51" s="401">
        <f>SUM(D49:D50)</f>
        <v>967866.80185884517</v>
      </c>
      <c r="E51" s="618">
        <f>SUM(E49:E50)</f>
        <v>904122.35588907008</v>
      </c>
      <c r="F51" s="402">
        <f>SUM(F49:F50)</f>
        <v>1006232.4133855922</v>
      </c>
      <c r="I51" s="615"/>
      <c r="K51" s="180"/>
      <c r="L51" s="180"/>
      <c r="M51" s="180"/>
      <c r="N51" s="180"/>
      <c r="O51" s="180"/>
      <c r="P51" s="180"/>
      <c r="Q51" s="180"/>
      <c r="R51" s="180"/>
      <c r="S51" s="180"/>
    </row>
    <row r="52" spans="2:19" x14ac:dyDescent="0.35">
      <c r="B52" s="92" t="s">
        <v>198</v>
      </c>
      <c r="C52" s="509"/>
      <c r="D52" s="388">
        <f>LN(D51/C51)*4</f>
        <v>-0.13064321023595882</v>
      </c>
      <c r="E52" s="620">
        <f>LN(E51/D51)*4</f>
        <v>-0.27251910302026827</v>
      </c>
      <c r="F52" s="315">
        <f>LN(F51/E51)*4</f>
        <v>0.42801460212473519</v>
      </c>
      <c r="I52" s="410"/>
      <c r="K52" s="180"/>
      <c r="L52" s="180"/>
      <c r="M52" s="180"/>
      <c r="N52" s="180"/>
      <c r="O52" s="180"/>
      <c r="P52" s="180"/>
      <c r="Q52" s="180"/>
      <c r="R52" s="180"/>
      <c r="S52" s="180"/>
    </row>
    <row r="53" spans="2:19" x14ac:dyDescent="0.35">
      <c r="B53" s="320" t="s">
        <v>199</v>
      </c>
      <c r="C53" s="619"/>
      <c r="D53" s="411"/>
      <c r="E53" s="621">
        <f>E52-D52</f>
        <v>-0.14187589278430945</v>
      </c>
      <c r="F53" s="413">
        <f>F52-E52</f>
        <v>0.70053370514500346</v>
      </c>
      <c r="I53" s="388"/>
      <c r="K53" s="180"/>
      <c r="L53" s="180"/>
      <c r="M53" s="180"/>
      <c r="N53" s="180"/>
      <c r="O53" s="180"/>
      <c r="P53" s="180"/>
      <c r="Q53" s="180"/>
      <c r="R53" s="180"/>
      <c r="S53" s="180"/>
    </row>
  </sheetData>
  <mergeCells count="16">
    <mergeCell ref="B34:C34"/>
    <mergeCell ref="B47:F47"/>
    <mergeCell ref="B6:C6"/>
    <mergeCell ref="B19:F19"/>
    <mergeCell ref="B30:S30"/>
    <mergeCell ref="B33:C33"/>
    <mergeCell ref="D33:F33"/>
    <mergeCell ref="G33:K33"/>
    <mergeCell ref="L33:P33"/>
    <mergeCell ref="Q33:S33"/>
    <mergeCell ref="B2:L2"/>
    <mergeCell ref="B5:C5"/>
    <mergeCell ref="D5:F5"/>
    <mergeCell ref="G5:H5"/>
    <mergeCell ref="I5:J5"/>
    <mergeCell ref="K5:L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DBCC-3984-4F89-9D53-63124BF9EE43}">
  <dimension ref="B1:S172"/>
  <sheetViews>
    <sheetView showGridLines="0" zoomScale="72" workbookViewId="0">
      <selection activeCell="G23" sqref="G23"/>
    </sheetView>
  </sheetViews>
  <sheetFormatPr defaultRowHeight="14.5" x14ac:dyDescent="0.35"/>
  <cols>
    <col min="1" max="1" width="8.7265625" style="7"/>
    <col min="2" max="2" width="35.26953125" style="7" customWidth="1"/>
    <col min="3" max="3" width="14.54296875" style="7" customWidth="1"/>
    <col min="4" max="4" width="16.54296875" style="7" customWidth="1"/>
    <col min="5" max="5" width="12.453125" style="7" customWidth="1"/>
    <col min="6" max="6" width="12" style="7" customWidth="1"/>
    <col min="7" max="7" width="16.36328125" style="7" customWidth="1"/>
    <col min="8" max="8" width="12.36328125" style="7" customWidth="1"/>
    <col min="9" max="9" width="18.90625" style="7" customWidth="1"/>
    <col min="10" max="10" width="16" style="7" customWidth="1"/>
    <col min="11" max="13" width="16.90625" style="7" bestFit="1" customWidth="1"/>
    <col min="14" max="14" width="11.6328125" style="7" customWidth="1"/>
    <col min="15" max="15" width="15.453125" style="7" customWidth="1"/>
    <col min="16" max="16" width="18.08984375" style="7" customWidth="1"/>
    <col min="17" max="17" width="17.453125" style="7" customWidth="1"/>
    <col min="18" max="18" width="12.6328125" style="7" customWidth="1"/>
    <col min="19" max="19" width="14.36328125" style="7" customWidth="1"/>
    <col min="20" max="16384" width="8.7265625" style="7"/>
  </cols>
  <sheetData>
    <row r="1" spans="2:19" ht="15" thickBot="1" x14ac:dyDescent="0.4"/>
    <row r="2" spans="2:19" ht="22" thickTop="1" thickBot="1" x14ac:dyDescent="0.4">
      <c r="B2" s="756" t="s">
        <v>241</v>
      </c>
      <c r="C2" s="756"/>
      <c r="D2" s="756"/>
      <c r="E2" s="756"/>
      <c r="F2" s="756"/>
      <c r="G2" s="756"/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</row>
    <row r="3" spans="2:19" ht="15" thickTop="1" x14ac:dyDescent="0.35"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</row>
    <row r="4" spans="2:19" x14ac:dyDescent="0.35"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</row>
    <row r="5" spans="2:19" s="105" customFormat="1" x14ac:dyDescent="0.35">
      <c r="B5" s="722" t="s">
        <v>72</v>
      </c>
      <c r="C5" s="724"/>
      <c r="D5" s="722" t="s">
        <v>176</v>
      </c>
      <c r="E5" s="723"/>
      <c r="F5" s="724"/>
      <c r="G5" s="743" t="s">
        <v>79</v>
      </c>
      <c r="H5" s="742"/>
      <c r="I5" s="742"/>
      <c r="J5" s="742"/>
      <c r="K5" s="744"/>
      <c r="L5" s="743" t="s">
        <v>81</v>
      </c>
      <c r="M5" s="742"/>
      <c r="N5" s="742"/>
      <c r="O5" s="742"/>
      <c r="P5" s="744"/>
      <c r="Q5" s="753" t="s">
        <v>77</v>
      </c>
      <c r="R5" s="754"/>
      <c r="S5" s="755"/>
    </row>
    <row r="6" spans="2:19" x14ac:dyDescent="0.35">
      <c r="B6" s="745" t="s">
        <v>203</v>
      </c>
      <c r="C6" s="746"/>
      <c r="D6" s="312"/>
      <c r="E6" s="376"/>
      <c r="F6" s="319">
        <f>'100% Equity and DAA'!C5</f>
        <v>1000000</v>
      </c>
      <c r="G6" s="379"/>
      <c r="H6" s="377"/>
      <c r="I6" s="377"/>
      <c r="J6" s="377"/>
      <c r="K6" s="465">
        <f>'100% Equity Portfolio'!D38</f>
        <v>893001.52075851685</v>
      </c>
      <c r="L6" s="379"/>
      <c r="M6" s="377"/>
      <c r="N6" s="377"/>
      <c r="O6" s="377"/>
      <c r="P6" s="465">
        <f>'100% Equity Portfolio'!F42</f>
        <v>805025.56700223568</v>
      </c>
      <c r="Q6" s="379"/>
      <c r="R6" s="377"/>
      <c r="S6" s="406"/>
    </row>
    <row r="7" spans="2:19" ht="14.25" customHeight="1" x14ac:dyDescent="0.35">
      <c r="B7" s="757" t="s">
        <v>204</v>
      </c>
      <c r="C7" s="758"/>
      <c r="D7" s="312"/>
      <c r="E7" s="376"/>
      <c r="F7" s="466">
        <f>'Delta 1'!D32</f>
        <v>0.56890131101577612</v>
      </c>
      <c r="G7" s="379"/>
      <c r="H7" s="377"/>
      <c r="I7" s="377"/>
      <c r="J7" s="377"/>
      <c r="K7" s="467">
        <f>'Delta 1'!F43</f>
        <v>0.17008562844797065</v>
      </c>
      <c r="L7" s="379"/>
      <c r="M7" s="377"/>
      <c r="N7" s="377"/>
      <c r="O7" s="377"/>
      <c r="P7" s="467">
        <f>'Delta 1'!H47</f>
        <v>0</v>
      </c>
      <c r="Q7" s="379"/>
      <c r="R7" s="377"/>
      <c r="S7" s="406"/>
    </row>
    <row r="8" spans="2:19" s="468" customFormat="1" ht="33.75" customHeight="1" x14ac:dyDescent="0.35">
      <c r="B8" s="469" t="s">
        <v>181</v>
      </c>
      <c r="C8" s="383" t="s">
        <v>175</v>
      </c>
      <c r="D8" s="383" t="s">
        <v>205</v>
      </c>
      <c r="E8" s="384" t="s">
        <v>206</v>
      </c>
      <c r="F8" s="385" t="s">
        <v>207</v>
      </c>
      <c r="G8" s="383" t="s">
        <v>208</v>
      </c>
      <c r="H8" s="384" t="s">
        <v>206</v>
      </c>
      <c r="I8" s="382" t="s">
        <v>195</v>
      </c>
      <c r="J8" s="384" t="s">
        <v>205</v>
      </c>
      <c r="K8" s="385" t="s">
        <v>209</v>
      </c>
      <c r="L8" s="383" t="s">
        <v>208</v>
      </c>
      <c r="M8" s="384" t="s">
        <v>206</v>
      </c>
      <c r="N8" s="382" t="s">
        <v>195</v>
      </c>
      <c r="O8" s="384" t="s">
        <v>205</v>
      </c>
      <c r="P8" s="384" t="s">
        <v>209</v>
      </c>
      <c r="Q8" s="383" t="s">
        <v>208</v>
      </c>
      <c r="R8" s="384" t="s">
        <v>206</v>
      </c>
      <c r="S8" s="384" t="s">
        <v>195</v>
      </c>
    </row>
    <row r="9" spans="2:19" ht="14.25" customHeight="1" x14ac:dyDescent="0.35">
      <c r="B9" s="387" t="str">
        <f>'100% Equity Investments'!B8</f>
        <v>UCB</v>
      </c>
      <c r="C9" s="388">
        <f>1/8</f>
        <v>0.125</v>
      </c>
      <c r="D9" s="389">
        <f>$F$6*$F$7*C9</f>
        <v>71112.663876972016</v>
      </c>
      <c r="E9" s="390">
        <f>'100% Equity and DAA'!D11</f>
        <v>9.1999999999999993</v>
      </c>
      <c r="F9" s="391">
        <f>D9/E9</f>
        <v>7729.6373779317419</v>
      </c>
      <c r="G9" s="424">
        <f t="shared" ref="G9:G16" si="0">F9</f>
        <v>7729.6373779317419</v>
      </c>
      <c r="H9" s="392">
        <f>'100% Equity and DAA'!C23</f>
        <v>11</v>
      </c>
      <c r="I9" s="378">
        <f>H9*G9</f>
        <v>85026.011157249159</v>
      </c>
      <c r="J9" s="425">
        <f t="shared" ref="J9:J16" si="1">$K$6*$K$7*C9</f>
        <v>18985.840607900729</v>
      </c>
      <c r="K9" s="380">
        <f>J9/H9</f>
        <v>1725.9855098091573</v>
      </c>
      <c r="L9" s="424">
        <f>K9</f>
        <v>1725.9855098091573</v>
      </c>
      <c r="M9" s="392">
        <f>'100% Equity and DAA'!E23</f>
        <v>9.9</v>
      </c>
      <c r="N9" s="378">
        <f>L9*M9</f>
        <v>17087.256547110657</v>
      </c>
      <c r="O9" s="470">
        <f>$P$6*$P$7*C9</f>
        <v>0</v>
      </c>
      <c r="P9" s="471">
        <f>O9/M9</f>
        <v>0</v>
      </c>
      <c r="Q9" s="472">
        <f>P9</f>
        <v>0</v>
      </c>
      <c r="R9" s="392">
        <f>'100% Equity and DAA'!G23</f>
        <v>10.6</v>
      </c>
      <c r="S9" s="473">
        <f>Q9*R9</f>
        <v>0</v>
      </c>
    </row>
    <row r="10" spans="2:19" ht="14.25" customHeight="1" x14ac:dyDescent="0.35">
      <c r="B10" s="393" t="str">
        <f>'100% Equity Investments'!B9</f>
        <v>IDLC</v>
      </c>
      <c r="C10" s="388">
        <f t="shared" ref="C10:C16" si="2">1/8</f>
        <v>0.125</v>
      </c>
      <c r="D10" s="389">
        <f t="shared" ref="D10:D16" si="3">$F$6*$F$7*C10</f>
        <v>71112.663876972016</v>
      </c>
      <c r="E10" s="390">
        <f>'100% Equity and DAA'!D12</f>
        <v>32.700000000000003</v>
      </c>
      <c r="F10" s="391">
        <f t="shared" ref="F10:F16" si="4">D10/E10</f>
        <v>2174.6992011306425</v>
      </c>
      <c r="G10" s="424">
        <f t="shared" si="0"/>
        <v>2174.6992011306425</v>
      </c>
      <c r="H10" s="392">
        <f>'100% Equity and DAA'!C24</f>
        <v>31.4</v>
      </c>
      <c r="I10" s="378">
        <f t="shared" ref="I10:I16" si="5">H10*G10</f>
        <v>68285.554915502173</v>
      </c>
      <c r="J10" s="425">
        <f t="shared" si="1"/>
        <v>18985.840607900729</v>
      </c>
      <c r="K10" s="380">
        <f t="shared" ref="K10:K16" si="6">J10/H10</f>
        <v>604.64460534715704</v>
      </c>
      <c r="L10" s="424">
        <f t="shared" ref="L10:L16" si="7">K10</f>
        <v>604.64460534715704</v>
      </c>
      <c r="M10" s="392">
        <f>'100% Equity and DAA'!E24</f>
        <v>29</v>
      </c>
      <c r="N10" s="378">
        <f t="shared" ref="N10:N16" si="8">L10*M10</f>
        <v>17534.693555067555</v>
      </c>
      <c r="O10" s="470">
        <f t="shared" ref="O10:O16" si="9">$P$6*$P$7*C10</f>
        <v>0</v>
      </c>
      <c r="P10" s="471">
        <f t="shared" ref="P10:P16" si="10">O10/M10</f>
        <v>0</v>
      </c>
      <c r="Q10" s="472">
        <f t="shared" ref="Q10:Q16" si="11">P10</f>
        <v>0</v>
      </c>
      <c r="R10" s="392">
        <f>'100% Equity and DAA'!G24</f>
        <v>41.2</v>
      </c>
      <c r="S10" s="474">
        <f t="shared" ref="S10:S16" si="12">Q10*R10</f>
        <v>0</v>
      </c>
    </row>
    <row r="11" spans="2:19" ht="14.25" customHeight="1" x14ac:dyDescent="0.35">
      <c r="B11" s="393" t="str">
        <f>'100% Equity Investments'!B10</f>
        <v>GP</v>
      </c>
      <c r="C11" s="388">
        <f t="shared" si="2"/>
        <v>0.125</v>
      </c>
      <c r="D11" s="389">
        <f t="shared" si="3"/>
        <v>71112.663876972016</v>
      </c>
      <c r="E11" s="390">
        <f>'100% Equity and DAA'!D13</f>
        <v>323.10000000000002</v>
      </c>
      <c r="F11" s="391">
        <f t="shared" si="4"/>
        <v>220.09490522120709</v>
      </c>
      <c r="G11" s="424">
        <f t="shared" si="0"/>
        <v>220.09490522120709</v>
      </c>
      <c r="H11" s="392">
        <f>'100% Equity and DAA'!C25</f>
        <v>321.89999999999998</v>
      </c>
      <c r="I11" s="378">
        <f t="shared" si="5"/>
        <v>70848.549990706553</v>
      </c>
      <c r="J11" s="425">
        <f t="shared" si="1"/>
        <v>18985.840607900729</v>
      </c>
      <c r="K11" s="380">
        <f t="shared" si="6"/>
        <v>58.980554855236811</v>
      </c>
      <c r="L11" s="424">
        <f t="shared" si="7"/>
        <v>58.980554855236811</v>
      </c>
      <c r="M11" s="392">
        <f>'100% Equity and DAA'!E25</f>
        <v>303.10000000000002</v>
      </c>
      <c r="N11" s="378">
        <f t="shared" si="8"/>
        <v>17877.006176622279</v>
      </c>
      <c r="O11" s="470">
        <f t="shared" si="9"/>
        <v>0</v>
      </c>
      <c r="P11" s="471">
        <f t="shared" si="10"/>
        <v>0</v>
      </c>
      <c r="Q11" s="472">
        <f t="shared" si="11"/>
        <v>0</v>
      </c>
      <c r="R11" s="392">
        <f>'100% Equity and DAA'!G25</f>
        <v>299</v>
      </c>
      <c r="S11" s="474">
        <f t="shared" si="12"/>
        <v>0</v>
      </c>
    </row>
    <row r="12" spans="2:19" ht="14.25" customHeight="1" x14ac:dyDescent="0.35">
      <c r="B12" s="393" t="str">
        <f>'100% Equity Investments'!B11</f>
        <v>BATASHOE</v>
      </c>
      <c r="C12" s="388">
        <f t="shared" si="2"/>
        <v>0.125</v>
      </c>
      <c r="D12" s="389">
        <f t="shared" si="3"/>
        <v>71112.663876972016</v>
      </c>
      <c r="E12" s="390">
        <f>'100% Equity and DAA'!D14</f>
        <v>905.4</v>
      </c>
      <c r="F12" s="391">
        <f t="shared" si="4"/>
        <v>78.542814089874113</v>
      </c>
      <c r="G12" s="424">
        <f t="shared" si="0"/>
        <v>78.542814089874113</v>
      </c>
      <c r="H12" s="392">
        <f>'100% Equity and DAA'!C26</f>
        <v>834.7</v>
      </c>
      <c r="I12" s="378">
        <f t="shared" si="5"/>
        <v>65559.686920817927</v>
      </c>
      <c r="J12" s="425">
        <f t="shared" si="1"/>
        <v>18985.840607900729</v>
      </c>
      <c r="K12" s="380">
        <f t="shared" si="6"/>
        <v>22.74570577201477</v>
      </c>
      <c r="L12" s="424">
        <f t="shared" si="7"/>
        <v>22.74570577201477</v>
      </c>
      <c r="M12" s="392">
        <f>'100% Equity and DAA'!E26</f>
        <v>802.7</v>
      </c>
      <c r="N12" s="378">
        <f t="shared" si="8"/>
        <v>18257.978023196258</v>
      </c>
      <c r="O12" s="470">
        <f t="shared" si="9"/>
        <v>0</v>
      </c>
      <c r="P12" s="471">
        <f t="shared" si="10"/>
        <v>0</v>
      </c>
      <c r="Q12" s="472">
        <f t="shared" si="11"/>
        <v>0</v>
      </c>
      <c r="R12" s="392">
        <f>'100% Equity and DAA'!G26</f>
        <v>877.7</v>
      </c>
      <c r="S12" s="474">
        <f t="shared" si="12"/>
        <v>0</v>
      </c>
    </row>
    <row r="13" spans="2:19" ht="14.25" customHeight="1" x14ac:dyDescent="0.35">
      <c r="B13" s="393" t="str">
        <f>'100% Equity Investments'!B12</f>
        <v>RENATA</v>
      </c>
      <c r="C13" s="388">
        <f t="shared" si="2"/>
        <v>0.125</v>
      </c>
      <c r="D13" s="389">
        <f t="shared" si="3"/>
        <v>71112.663876972016</v>
      </c>
      <c r="E13" s="390">
        <f>'100% Equity and DAA'!D15</f>
        <v>635.1</v>
      </c>
      <c r="F13" s="391">
        <f t="shared" si="4"/>
        <v>111.97081385131793</v>
      </c>
      <c r="G13" s="424">
        <f t="shared" si="0"/>
        <v>111.97081385131793</v>
      </c>
      <c r="H13" s="392">
        <f>'100% Equity and DAA'!C27</f>
        <v>500.5</v>
      </c>
      <c r="I13" s="378">
        <f t="shared" si="5"/>
        <v>56041.392332584626</v>
      </c>
      <c r="J13" s="425">
        <f t="shared" si="1"/>
        <v>18985.840607900729</v>
      </c>
      <c r="K13" s="380">
        <f t="shared" si="6"/>
        <v>37.933747468333124</v>
      </c>
      <c r="L13" s="424">
        <f t="shared" si="7"/>
        <v>37.933747468333124</v>
      </c>
      <c r="M13" s="392">
        <f>'100% Equity and DAA'!E27</f>
        <v>488.4</v>
      </c>
      <c r="N13" s="378">
        <f t="shared" si="8"/>
        <v>18526.842263533897</v>
      </c>
      <c r="O13" s="470">
        <f t="shared" si="9"/>
        <v>0</v>
      </c>
      <c r="P13" s="471">
        <f t="shared" si="10"/>
        <v>0</v>
      </c>
      <c r="Q13" s="472">
        <f t="shared" si="11"/>
        <v>0</v>
      </c>
      <c r="R13" s="392">
        <f>'100% Equity and DAA'!G27</f>
        <v>480.4</v>
      </c>
      <c r="S13" s="474">
        <f t="shared" si="12"/>
        <v>0</v>
      </c>
    </row>
    <row r="14" spans="2:19" ht="14.25" customHeight="1" x14ac:dyDescent="0.35">
      <c r="B14" s="393" t="str">
        <f>'100% Equity Investments'!B13</f>
        <v>WALTONHIL</v>
      </c>
      <c r="C14" s="388">
        <f t="shared" si="2"/>
        <v>0.125</v>
      </c>
      <c r="D14" s="389">
        <f t="shared" si="3"/>
        <v>71112.663876972016</v>
      </c>
      <c r="E14" s="390">
        <f>'100% Equity and DAA'!D16</f>
        <v>487.5</v>
      </c>
      <c r="F14" s="391">
        <f t="shared" si="4"/>
        <v>145.87213102968619</v>
      </c>
      <c r="G14" s="424">
        <f t="shared" si="0"/>
        <v>145.87213102968619</v>
      </c>
      <c r="H14" s="392">
        <f>'100% Equity and DAA'!C28</f>
        <v>462.7</v>
      </c>
      <c r="I14" s="378">
        <f t="shared" si="5"/>
        <v>67495.035027435792</v>
      </c>
      <c r="J14" s="425">
        <f t="shared" si="1"/>
        <v>18985.840607900729</v>
      </c>
      <c r="K14" s="380">
        <f t="shared" si="6"/>
        <v>41.032722299331596</v>
      </c>
      <c r="L14" s="424">
        <f t="shared" si="7"/>
        <v>41.032722299331596</v>
      </c>
      <c r="M14" s="392">
        <f>'100% Equity and DAA'!E28</f>
        <v>406.3</v>
      </c>
      <c r="N14" s="378">
        <f t="shared" si="8"/>
        <v>16671.595070218427</v>
      </c>
      <c r="O14" s="470">
        <f t="shared" si="9"/>
        <v>0</v>
      </c>
      <c r="P14" s="471">
        <f t="shared" si="10"/>
        <v>0</v>
      </c>
      <c r="Q14" s="472">
        <f t="shared" si="11"/>
        <v>0</v>
      </c>
      <c r="R14" s="392">
        <f>'100% Equity and DAA'!G28</f>
        <v>419.9</v>
      </c>
      <c r="S14" s="474">
        <f t="shared" si="12"/>
        <v>0</v>
      </c>
    </row>
    <row r="15" spans="2:19" ht="18" customHeight="1" x14ac:dyDescent="0.35">
      <c r="B15" s="393" t="str">
        <f>'100% Equity Investments'!B14</f>
        <v>RAKC</v>
      </c>
      <c r="C15" s="388">
        <f t="shared" si="2"/>
        <v>0.125</v>
      </c>
      <c r="D15" s="389">
        <f t="shared" si="3"/>
        <v>71112.663876972016</v>
      </c>
      <c r="E15" s="390">
        <f>'100% Equity and DAA'!D17</f>
        <v>22.6</v>
      </c>
      <c r="F15" s="391">
        <f t="shared" si="4"/>
        <v>3146.5780476536288</v>
      </c>
      <c r="G15" s="424">
        <f t="shared" si="0"/>
        <v>3146.5780476536288</v>
      </c>
      <c r="H15" s="392">
        <f>'100% Equity and DAA'!C29</f>
        <v>22.6</v>
      </c>
      <c r="I15" s="378">
        <f t="shared" si="5"/>
        <v>71112.663876972016</v>
      </c>
      <c r="J15" s="425">
        <f t="shared" si="1"/>
        <v>18985.840607900729</v>
      </c>
      <c r="K15" s="380">
        <f t="shared" si="6"/>
        <v>840.08144282746582</v>
      </c>
      <c r="L15" s="424">
        <f t="shared" si="7"/>
        <v>840.08144282746582</v>
      </c>
      <c r="M15" s="392">
        <f>'100% Equity and DAA'!E29</f>
        <v>19.2</v>
      </c>
      <c r="N15" s="378">
        <f t="shared" si="8"/>
        <v>16129.563702287343</v>
      </c>
      <c r="O15" s="470">
        <f t="shared" si="9"/>
        <v>0</v>
      </c>
      <c r="P15" s="471">
        <f t="shared" si="10"/>
        <v>0</v>
      </c>
      <c r="Q15" s="472">
        <f t="shared" si="11"/>
        <v>0</v>
      </c>
      <c r="R15" s="392">
        <f>'100% Equity and DAA'!G29</f>
        <v>25.1</v>
      </c>
      <c r="S15" s="474">
        <f t="shared" si="12"/>
        <v>0</v>
      </c>
    </row>
    <row r="16" spans="2:19" ht="18" customHeight="1" x14ac:dyDescent="0.35">
      <c r="B16" s="394" t="str">
        <f>'100% Equity Investments'!B15</f>
        <v>OLYMPIC</v>
      </c>
      <c r="C16" s="388">
        <f t="shared" si="2"/>
        <v>0.125</v>
      </c>
      <c r="D16" s="389">
        <f t="shared" si="3"/>
        <v>71112.663876972016</v>
      </c>
      <c r="E16" s="390">
        <f>'100% Equity and DAA'!D18</f>
        <v>158</v>
      </c>
      <c r="F16" s="391">
        <f t="shared" si="4"/>
        <v>450.08015112007604</v>
      </c>
      <c r="G16" s="424">
        <f t="shared" si="0"/>
        <v>450.08015112007604</v>
      </c>
      <c r="H16" s="392">
        <f>'100% Equity and DAA'!C30</f>
        <v>147.19999999999999</v>
      </c>
      <c r="I16" s="378">
        <f t="shared" si="5"/>
        <v>66251.798244875186</v>
      </c>
      <c r="J16" s="425">
        <f t="shared" si="1"/>
        <v>18985.840607900729</v>
      </c>
      <c r="K16" s="380">
        <f t="shared" si="6"/>
        <v>128.97989543410822</v>
      </c>
      <c r="L16" s="424">
        <f t="shared" si="7"/>
        <v>128.97989543410822</v>
      </c>
      <c r="M16" s="392">
        <f>'100% Equity and DAA'!E30</f>
        <v>153.5</v>
      </c>
      <c r="N16" s="378">
        <f t="shared" si="8"/>
        <v>19798.413949135611</v>
      </c>
      <c r="O16" s="470">
        <f t="shared" si="9"/>
        <v>0</v>
      </c>
      <c r="P16" s="471">
        <f t="shared" si="10"/>
        <v>0</v>
      </c>
      <c r="Q16" s="472">
        <f t="shared" si="11"/>
        <v>0</v>
      </c>
      <c r="R16" s="392">
        <f>'100% Equity and DAA'!G30</f>
        <v>154.69999999999999</v>
      </c>
      <c r="S16" s="474">
        <f t="shared" si="12"/>
        <v>0</v>
      </c>
    </row>
    <row r="17" spans="2:19" s="105" customFormat="1" x14ac:dyDescent="0.35">
      <c r="B17" s="475" t="s">
        <v>210</v>
      </c>
      <c r="C17" s="428"/>
      <c r="D17" s="397">
        <f>SUM(D9:D16)</f>
        <v>568901.31101577624</v>
      </c>
      <c r="E17" s="398"/>
      <c r="F17" s="399"/>
      <c r="G17" s="429"/>
      <c r="H17" s="400"/>
      <c r="I17" s="401">
        <f>SUM(I9:I16)</f>
        <v>550620.6924661434</v>
      </c>
      <c r="J17" s="430">
        <f>SUM(J9:J16)</f>
        <v>151886.72486320583</v>
      </c>
      <c r="K17" s="431"/>
      <c r="L17" s="429"/>
      <c r="M17" s="400"/>
      <c r="N17" s="401">
        <f>SUM(N9:N16)</f>
        <v>141883.34928717202</v>
      </c>
      <c r="O17" s="476">
        <f>SUM(O9:O16)</f>
        <v>0</v>
      </c>
      <c r="P17" s="477"/>
      <c r="Q17" s="478"/>
      <c r="R17" s="400"/>
      <c r="S17" s="479">
        <f>SUM(S9:S16)</f>
        <v>0</v>
      </c>
    </row>
    <row r="18" spans="2:19" x14ac:dyDescent="0.35">
      <c r="B18" s="304"/>
      <c r="C18" s="304"/>
      <c r="D18" s="304"/>
      <c r="E18" s="304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</row>
    <row r="19" spans="2:19" x14ac:dyDescent="0.35">
      <c r="B19" s="304"/>
      <c r="C19" s="304"/>
      <c r="D19" s="304"/>
      <c r="E19" s="304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</row>
    <row r="20" spans="2:19" ht="18.5" x14ac:dyDescent="0.35">
      <c r="B20" s="325" t="s">
        <v>60</v>
      </c>
      <c r="C20" s="326" t="s">
        <v>79</v>
      </c>
      <c r="D20" s="325" t="s">
        <v>81</v>
      </c>
      <c r="E20" s="327" t="s">
        <v>77</v>
      </c>
      <c r="F20" s="180"/>
      <c r="G20" s="180"/>
      <c r="H20" s="713" t="s">
        <v>211</v>
      </c>
      <c r="I20" s="714"/>
      <c r="J20" s="714"/>
      <c r="K20" s="714"/>
      <c r="L20" s="714"/>
      <c r="M20" s="714"/>
      <c r="N20" s="715"/>
      <c r="O20" s="180"/>
      <c r="P20" s="180"/>
      <c r="Q20" s="180"/>
      <c r="R20" s="180"/>
      <c r="S20" s="180"/>
    </row>
    <row r="21" spans="2:19" ht="15.5" x14ac:dyDescent="0.35">
      <c r="B21" s="172" t="s">
        <v>212</v>
      </c>
      <c r="C21" s="407">
        <f>F6</f>
        <v>1000000</v>
      </c>
      <c r="D21" s="480">
        <f>K6</f>
        <v>893001.52075851685</v>
      </c>
      <c r="E21" s="391">
        <f>P6</f>
        <v>805025.56700223568</v>
      </c>
      <c r="F21" s="180"/>
      <c r="G21" s="180"/>
      <c r="H21" s="481" t="s">
        <v>72</v>
      </c>
      <c r="I21" s="759" t="s">
        <v>79</v>
      </c>
      <c r="J21" s="759"/>
      <c r="K21" s="759" t="s">
        <v>81</v>
      </c>
      <c r="L21" s="759"/>
      <c r="M21" s="759" t="s">
        <v>77</v>
      </c>
      <c r="N21" s="760"/>
      <c r="O21" s="180"/>
      <c r="P21" s="180"/>
      <c r="Q21" s="180"/>
      <c r="R21" s="180"/>
      <c r="S21" s="180"/>
    </row>
    <row r="22" spans="2:19" ht="15.5" x14ac:dyDescent="0.35">
      <c r="B22" s="172" t="s">
        <v>204</v>
      </c>
      <c r="C22" s="482">
        <f>F7</f>
        <v>0.56890131101577612</v>
      </c>
      <c r="D22" s="483">
        <f>K7</f>
        <v>0.17008562844797065</v>
      </c>
      <c r="E22" s="466">
        <f>P7</f>
        <v>0</v>
      </c>
      <c r="F22" s="180"/>
      <c r="G22" s="180"/>
      <c r="H22" s="484"/>
      <c r="I22" s="485"/>
      <c r="J22" s="485"/>
      <c r="K22" s="485"/>
      <c r="L22" s="485"/>
      <c r="M22" s="485"/>
      <c r="N22" s="486"/>
      <c r="O22" s="180"/>
      <c r="P22" s="180"/>
      <c r="Q22" s="180"/>
      <c r="R22" s="180"/>
      <c r="S22" s="180"/>
    </row>
    <row r="23" spans="2:19" ht="15.5" x14ac:dyDescent="0.35">
      <c r="B23" s="172" t="s">
        <v>213</v>
      </c>
      <c r="C23" s="407">
        <f>D17</f>
        <v>568901.31101577624</v>
      </c>
      <c r="D23" s="480">
        <f>J17</f>
        <v>151886.72486320583</v>
      </c>
      <c r="E23" s="408">
        <f>O17</f>
        <v>0</v>
      </c>
      <c r="F23" s="180"/>
      <c r="G23" s="180"/>
      <c r="H23" s="484"/>
      <c r="I23" s="485"/>
      <c r="J23" s="485"/>
      <c r="K23" s="485"/>
      <c r="L23" s="485"/>
      <c r="M23" s="485"/>
      <c r="N23" s="487">
        <f>'Insured Portfolio'!I6</f>
        <v>1383616.9829924889</v>
      </c>
      <c r="O23" s="180"/>
      <c r="P23" s="180"/>
      <c r="Q23" s="180"/>
      <c r="R23" s="180"/>
      <c r="S23" s="180"/>
    </row>
    <row r="24" spans="2:19" ht="15.5" x14ac:dyDescent="0.35">
      <c r="B24" s="172" t="s">
        <v>214</v>
      </c>
      <c r="C24" s="407">
        <f>I17</f>
        <v>550620.6924661434</v>
      </c>
      <c r="D24" s="480">
        <f>N17</f>
        <v>141883.34928717202</v>
      </c>
      <c r="E24" s="408">
        <f>S17</f>
        <v>0</v>
      </c>
      <c r="F24" s="180"/>
      <c r="G24" s="180"/>
      <c r="H24" s="484"/>
      <c r="I24" s="485"/>
      <c r="J24" s="485"/>
      <c r="K24" s="485"/>
      <c r="L24" s="485"/>
      <c r="M24" s="485"/>
      <c r="N24" s="488"/>
      <c r="O24" s="180"/>
      <c r="P24" s="180"/>
      <c r="Q24" s="180"/>
      <c r="R24" s="180"/>
      <c r="S24" s="180"/>
    </row>
    <row r="25" spans="2:19" ht="15.5" x14ac:dyDescent="0.35">
      <c r="B25" s="489" t="s">
        <v>215</v>
      </c>
      <c r="C25" s="490" t="s">
        <v>216</v>
      </c>
      <c r="D25" s="491" t="s">
        <v>216</v>
      </c>
      <c r="E25" s="492" t="s">
        <v>216</v>
      </c>
      <c r="F25" s="180"/>
      <c r="G25" s="180"/>
      <c r="H25" s="484"/>
      <c r="I25" s="485"/>
      <c r="J25" s="485"/>
      <c r="K25" s="485"/>
      <c r="L25" s="487">
        <f>'Insured Portfolio'!G8</f>
        <v>1242196.5723695119</v>
      </c>
      <c r="M25" s="485"/>
      <c r="N25" s="486"/>
      <c r="O25" s="180"/>
      <c r="P25" s="180"/>
      <c r="Q25" s="180"/>
      <c r="R25" s="180"/>
      <c r="S25" s="180"/>
    </row>
    <row r="26" spans="2:19" ht="15.5" x14ac:dyDescent="0.35">
      <c r="B26" s="180"/>
      <c r="C26" s="180"/>
      <c r="D26" s="180"/>
      <c r="E26" s="180"/>
      <c r="F26" s="180"/>
      <c r="G26" s="180"/>
      <c r="H26" s="484"/>
      <c r="I26" s="485"/>
      <c r="J26" s="485"/>
      <c r="K26" s="485"/>
      <c r="L26" s="485"/>
      <c r="M26" s="485"/>
      <c r="N26" s="486"/>
      <c r="O26" s="180"/>
      <c r="P26" s="180"/>
      <c r="Q26" s="180"/>
      <c r="R26" s="180"/>
      <c r="S26" s="180"/>
    </row>
    <row r="27" spans="2:19" ht="15.5" x14ac:dyDescent="0.35">
      <c r="B27" s="180"/>
      <c r="C27" s="180"/>
      <c r="D27" s="180"/>
      <c r="E27" s="180"/>
      <c r="F27" s="180"/>
      <c r="G27" s="180"/>
      <c r="H27" s="484"/>
      <c r="I27" s="485"/>
      <c r="J27" s="485"/>
      <c r="K27" s="485"/>
      <c r="L27" s="485"/>
      <c r="M27" s="485"/>
      <c r="N27" s="487">
        <f>'Insured Portfolio'!I10</f>
        <v>1115230.8358265797</v>
      </c>
      <c r="O27" s="180"/>
      <c r="P27" s="180"/>
      <c r="Q27" s="180"/>
      <c r="R27" s="180"/>
      <c r="S27" s="180"/>
    </row>
    <row r="28" spans="2:19" ht="15.5" x14ac:dyDescent="0.35">
      <c r="B28" s="180"/>
      <c r="C28" s="180"/>
      <c r="D28" s="180"/>
      <c r="E28" s="180"/>
      <c r="F28" s="180"/>
      <c r="G28" s="180"/>
      <c r="H28" s="484"/>
      <c r="I28" s="485"/>
      <c r="J28" s="485"/>
      <c r="K28" s="485"/>
      <c r="L28" s="485"/>
      <c r="M28" s="485"/>
      <c r="N28" s="488"/>
      <c r="O28" s="180"/>
      <c r="P28" s="180"/>
      <c r="Q28" s="180"/>
      <c r="R28" s="180"/>
      <c r="S28" s="180"/>
    </row>
    <row r="29" spans="2:19" ht="15.5" x14ac:dyDescent="0.35">
      <c r="B29" s="180"/>
      <c r="C29" s="180"/>
      <c r="D29" s="180"/>
      <c r="E29" s="180"/>
      <c r="F29" s="180"/>
      <c r="G29" s="180"/>
      <c r="H29" s="484"/>
      <c r="I29" s="485"/>
      <c r="J29" s="487">
        <f>'Insured Portfolio'!E12</f>
        <v>1140875.8472035853</v>
      </c>
      <c r="K29" s="485"/>
      <c r="L29" s="485"/>
      <c r="M29" s="485"/>
      <c r="N29" s="486"/>
      <c r="O29" s="180"/>
      <c r="P29" s="180"/>
      <c r="Q29" s="180"/>
      <c r="R29" s="180"/>
      <c r="S29" s="180"/>
    </row>
    <row r="30" spans="2:19" ht="15.5" x14ac:dyDescent="0.35">
      <c r="B30" s="180"/>
      <c r="C30" s="180"/>
      <c r="D30" s="180"/>
      <c r="E30" s="180"/>
      <c r="F30" s="180"/>
      <c r="G30" s="180"/>
      <c r="H30" s="484"/>
      <c r="I30" s="485"/>
      <c r="J30" s="485"/>
      <c r="K30" s="485"/>
      <c r="L30" s="485"/>
      <c r="M30" s="485"/>
      <c r="N30" s="486"/>
      <c r="O30" s="180"/>
      <c r="P30" s="180"/>
      <c r="Q30" s="180"/>
      <c r="R30" s="180"/>
      <c r="S30" s="180"/>
    </row>
    <row r="31" spans="2:19" ht="15.5" x14ac:dyDescent="0.35">
      <c r="B31" s="180"/>
      <c r="C31" s="180"/>
      <c r="D31" s="180"/>
      <c r="E31" s="180"/>
      <c r="F31" s="180"/>
      <c r="G31" s="180"/>
      <c r="H31" s="484"/>
      <c r="I31" s="485"/>
      <c r="J31" s="485"/>
      <c r="K31" s="485"/>
      <c r="L31" s="485"/>
      <c r="M31" s="485"/>
      <c r="N31" s="487">
        <f>'Insured Portfolio'!I14</f>
        <v>1124425.8829490214</v>
      </c>
      <c r="O31" s="180"/>
      <c r="P31" s="180"/>
      <c r="Q31" s="180"/>
      <c r="R31" s="180"/>
      <c r="S31" s="180"/>
    </row>
    <row r="32" spans="2:19" ht="15.5" x14ac:dyDescent="0.35">
      <c r="B32" s="180"/>
      <c r="C32" s="180"/>
      <c r="D32" s="180"/>
      <c r="E32" s="180"/>
      <c r="F32" s="180"/>
      <c r="G32" s="180"/>
      <c r="H32" s="484"/>
      <c r="I32" s="485"/>
      <c r="J32" s="485"/>
      <c r="K32" s="485"/>
      <c r="L32" s="485"/>
      <c r="M32" s="485"/>
      <c r="N32" s="488"/>
      <c r="O32" s="180"/>
      <c r="P32" s="180"/>
      <c r="Q32" s="180"/>
      <c r="R32" s="180"/>
      <c r="S32" s="180"/>
    </row>
    <row r="33" spans="2:19" ht="15.5" x14ac:dyDescent="0.35">
      <c r="B33" s="180"/>
      <c r="C33" s="180"/>
      <c r="D33" s="180"/>
      <c r="E33" s="180"/>
      <c r="F33" s="180"/>
      <c r="G33" s="180"/>
      <c r="H33" s="484"/>
      <c r="I33" s="485"/>
      <c r="J33" s="485"/>
      <c r="K33" s="485"/>
      <c r="L33" s="487">
        <f>'Insured Portfolio'!G16</f>
        <v>1064113.6185076954</v>
      </c>
      <c r="M33" s="485"/>
      <c r="N33" s="486"/>
      <c r="O33" s="180"/>
      <c r="P33" s="180"/>
      <c r="Q33" s="180"/>
      <c r="R33" s="180"/>
      <c r="S33" s="180"/>
    </row>
    <row r="34" spans="2:19" ht="15.5" x14ac:dyDescent="0.35">
      <c r="B34" s="180"/>
      <c r="C34" s="180"/>
      <c r="D34" s="180"/>
      <c r="E34" s="180"/>
      <c r="F34" s="180"/>
      <c r="G34" s="180"/>
      <c r="H34" s="484"/>
      <c r="I34" s="485"/>
      <c r="J34" s="485"/>
      <c r="K34" s="485"/>
      <c r="L34" s="485"/>
      <c r="M34" s="485"/>
      <c r="N34" s="486"/>
      <c r="O34" s="180"/>
      <c r="P34" s="180"/>
      <c r="Q34" s="180"/>
      <c r="R34" s="180"/>
      <c r="S34" s="180"/>
    </row>
    <row r="35" spans="2:19" ht="15.5" x14ac:dyDescent="0.35">
      <c r="B35" s="180"/>
      <c r="C35" s="180"/>
      <c r="D35" s="180"/>
      <c r="E35" s="180"/>
      <c r="F35" s="180"/>
      <c r="G35" s="180"/>
      <c r="H35" s="484"/>
      <c r="I35" s="485"/>
      <c r="J35" s="485"/>
      <c r="K35" s="485"/>
      <c r="L35" s="485"/>
      <c r="M35" s="485"/>
      <c r="N35" s="487">
        <f>'Insured Portfolio'!I18</f>
        <v>1050000</v>
      </c>
      <c r="O35" s="180"/>
      <c r="P35" s="180"/>
      <c r="Q35" s="180"/>
      <c r="R35" s="180"/>
      <c r="S35" s="180"/>
    </row>
    <row r="36" spans="2:19" ht="15.5" x14ac:dyDescent="0.35">
      <c r="B36" s="180"/>
      <c r="C36" s="180"/>
      <c r="D36" s="180"/>
      <c r="E36" s="180"/>
      <c r="F36" s="180"/>
      <c r="G36" s="180"/>
      <c r="H36" s="484"/>
      <c r="I36" s="485"/>
      <c r="J36" s="485"/>
      <c r="K36" s="485"/>
      <c r="L36" s="485"/>
      <c r="M36" s="485"/>
      <c r="N36" s="488"/>
      <c r="O36" s="180"/>
      <c r="P36" s="180"/>
      <c r="Q36" s="180"/>
      <c r="R36" s="180"/>
      <c r="S36" s="180"/>
    </row>
    <row r="37" spans="2:19" ht="15.5" x14ac:dyDescent="0.35">
      <c r="B37" s="180"/>
      <c r="C37" s="180"/>
      <c r="D37" s="180"/>
      <c r="E37" s="180"/>
      <c r="F37" s="180"/>
      <c r="G37" s="180"/>
      <c r="H37" s="487">
        <f>'Insured Portfolio'!C19</f>
        <v>1058463.5957920665</v>
      </c>
      <c r="I37" s="485"/>
      <c r="J37" s="485"/>
      <c r="K37" s="485"/>
      <c r="L37" s="485"/>
      <c r="M37" s="485"/>
      <c r="N37" s="486"/>
      <c r="O37" s="180"/>
      <c r="P37" s="180"/>
      <c r="Q37" s="180"/>
      <c r="R37" s="180"/>
      <c r="S37" s="180"/>
    </row>
    <row r="38" spans="2:19" ht="15.5" x14ac:dyDescent="0.35">
      <c r="B38" s="180"/>
      <c r="C38" s="180"/>
      <c r="D38" s="180"/>
      <c r="E38" s="180"/>
      <c r="F38" s="180"/>
      <c r="G38" s="180"/>
      <c r="H38" s="484"/>
      <c r="I38" s="485"/>
      <c r="J38" s="485"/>
      <c r="K38" s="485"/>
      <c r="L38" s="485"/>
      <c r="M38" s="485"/>
      <c r="N38" s="486"/>
      <c r="O38" s="180"/>
      <c r="P38" s="180"/>
      <c r="Q38" s="180"/>
      <c r="R38" s="180"/>
      <c r="S38" s="180"/>
    </row>
    <row r="39" spans="2:19" ht="15.5" x14ac:dyDescent="0.35">
      <c r="B39" s="180"/>
      <c r="C39" s="180"/>
      <c r="D39" s="180"/>
      <c r="E39" s="180"/>
      <c r="F39" s="180"/>
      <c r="G39" s="180"/>
      <c r="H39" s="484"/>
      <c r="I39" s="485"/>
      <c r="J39" s="485"/>
      <c r="K39" s="485"/>
      <c r="L39" s="485"/>
      <c r="M39" s="485"/>
      <c r="N39" s="487">
        <f>'Insured Portfolio'!I22</f>
        <v>1103367.7374806746</v>
      </c>
      <c r="O39" s="180"/>
      <c r="P39" s="180"/>
      <c r="Q39" s="180"/>
      <c r="R39" s="180"/>
      <c r="S39" s="180"/>
    </row>
    <row r="40" spans="2:19" ht="15.5" x14ac:dyDescent="0.35">
      <c r="B40" s="180"/>
      <c r="C40" s="180"/>
      <c r="D40" s="180"/>
      <c r="E40" s="180"/>
      <c r="F40" s="180"/>
      <c r="G40" s="180"/>
      <c r="H40" s="484"/>
      <c r="I40" s="485"/>
      <c r="J40" s="485"/>
      <c r="K40" s="485"/>
      <c r="L40" s="485"/>
      <c r="M40" s="485"/>
      <c r="N40" s="488"/>
      <c r="O40" s="180"/>
      <c r="P40" s="180"/>
      <c r="Q40" s="180"/>
      <c r="R40" s="180"/>
      <c r="S40" s="180"/>
    </row>
    <row r="41" spans="2:19" ht="15.5" x14ac:dyDescent="0.35">
      <c r="B41" s="180"/>
      <c r="C41" s="180"/>
      <c r="D41" s="180"/>
      <c r="E41" s="180"/>
      <c r="F41" s="180"/>
      <c r="G41" s="180"/>
      <c r="H41" s="484"/>
      <c r="I41" s="485"/>
      <c r="J41" s="485"/>
      <c r="K41" s="485"/>
      <c r="L41" s="487">
        <f>'Insured Portfolio'!G24</f>
        <v>1051659.6468369903</v>
      </c>
      <c r="M41" s="485"/>
      <c r="N41" s="486"/>
      <c r="O41" s="180"/>
      <c r="P41" s="180"/>
      <c r="Q41" s="180"/>
      <c r="R41" s="180"/>
      <c r="S41" s="180"/>
    </row>
    <row r="42" spans="2:19" ht="15.5" x14ac:dyDescent="0.35">
      <c r="B42" s="180"/>
      <c r="C42" s="180"/>
      <c r="D42" s="180"/>
      <c r="E42" s="180"/>
      <c r="F42" s="180"/>
      <c r="G42" s="180"/>
      <c r="H42" s="484"/>
      <c r="I42" s="485"/>
      <c r="J42" s="485"/>
      <c r="K42" s="485"/>
      <c r="L42" s="485"/>
      <c r="M42" s="485"/>
      <c r="N42" s="486"/>
      <c r="O42" s="180"/>
      <c r="P42" s="180"/>
      <c r="Q42" s="180"/>
      <c r="R42" s="180"/>
      <c r="S42" s="180"/>
    </row>
    <row r="43" spans="2:19" ht="15.5" x14ac:dyDescent="0.35">
      <c r="B43" s="180"/>
      <c r="C43" s="180"/>
      <c r="D43" s="180"/>
      <c r="E43" s="180"/>
      <c r="F43" s="180"/>
      <c r="G43" s="180"/>
      <c r="H43" s="484"/>
      <c r="I43" s="485"/>
      <c r="J43" s="485"/>
      <c r="K43" s="485"/>
      <c r="L43" s="485"/>
      <c r="M43" s="485"/>
      <c r="N43" s="487">
        <f>'Insured Portfolio'!I26</f>
        <v>1050000</v>
      </c>
      <c r="O43" s="180"/>
      <c r="P43" s="180"/>
      <c r="Q43" s="180"/>
      <c r="R43" s="180"/>
      <c r="S43" s="180"/>
    </row>
    <row r="44" spans="2:19" ht="15.5" x14ac:dyDescent="0.35">
      <c r="B44" s="180"/>
      <c r="C44" s="180"/>
      <c r="D44" s="180"/>
      <c r="E44" s="180"/>
      <c r="F44" s="180"/>
      <c r="G44" s="180"/>
      <c r="H44" s="484"/>
      <c r="I44" s="485"/>
      <c r="J44" s="485"/>
      <c r="K44" s="485"/>
      <c r="L44" s="485"/>
      <c r="M44" s="485"/>
      <c r="N44" s="488"/>
      <c r="O44" s="180"/>
      <c r="P44" s="180"/>
      <c r="Q44" s="180"/>
      <c r="R44" s="180"/>
      <c r="S44" s="180"/>
    </row>
    <row r="45" spans="2:19" ht="15.5" x14ac:dyDescent="0.35">
      <c r="B45" s="180"/>
      <c r="C45" s="180"/>
      <c r="D45" s="180"/>
      <c r="E45" s="180"/>
      <c r="F45" s="180"/>
      <c r="G45" s="180"/>
      <c r="H45" s="484"/>
      <c r="I45" s="485"/>
      <c r="J45" s="493">
        <f>'Insured Portfolio'!E28</f>
        <v>1011839.1304822065</v>
      </c>
      <c r="K45" s="485"/>
      <c r="L45" s="485"/>
      <c r="M45" s="485"/>
      <c r="N45" s="486"/>
      <c r="O45" s="180"/>
      <c r="P45" s="180"/>
      <c r="Q45" s="180"/>
      <c r="R45" s="180"/>
      <c r="S45" s="180"/>
    </row>
    <row r="46" spans="2:19" ht="15.5" x14ac:dyDescent="0.35">
      <c r="B46" s="180"/>
      <c r="C46" s="180"/>
      <c r="D46" s="180"/>
      <c r="E46" s="180"/>
      <c r="F46" s="180"/>
      <c r="G46" s="180"/>
      <c r="H46" s="484"/>
      <c r="I46" s="485"/>
      <c r="J46" s="485"/>
      <c r="K46" s="485"/>
      <c r="L46" s="485"/>
      <c r="M46" s="485"/>
      <c r="N46" s="486"/>
      <c r="O46" s="180"/>
      <c r="P46" s="180"/>
      <c r="Q46" s="180"/>
      <c r="R46" s="180"/>
      <c r="S46" s="180"/>
    </row>
    <row r="47" spans="2:19" ht="15.5" x14ac:dyDescent="0.35">
      <c r="B47" s="180"/>
      <c r="C47" s="180"/>
      <c r="D47" s="180"/>
      <c r="E47" s="180"/>
      <c r="F47" s="180"/>
      <c r="G47" s="180"/>
      <c r="H47" s="484"/>
      <c r="I47" s="485"/>
      <c r="J47" s="485"/>
      <c r="K47" s="485"/>
      <c r="L47" s="485"/>
      <c r="M47" s="485"/>
      <c r="N47" s="487">
        <f>'Insured Portfolio'!I30</f>
        <v>1050000</v>
      </c>
      <c r="O47" s="180"/>
      <c r="P47" s="180"/>
      <c r="Q47" s="180"/>
      <c r="R47" s="180"/>
      <c r="S47" s="180"/>
    </row>
    <row r="48" spans="2:19" ht="15.5" x14ac:dyDescent="0.35">
      <c r="B48" s="180"/>
      <c r="C48" s="180"/>
      <c r="D48" s="180"/>
      <c r="E48" s="180"/>
      <c r="F48" s="180"/>
      <c r="G48" s="180"/>
      <c r="H48" s="484"/>
      <c r="I48" s="485"/>
      <c r="J48" s="485"/>
      <c r="K48" s="485"/>
      <c r="L48" s="485"/>
      <c r="M48" s="485"/>
      <c r="N48" s="488"/>
      <c r="O48" s="180"/>
      <c r="P48" s="180"/>
      <c r="Q48" s="180"/>
      <c r="R48" s="180"/>
      <c r="S48" s="180"/>
    </row>
    <row r="49" spans="2:19" ht="15.5" x14ac:dyDescent="0.35">
      <c r="B49" s="180"/>
      <c r="C49" s="180"/>
      <c r="D49" s="180"/>
      <c r="E49" s="180"/>
      <c r="F49" s="180"/>
      <c r="G49" s="180"/>
      <c r="H49" s="484"/>
      <c r="I49" s="485"/>
      <c r="J49" s="494" t="s">
        <v>217</v>
      </c>
      <c r="K49" s="485"/>
      <c r="L49" s="487">
        <f>'Insured Portfolio'!G32</f>
        <v>1020097.4994627656</v>
      </c>
      <c r="M49" s="485"/>
      <c r="N49" s="486"/>
      <c r="O49" s="180"/>
      <c r="P49" s="180"/>
      <c r="Q49" s="180"/>
      <c r="R49" s="180"/>
      <c r="S49" s="180"/>
    </row>
    <row r="50" spans="2:19" ht="15.5" x14ac:dyDescent="0.35">
      <c r="B50" s="180"/>
      <c r="C50" s="180"/>
      <c r="D50" s="180"/>
      <c r="E50" s="180"/>
      <c r="F50" s="180"/>
      <c r="G50" s="180"/>
      <c r="H50" s="484"/>
      <c r="I50" s="485"/>
      <c r="J50" s="485"/>
      <c r="K50" s="485"/>
      <c r="L50" s="485"/>
      <c r="M50" s="485"/>
      <c r="N50" s="486"/>
      <c r="O50" s="180"/>
      <c r="P50" s="180"/>
      <c r="Q50" s="180"/>
      <c r="R50" s="180"/>
      <c r="S50" s="180"/>
    </row>
    <row r="51" spans="2:19" ht="15.5" x14ac:dyDescent="0.35">
      <c r="B51" s="180"/>
      <c r="C51" s="180"/>
      <c r="D51" s="180"/>
      <c r="E51" s="180"/>
      <c r="F51" s="180"/>
      <c r="G51" s="180"/>
      <c r="H51" s="484"/>
      <c r="I51" s="485"/>
      <c r="J51" s="485"/>
      <c r="K51" s="485"/>
      <c r="L51" s="485"/>
      <c r="M51" s="485"/>
      <c r="N51" s="487">
        <f>'Insured Portfolio'!I34</f>
        <v>1050000</v>
      </c>
      <c r="O51" s="180"/>
      <c r="P51" s="180"/>
      <c r="Q51" s="180"/>
      <c r="R51" s="180"/>
      <c r="S51" s="180"/>
    </row>
    <row r="52" spans="2:19" ht="15.5" x14ac:dyDescent="0.35">
      <c r="B52" s="180"/>
      <c r="C52" s="180"/>
      <c r="D52" s="180"/>
      <c r="E52" s="180"/>
      <c r="F52" s="180"/>
      <c r="G52" s="180"/>
      <c r="H52" s="495"/>
      <c r="I52" s="496"/>
      <c r="J52" s="496"/>
      <c r="K52" s="496"/>
      <c r="L52" s="496"/>
      <c r="M52" s="496"/>
      <c r="N52" s="497"/>
      <c r="O52" s="180"/>
      <c r="P52" s="180"/>
      <c r="Q52" s="180"/>
      <c r="R52" s="180"/>
      <c r="S52" s="180"/>
    </row>
    <row r="53" spans="2:19" x14ac:dyDescent="0.35"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</row>
    <row r="54" spans="2:19" ht="15" thickBot="1" x14ac:dyDescent="0.4"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</row>
    <row r="55" spans="2:19" ht="22" thickTop="1" thickBot="1" x14ac:dyDescent="0.4">
      <c r="B55" s="756" t="s">
        <v>218</v>
      </c>
      <c r="C55" s="756"/>
      <c r="D55" s="756"/>
      <c r="E55" s="756"/>
      <c r="F55" s="756"/>
      <c r="G55" s="756"/>
      <c r="H55" s="756"/>
      <c r="I55" s="756"/>
      <c r="J55" s="756"/>
      <c r="K55" s="756"/>
      <c r="L55" s="756"/>
      <c r="M55" s="756"/>
      <c r="N55" s="756"/>
      <c r="O55" s="756"/>
      <c r="P55" s="756"/>
      <c r="Q55" s="756"/>
      <c r="R55" s="756"/>
      <c r="S55" s="756"/>
    </row>
    <row r="56" spans="2:19" ht="15" thickTop="1" x14ac:dyDescent="0.35"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</row>
    <row r="57" spans="2:19" x14ac:dyDescent="0.35"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</row>
    <row r="58" spans="2:19" x14ac:dyDescent="0.35">
      <c r="B58" s="716" t="s">
        <v>60</v>
      </c>
      <c r="C58" s="761"/>
      <c r="D58" s="251" t="s">
        <v>79</v>
      </c>
      <c r="E58" s="251" t="s">
        <v>81</v>
      </c>
      <c r="F58" s="252" t="s">
        <v>77</v>
      </c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</row>
    <row r="59" spans="2:19" x14ac:dyDescent="0.35">
      <c r="B59" s="762" t="s">
        <v>219</v>
      </c>
      <c r="C59" s="763"/>
      <c r="D59" s="498">
        <f>'91Day T-Bill'!F24</f>
        <v>2.8686315686529594E-2</v>
      </c>
      <c r="E59" s="498">
        <f>'91Day T-Bill'!G24</f>
        <v>2.6645440352791525E-2</v>
      </c>
      <c r="F59" s="499">
        <f>'91Day T-Bill'!H24</f>
        <v>2.8891953733901077E-2</v>
      </c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</row>
    <row r="60" spans="2:19" x14ac:dyDescent="0.35"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</row>
    <row r="61" spans="2:19" x14ac:dyDescent="0.35">
      <c r="B61" s="180"/>
      <c r="C61" s="180"/>
      <c r="D61" s="180"/>
      <c r="E61" s="180"/>
      <c r="F61" s="180"/>
      <c r="G61" s="500"/>
      <c r="H61" s="500"/>
      <c r="I61" s="500"/>
      <c r="J61" s="304"/>
      <c r="K61" s="501"/>
      <c r="L61" s="501"/>
      <c r="M61" s="501"/>
      <c r="N61" s="180"/>
      <c r="O61" s="180"/>
      <c r="P61" s="180"/>
      <c r="Q61" s="180"/>
      <c r="R61" s="180"/>
      <c r="S61" s="180"/>
    </row>
    <row r="62" spans="2:19" x14ac:dyDescent="0.35">
      <c r="B62" s="764" t="s">
        <v>72</v>
      </c>
      <c r="C62" s="764"/>
      <c r="D62" s="764" t="s">
        <v>176</v>
      </c>
      <c r="E62" s="764"/>
      <c r="F62" s="764"/>
      <c r="G62" s="765" t="s">
        <v>79</v>
      </c>
      <c r="H62" s="765"/>
      <c r="I62" s="765"/>
      <c r="J62" s="765"/>
      <c r="K62" s="765"/>
      <c r="L62" s="765" t="s">
        <v>81</v>
      </c>
      <c r="M62" s="765"/>
      <c r="N62" s="765"/>
      <c r="O62" s="765"/>
      <c r="P62" s="765"/>
      <c r="Q62" s="766" t="s">
        <v>77</v>
      </c>
      <c r="R62" s="766"/>
      <c r="S62" s="766"/>
    </row>
    <row r="63" spans="2:19" x14ac:dyDescent="0.35">
      <c r="B63" s="767" t="s">
        <v>220</v>
      </c>
      <c r="C63" s="767"/>
      <c r="D63" s="502"/>
      <c r="E63" s="502"/>
      <c r="F63" s="503">
        <f>H37</f>
        <v>1058463.5957920665</v>
      </c>
      <c r="G63" s="504"/>
      <c r="H63" s="504"/>
      <c r="I63" s="504"/>
      <c r="J63" s="504"/>
      <c r="K63" s="505">
        <f>I75+I76</f>
        <v>1054430.0870487627</v>
      </c>
      <c r="L63" s="504"/>
      <c r="M63" s="504"/>
      <c r="N63" s="504"/>
      <c r="O63" s="504"/>
      <c r="P63" s="505">
        <f>N75+N76</f>
        <v>1067616.1459715585</v>
      </c>
      <c r="Q63" s="506"/>
      <c r="R63" s="506"/>
      <c r="S63" s="507">
        <f>S75+S76</f>
        <v>1098911.5784144776</v>
      </c>
    </row>
    <row r="64" spans="2:19" x14ac:dyDescent="0.35">
      <c r="B64" s="767" t="s">
        <v>221</v>
      </c>
      <c r="C64" s="767"/>
      <c r="D64" s="508"/>
      <c r="E64" s="508"/>
      <c r="F64" s="318">
        <f>F6</f>
        <v>1000000</v>
      </c>
      <c r="G64" s="509"/>
      <c r="H64" s="509"/>
      <c r="I64" s="509"/>
      <c r="J64" s="509"/>
      <c r="K64" s="510">
        <f>'100% Equity Investments'!H6</f>
        <v>967866.80185884517</v>
      </c>
      <c r="L64" s="509"/>
      <c r="M64" s="509"/>
      <c r="N64" s="509"/>
      <c r="O64" s="509"/>
      <c r="P64" s="510">
        <f>'100% Equity Investments'!J6</f>
        <v>901391.42522877536</v>
      </c>
      <c r="Q64" s="509"/>
      <c r="R64" s="509"/>
      <c r="S64" s="425">
        <f>'100% Equity Investments'!L6</f>
        <v>1001801.4583773705</v>
      </c>
    </row>
    <row r="65" spans="2:19" x14ac:dyDescent="0.35">
      <c r="B65" s="767" t="s">
        <v>204</v>
      </c>
      <c r="C65" s="767"/>
      <c r="D65" s="508"/>
      <c r="E65" s="508"/>
      <c r="F65" s="483">
        <f>F7</f>
        <v>0.56890131101577612</v>
      </c>
      <c r="G65" s="509"/>
      <c r="H65" s="509"/>
      <c r="I65" s="509"/>
      <c r="J65" s="509"/>
      <c r="K65" s="511">
        <f>K7</f>
        <v>0.17008562844797065</v>
      </c>
      <c r="L65" s="509"/>
      <c r="M65" s="509"/>
      <c r="N65" s="509"/>
      <c r="O65" s="509"/>
      <c r="P65" s="511">
        <f>P7</f>
        <v>0</v>
      </c>
      <c r="Q65" s="509"/>
      <c r="R65" s="509"/>
      <c r="S65" s="509"/>
    </row>
    <row r="66" spans="2:19" ht="29" x14ac:dyDescent="0.35">
      <c r="B66" s="384" t="s">
        <v>181</v>
      </c>
      <c r="C66" s="384" t="s">
        <v>175</v>
      </c>
      <c r="D66" s="384" t="s">
        <v>205</v>
      </c>
      <c r="E66" s="384" t="s">
        <v>206</v>
      </c>
      <c r="F66" s="384" t="s">
        <v>207</v>
      </c>
      <c r="G66" s="384" t="s">
        <v>208</v>
      </c>
      <c r="H66" s="384" t="s">
        <v>206</v>
      </c>
      <c r="I66" s="384" t="s">
        <v>195</v>
      </c>
      <c r="J66" s="384" t="s">
        <v>205</v>
      </c>
      <c r="K66" s="384" t="s">
        <v>209</v>
      </c>
      <c r="L66" s="384" t="s">
        <v>208</v>
      </c>
      <c r="M66" s="384" t="s">
        <v>206</v>
      </c>
      <c r="N66" s="384" t="s">
        <v>195</v>
      </c>
      <c r="O66" s="384" t="s">
        <v>205</v>
      </c>
      <c r="P66" s="384" t="s">
        <v>209</v>
      </c>
      <c r="Q66" s="384" t="s">
        <v>208</v>
      </c>
      <c r="R66" s="384" t="s">
        <v>206</v>
      </c>
      <c r="S66" s="384" t="s">
        <v>195</v>
      </c>
    </row>
    <row r="67" spans="2:19" x14ac:dyDescent="0.35">
      <c r="B67" s="393" t="str">
        <f>B9</f>
        <v>UCB</v>
      </c>
      <c r="C67" s="314">
        <f>1/8</f>
        <v>0.125</v>
      </c>
      <c r="D67" s="480">
        <f>$F$64*$F$65*C67</f>
        <v>71112.663876972016</v>
      </c>
      <c r="E67" s="390">
        <f t="shared" ref="E67:E74" si="13">E9</f>
        <v>9.1999999999999993</v>
      </c>
      <c r="F67" s="480">
        <f>D67/E67</f>
        <v>7729.6373779317419</v>
      </c>
      <c r="G67" s="425">
        <f>F67</f>
        <v>7729.6373779317419</v>
      </c>
      <c r="H67" s="392">
        <f t="shared" ref="H67:H74" si="14">H9</f>
        <v>11</v>
      </c>
      <c r="I67" s="425">
        <f>H67*G67</f>
        <v>85026.011157249159</v>
      </c>
      <c r="J67" s="425">
        <f>$K$64*$K$65*C67</f>
        <v>20577.529156011147</v>
      </c>
      <c r="K67" s="425">
        <f>J67/H67</f>
        <v>1870.6844687282862</v>
      </c>
      <c r="L67" s="425">
        <f>K67</f>
        <v>1870.6844687282862</v>
      </c>
      <c r="M67" s="392">
        <f t="shared" ref="M67:M74" si="15">M9</f>
        <v>9.9</v>
      </c>
      <c r="N67" s="425">
        <f>L67*M67</f>
        <v>18519.776240410036</v>
      </c>
      <c r="O67" s="470">
        <f>$P$64*$P$65*C67</f>
        <v>0</v>
      </c>
      <c r="P67" s="470">
        <f>O67/M67</f>
        <v>0</v>
      </c>
      <c r="Q67" s="470">
        <f>P67</f>
        <v>0</v>
      </c>
      <c r="R67" s="392">
        <f t="shared" ref="R67:R74" si="16">R9</f>
        <v>10.6</v>
      </c>
      <c r="S67" s="474">
        <f>R67*Q67</f>
        <v>0</v>
      </c>
    </row>
    <row r="68" spans="2:19" x14ac:dyDescent="0.35">
      <c r="B68" s="393" t="str">
        <f t="shared" ref="B68:B74" si="17">B10</f>
        <v>IDLC</v>
      </c>
      <c r="C68" s="314">
        <f t="shared" ref="C68:C74" si="18">1/8</f>
        <v>0.125</v>
      </c>
      <c r="D68" s="480">
        <f t="shared" ref="D68:D74" si="19">$F$64*$F$65*C68</f>
        <v>71112.663876972016</v>
      </c>
      <c r="E68" s="390">
        <f t="shared" si="13"/>
        <v>32.700000000000003</v>
      </c>
      <c r="F68" s="480">
        <f t="shared" ref="F68:F74" si="20">D68/E68</f>
        <v>2174.6992011306425</v>
      </c>
      <c r="G68" s="425">
        <f t="shared" ref="G68:G74" si="21">F68</f>
        <v>2174.6992011306425</v>
      </c>
      <c r="H68" s="392">
        <f t="shared" si="14"/>
        <v>31.4</v>
      </c>
      <c r="I68" s="425">
        <f t="shared" ref="I68:I74" si="22">H68*G68</f>
        <v>68285.554915502173</v>
      </c>
      <c r="J68" s="425">
        <f t="shared" ref="J68:J74" si="23">$K$64*$K$65*C68</f>
        <v>20577.529156011147</v>
      </c>
      <c r="K68" s="425">
        <f t="shared" ref="K68:K74" si="24">J68/H68</f>
        <v>655.33532343984552</v>
      </c>
      <c r="L68" s="425">
        <f t="shared" ref="L68:L74" si="25">K68</f>
        <v>655.33532343984552</v>
      </c>
      <c r="M68" s="392">
        <f t="shared" si="15"/>
        <v>29</v>
      </c>
      <c r="N68" s="425">
        <f t="shared" ref="N68:N74" si="26">L68*M68</f>
        <v>19004.72437975552</v>
      </c>
      <c r="O68" s="470">
        <f t="shared" ref="O68:O74" si="27">$P$64*$P$65*C68</f>
        <v>0</v>
      </c>
      <c r="P68" s="470">
        <f t="shared" ref="P68:P74" si="28">O68/M68</f>
        <v>0</v>
      </c>
      <c r="Q68" s="470">
        <f t="shared" ref="Q68:Q74" si="29">P68</f>
        <v>0</v>
      </c>
      <c r="R68" s="392">
        <f t="shared" si="16"/>
        <v>41.2</v>
      </c>
      <c r="S68" s="474">
        <f t="shared" ref="S68:S74" si="30">R68*Q68</f>
        <v>0</v>
      </c>
    </row>
    <row r="69" spans="2:19" x14ac:dyDescent="0.35">
      <c r="B69" s="393" t="str">
        <f t="shared" si="17"/>
        <v>GP</v>
      </c>
      <c r="C69" s="314">
        <f t="shared" si="18"/>
        <v>0.125</v>
      </c>
      <c r="D69" s="480">
        <f t="shared" si="19"/>
        <v>71112.663876972016</v>
      </c>
      <c r="E69" s="390">
        <f t="shared" si="13"/>
        <v>323.10000000000002</v>
      </c>
      <c r="F69" s="480">
        <f t="shared" si="20"/>
        <v>220.09490522120709</v>
      </c>
      <c r="G69" s="425">
        <f t="shared" si="21"/>
        <v>220.09490522120709</v>
      </c>
      <c r="H69" s="392">
        <f t="shared" si="14"/>
        <v>321.89999999999998</v>
      </c>
      <c r="I69" s="425">
        <f t="shared" si="22"/>
        <v>70848.549990706553</v>
      </c>
      <c r="J69" s="425">
        <f t="shared" si="23"/>
        <v>20577.529156011147</v>
      </c>
      <c r="K69" s="425">
        <f t="shared" si="24"/>
        <v>63.925222603327583</v>
      </c>
      <c r="L69" s="425">
        <f t="shared" si="25"/>
        <v>63.925222603327583</v>
      </c>
      <c r="M69" s="392">
        <f t="shared" si="15"/>
        <v>303.10000000000002</v>
      </c>
      <c r="N69" s="425">
        <f t="shared" si="26"/>
        <v>19375.734971068592</v>
      </c>
      <c r="O69" s="470">
        <f t="shared" si="27"/>
        <v>0</v>
      </c>
      <c r="P69" s="470">
        <f t="shared" si="28"/>
        <v>0</v>
      </c>
      <c r="Q69" s="470">
        <f t="shared" si="29"/>
        <v>0</v>
      </c>
      <c r="R69" s="392">
        <f t="shared" si="16"/>
        <v>299</v>
      </c>
      <c r="S69" s="474">
        <f t="shared" si="30"/>
        <v>0</v>
      </c>
    </row>
    <row r="70" spans="2:19" x14ac:dyDescent="0.35">
      <c r="B70" s="393" t="str">
        <f t="shared" si="17"/>
        <v>BATASHOE</v>
      </c>
      <c r="C70" s="314">
        <f t="shared" si="18"/>
        <v>0.125</v>
      </c>
      <c r="D70" s="480">
        <f t="shared" si="19"/>
        <v>71112.663876972016</v>
      </c>
      <c r="E70" s="390">
        <f t="shared" si="13"/>
        <v>905.4</v>
      </c>
      <c r="F70" s="480">
        <f t="shared" si="20"/>
        <v>78.542814089874113</v>
      </c>
      <c r="G70" s="425">
        <f t="shared" si="21"/>
        <v>78.542814089874113</v>
      </c>
      <c r="H70" s="392">
        <f t="shared" si="14"/>
        <v>834.7</v>
      </c>
      <c r="I70" s="425">
        <f t="shared" si="22"/>
        <v>65559.686920817927</v>
      </c>
      <c r="J70" s="425">
        <f t="shared" si="23"/>
        <v>20577.529156011147</v>
      </c>
      <c r="K70" s="425">
        <f t="shared" si="24"/>
        <v>24.652604715479988</v>
      </c>
      <c r="L70" s="425">
        <f t="shared" si="25"/>
        <v>24.652604715479988</v>
      </c>
      <c r="M70" s="392">
        <f t="shared" si="15"/>
        <v>802.7</v>
      </c>
      <c r="N70" s="425">
        <f t="shared" si="26"/>
        <v>19788.645805115786</v>
      </c>
      <c r="O70" s="470">
        <f t="shared" si="27"/>
        <v>0</v>
      </c>
      <c r="P70" s="470">
        <f t="shared" si="28"/>
        <v>0</v>
      </c>
      <c r="Q70" s="470">
        <f t="shared" si="29"/>
        <v>0</v>
      </c>
      <c r="R70" s="392">
        <f t="shared" si="16"/>
        <v>877.7</v>
      </c>
      <c r="S70" s="474">
        <f t="shared" si="30"/>
        <v>0</v>
      </c>
    </row>
    <row r="71" spans="2:19" x14ac:dyDescent="0.35">
      <c r="B71" s="393" t="str">
        <f t="shared" si="17"/>
        <v>RENATA</v>
      </c>
      <c r="C71" s="314">
        <f t="shared" si="18"/>
        <v>0.125</v>
      </c>
      <c r="D71" s="480">
        <f t="shared" si="19"/>
        <v>71112.663876972016</v>
      </c>
      <c r="E71" s="390">
        <f t="shared" si="13"/>
        <v>635.1</v>
      </c>
      <c r="F71" s="480">
        <f t="shared" si="20"/>
        <v>111.97081385131793</v>
      </c>
      <c r="G71" s="425">
        <f t="shared" si="21"/>
        <v>111.97081385131793</v>
      </c>
      <c r="H71" s="392">
        <f t="shared" si="14"/>
        <v>500.5</v>
      </c>
      <c r="I71" s="425">
        <f t="shared" si="22"/>
        <v>56041.392332584626</v>
      </c>
      <c r="J71" s="425">
        <f t="shared" si="23"/>
        <v>20577.529156011147</v>
      </c>
      <c r="K71" s="425">
        <f t="shared" si="24"/>
        <v>41.113944367654639</v>
      </c>
      <c r="L71" s="425">
        <f t="shared" si="25"/>
        <v>41.113944367654639</v>
      </c>
      <c r="M71" s="392">
        <f t="shared" si="15"/>
        <v>488.4</v>
      </c>
      <c r="N71" s="425">
        <f t="shared" si="26"/>
        <v>20080.050429162526</v>
      </c>
      <c r="O71" s="470">
        <f t="shared" si="27"/>
        <v>0</v>
      </c>
      <c r="P71" s="470">
        <f t="shared" si="28"/>
        <v>0</v>
      </c>
      <c r="Q71" s="470">
        <f t="shared" si="29"/>
        <v>0</v>
      </c>
      <c r="R71" s="392">
        <f t="shared" si="16"/>
        <v>480.4</v>
      </c>
      <c r="S71" s="474">
        <f t="shared" si="30"/>
        <v>0</v>
      </c>
    </row>
    <row r="72" spans="2:19" x14ac:dyDescent="0.35">
      <c r="B72" s="393" t="str">
        <f t="shared" si="17"/>
        <v>WALTONHIL</v>
      </c>
      <c r="C72" s="314">
        <f t="shared" si="18"/>
        <v>0.125</v>
      </c>
      <c r="D72" s="480">
        <f t="shared" si="19"/>
        <v>71112.663876972016</v>
      </c>
      <c r="E72" s="390">
        <f t="shared" si="13"/>
        <v>487.5</v>
      </c>
      <c r="F72" s="480">
        <f t="shared" si="20"/>
        <v>145.87213102968619</v>
      </c>
      <c r="G72" s="425">
        <f t="shared" si="21"/>
        <v>145.87213102968619</v>
      </c>
      <c r="H72" s="392">
        <f t="shared" si="14"/>
        <v>462.7</v>
      </c>
      <c r="I72" s="425">
        <f t="shared" si="22"/>
        <v>67495.035027435792</v>
      </c>
      <c r="J72" s="425">
        <f t="shared" si="23"/>
        <v>20577.529156011147</v>
      </c>
      <c r="K72" s="425">
        <f t="shared" si="24"/>
        <v>44.472723483922948</v>
      </c>
      <c r="L72" s="425">
        <f t="shared" si="25"/>
        <v>44.472723483922948</v>
      </c>
      <c r="M72" s="392">
        <f t="shared" si="15"/>
        <v>406.3</v>
      </c>
      <c r="N72" s="425">
        <f t="shared" si="26"/>
        <v>18069.267551517893</v>
      </c>
      <c r="O72" s="470">
        <f t="shared" si="27"/>
        <v>0</v>
      </c>
      <c r="P72" s="470">
        <f t="shared" si="28"/>
        <v>0</v>
      </c>
      <c r="Q72" s="470">
        <f t="shared" si="29"/>
        <v>0</v>
      </c>
      <c r="R72" s="392">
        <f t="shared" si="16"/>
        <v>419.9</v>
      </c>
      <c r="S72" s="474">
        <f t="shared" si="30"/>
        <v>0</v>
      </c>
    </row>
    <row r="73" spans="2:19" x14ac:dyDescent="0.35">
      <c r="B73" s="393" t="str">
        <f t="shared" si="17"/>
        <v>RAKC</v>
      </c>
      <c r="C73" s="314">
        <f t="shared" si="18"/>
        <v>0.125</v>
      </c>
      <c r="D73" s="480">
        <f t="shared" si="19"/>
        <v>71112.663876972016</v>
      </c>
      <c r="E73" s="390">
        <f t="shared" si="13"/>
        <v>22.6</v>
      </c>
      <c r="F73" s="480">
        <f t="shared" si="20"/>
        <v>3146.5780476536288</v>
      </c>
      <c r="G73" s="425">
        <f t="shared" si="21"/>
        <v>3146.5780476536288</v>
      </c>
      <c r="H73" s="392">
        <f t="shared" si="14"/>
        <v>22.6</v>
      </c>
      <c r="I73" s="425">
        <f t="shared" si="22"/>
        <v>71112.663876972016</v>
      </c>
      <c r="J73" s="425">
        <f t="shared" si="23"/>
        <v>20577.529156011147</v>
      </c>
      <c r="K73" s="425">
        <f t="shared" si="24"/>
        <v>910.51013964651088</v>
      </c>
      <c r="L73" s="425">
        <f t="shared" si="25"/>
        <v>910.51013964651088</v>
      </c>
      <c r="M73" s="392">
        <f t="shared" si="15"/>
        <v>19.2</v>
      </c>
      <c r="N73" s="425">
        <f t="shared" si="26"/>
        <v>17481.794681213007</v>
      </c>
      <c r="O73" s="470">
        <f t="shared" si="27"/>
        <v>0</v>
      </c>
      <c r="P73" s="470">
        <f t="shared" si="28"/>
        <v>0</v>
      </c>
      <c r="Q73" s="470">
        <f t="shared" si="29"/>
        <v>0</v>
      </c>
      <c r="R73" s="392">
        <f t="shared" si="16"/>
        <v>25.1</v>
      </c>
      <c r="S73" s="474">
        <f t="shared" si="30"/>
        <v>0</v>
      </c>
    </row>
    <row r="74" spans="2:19" x14ac:dyDescent="0.35">
      <c r="B74" s="393" t="str">
        <f t="shared" si="17"/>
        <v>OLYMPIC</v>
      </c>
      <c r="C74" s="314">
        <f t="shared" si="18"/>
        <v>0.125</v>
      </c>
      <c r="D74" s="480">
        <f t="shared" si="19"/>
        <v>71112.663876972016</v>
      </c>
      <c r="E74" s="390">
        <f t="shared" si="13"/>
        <v>158</v>
      </c>
      <c r="F74" s="480">
        <f t="shared" si="20"/>
        <v>450.08015112007604</v>
      </c>
      <c r="G74" s="425">
        <f t="shared" si="21"/>
        <v>450.08015112007604</v>
      </c>
      <c r="H74" s="392">
        <f t="shared" si="14"/>
        <v>147.19999999999999</v>
      </c>
      <c r="I74" s="425">
        <f t="shared" si="22"/>
        <v>66251.798244875186</v>
      </c>
      <c r="J74" s="425">
        <f t="shared" si="23"/>
        <v>20577.529156011147</v>
      </c>
      <c r="K74" s="425">
        <f t="shared" si="24"/>
        <v>139.79299698377139</v>
      </c>
      <c r="L74" s="425">
        <f t="shared" si="25"/>
        <v>139.79299698377139</v>
      </c>
      <c r="M74" s="392">
        <f t="shared" si="15"/>
        <v>153.5</v>
      </c>
      <c r="N74" s="425">
        <f t="shared" si="26"/>
        <v>21458.22503700891</v>
      </c>
      <c r="O74" s="470">
        <f t="shared" si="27"/>
        <v>0</v>
      </c>
      <c r="P74" s="470">
        <f t="shared" si="28"/>
        <v>0</v>
      </c>
      <c r="Q74" s="470">
        <f t="shared" si="29"/>
        <v>0</v>
      </c>
      <c r="R74" s="392">
        <f t="shared" si="16"/>
        <v>154.69999999999999</v>
      </c>
      <c r="S74" s="474">
        <f t="shared" si="30"/>
        <v>0</v>
      </c>
    </row>
    <row r="75" spans="2:19" x14ac:dyDescent="0.35">
      <c r="B75" s="512" t="s">
        <v>210</v>
      </c>
      <c r="C75" s="398"/>
      <c r="D75" s="430">
        <f>SUM(D67:D74)</f>
        <v>568901.31101577624</v>
      </c>
      <c r="E75" s="398"/>
      <c r="F75" s="398"/>
      <c r="G75" s="400"/>
      <c r="H75" s="400"/>
      <c r="I75" s="430">
        <f>SUM(I67:I74)</f>
        <v>550620.6924661434</v>
      </c>
      <c r="J75" s="430">
        <f>SUM(J67:J74)</f>
        <v>164620.23324808918</v>
      </c>
      <c r="K75" s="400"/>
      <c r="L75" s="400"/>
      <c r="M75" s="400"/>
      <c r="N75" s="430">
        <f>SUM(N67:N74)</f>
        <v>153778.21909525225</v>
      </c>
      <c r="O75" s="476">
        <f>SUM(O67:O74)</f>
        <v>0</v>
      </c>
      <c r="P75" s="513"/>
      <c r="Q75" s="513"/>
      <c r="R75" s="400"/>
      <c r="S75" s="479">
        <f>SUM(S67:S74)</f>
        <v>0</v>
      </c>
    </row>
    <row r="76" spans="2:19" x14ac:dyDescent="0.35">
      <c r="B76" s="514" t="s">
        <v>222</v>
      </c>
      <c r="C76" s="491"/>
      <c r="D76" s="515">
        <f>F63-D75</f>
        <v>489562.2847762903</v>
      </c>
      <c r="E76" s="491"/>
      <c r="F76" s="491"/>
      <c r="G76" s="516"/>
      <c r="H76" s="516"/>
      <c r="I76" s="515">
        <f>D76*EXP(D59)</f>
        <v>503809.39458261937</v>
      </c>
      <c r="J76" s="515">
        <f>K63-J75</f>
        <v>889809.8538006735</v>
      </c>
      <c r="K76" s="516"/>
      <c r="L76" s="516"/>
      <c r="M76" s="516"/>
      <c r="N76" s="515">
        <f>J76*EXP(E59)</f>
        <v>913837.9268763063</v>
      </c>
      <c r="O76" s="517">
        <f>P63-O75</f>
        <v>1067616.1459715585</v>
      </c>
      <c r="P76" s="518"/>
      <c r="Q76" s="518"/>
      <c r="R76" s="516"/>
      <c r="S76" s="517">
        <f>O76*EXP(F59)</f>
        <v>1098911.5784144776</v>
      </c>
    </row>
    <row r="77" spans="2:19" x14ac:dyDescent="0.35">
      <c r="B77" s="180"/>
      <c r="C77" s="180"/>
      <c r="D77" s="180"/>
      <c r="E77" s="180"/>
      <c r="F77" s="180"/>
      <c r="G77" s="519"/>
      <c r="H77" s="519"/>
      <c r="I77" s="520"/>
      <c r="J77" s="520"/>
      <c r="K77" s="519"/>
      <c r="L77" s="519"/>
      <c r="M77" s="519"/>
      <c r="N77" s="520"/>
      <c r="O77" s="520"/>
      <c r="P77" s="519"/>
      <c r="Q77" s="519"/>
      <c r="R77" s="519"/>
      <c r="S77" s="520"/>
    </row>
    <row r="78" spans="2:19" x14ac:dyDescent="0.35">
      <c r="B78" s="521"/>
      <c r="C78" s="522"/>
      <c r="D78" s="520"/>
      <c r="E78" s="522"/>
      <c r="F78" s="523"/>
      <c r="G78" s="519"/>
      <c r="H78" s="519"/>
      <c r="I78" s="520"/>
      <c r="J78" s="520"/>
      <c r="K78" s="519"/>
      <c r="L78" s="519"/>
      <c r="M78" s="519"/>
      <c r="N78" s="520"/>
      <c r="O78" s="520"/>
      <c r="P78" s="519"/>
      <c r="Q78" s="519"/>
      <c r="R78" s="519"/>
      <c r="S78" s="520"/>
    </row>
    <row r="79" spans="2:19" x14ac:dyDescent="0.35">
      <c r="G79" s="519"/>
      <c r="H79" s="519"/>
      <c r="I79" s="768" t="s">
        <v>181</v>
      </c>
      <c r="J79" s="325" t="s">
        <v>176</v>
      </c>
      <c r="K79" s="753" t="s">
        <v>79</v>
      </c>
      <c r="L79" s="755"/>
      <c r="M79" s="753" t="s">
        <v>81</v>
      </c>
      <c r="N79" s="755"/>
      <c r="O79" s="180"/>
      <c r="P79" s="519"/>
      <c r="Q79" s="519"/>
      <c r="R79" s="519"/>
      <c r="S79" s="520"/>
    </row>
    <row r="80" spans="2:19" ht="27" customHeight="1" x14ac:dyDescent="0.35">
      <c r="G80" s="519"/>
      <c r="H80" s="519"/>
      <c r="I80" s="769"/>
      <c r="J80" s="524" t="s">
        <v>207</v>
      </c>
      <c r="K80" s="524" t="s">
        <v>209</v>
      </c>
      <c r="L80" s="440" t="s">
        <v>224</v>
      </c>
      <c r="M80" s="524" t="s">
        <v>209</v>
      </c>
      <c r="N80" s="440" t="s">
        <v>224</v>
      </c>
      <c r="O80" s="180"/>
      <c r="P80" s="519"/>
      <c r="Q80" s="519"/>
      <c r="R80" s="519"/>
      <c r="S80" s="520"/>
    </row>
    <row r="81" spans="2:19" x14ac:dyDescent="0.35">
      <c r="B81" s="525" t="s">
        <v>60</v>
      </c>
      <c r="C81" s="326" t="s">
        <v>176</v>
      </c>
      <c r="D81" s="251" t="s">
        <v>79</v>
      </c>
      <c r="E81" s="251" t="s">
        <v>81</v>
      </c>
      <c r="F81" s="252" t="s">
        <v>77</v>
      </c>
      <c r="G81" s="519"/>
      <c r="H81" s="519"/>
      <c r="I81" s="526" t="s">
        <v>39</v>
      </c>
      <c r="J81" s="527">
        <f>F67</f>
        <v>7729.6373779317419</v>
      </c>
      <c r="K81" s="528">
        <f>K67</f>
        <v>1870.6844687282862</v>
      </c>
      <c r="L81" s="527">
        <f>J81-K81</f>
        <v>5858.9529092034554</v>
      </c>
      <c r="M81" s="529">
        <f>P67</f>
        <v>0</v>
      </c>
      <c r="N81" s="530">
        <f>K81-M81</f>
        <v>1870.6844687282862</v>
      </c>
      <c r="O81" s="180"/>
      <c r="P81" s="519"/>
      <c r="Q81" s="519"/>
      <c r="R81" s="519"/>
      <c r="S81" s="520"/>
    </row>
    <row r="82" spans="2:19" x14ac:dyDescent="0.35">
      <c r="B82" s="108" t="s">
        <v>223</v>
      </c>
      <c r="C82" s="308">
        <f>D75</f>
        <v>568901.31101577624</v>
      </c>
      <c r="D82" s="309">
        <f>I75</f>
        <v>550620.6924661434</v>
      </c>
      <c r="E82" s="309">
        <f>N75</f>
        <v>153778.21909525225</v>
      </c>
      <c r="F82" s="531">
        <f>S75</f>
        <v>0</v>
      </c>
      <c r="G82" s="519"/>
      <c r="H82" s="519"/>
      <c r="I82" s="526" t="s">
        <v>0</v>
      </c>
      <c r="J82" s="480">
        <f t="shared" ref="J82:J88" si="31">F68</f>
        <v>2174.6992011306425</v>
      </c>
      <c r="K82" s="532">
        <f t="shared" ref="K82:K88" si="32">K68</f>
        <v>655.33532343984552</v>
      </c>
      <c r="L82" s="480">
        <f t="shared" ref="L82:L88" si="33">J82-K82</f>
        <v>1519.3638776907969</v>
      </c>
      <c r="M82" s="533">
        <f t="shared" ref="M82:M88" si="34">P68</f>
        <v>0</v>
      </c>
      <c r="N82" s="534">
        <f t="shared" ref="N82:N88" si="35">K82-M82</f>
        <v>655.33532343984552</v>
      </c>
      <c r="O82" s="180"/>
      <c r="P82" s="519"/>
      <c r="Q82" s="519"/>
      <c r="R82" s="519"/>
      <c r="S82" s="520"/>
    </row>
    <row r="83" spans="2:19" x14ac:dyDescent="0.35">
      <c r="B83" s="92" t="s">
        <v>225</v>
      </c>
      <c r="C83" s="313">
        <f>D76</f>
        <v>489562.2847762903</v>
      </c>
      <c r="D83" s="318">
        <f>I76</f>
        <v>503809.39458261937</v>
      </c>
      <c r="E83" s="318">
        <f>N76</f>
        <v>913837.9268763063</v>
      </c>
      <c r="F83" s="318">
        <f>S76</f>
        <v>1098911.5784144776</v>
      </c>
      <c r="G83" s="519"/>
      <c r="H83" s="519"/>
      <c r="I83" s="526" t="s">
        <v>2</v>
      </c>
      <c r="J83" s="480">
        <f t="shared" si="31"/>
        <v>220.09490522120709</v>
      </c>
      <c r="K83" s="532">
        <f t="shared" si="32"/>
        <v>63.925222603327583</v>
      </c>
      <c r="L83" s="480">
        <f t="shared" si="33"/>
        <v>156.16968261787952</v>
      </c>
      <c r="M83" s="533">
        <f t="shared" si="34"/>
        <v>0</v>
      </c>
      <c r="N83" s="534">
        <f t="shared" si="35"/>
        <v>63.925222603327583</v>
      </c>
      <c r="O83" s="180"/>
      <c r="P83" s="519"/>
      <c r="Q83" s="519"/>
      <c r="R83" s="519"/>
      <c r="S83" s="520"/>
    </row>
    <row r="84" spans="2:19" ht="29" x14ac:dyDescent="0.35">
      <c r="B84" s="535" t="s">
        <v>226</v>
      </c>
      <c r="C84" s="536">
        <f>SUM(C82:C83)</f>
        <v>1058463.5957920665</v>
      </c>
      <c r="D84" s="503">
        <f>SUM(D82:D83)</f>
        <v>1054430.0870487627</v>
      </c>
      <c r="E84" s="503">
        <f>SUM(E82:E83)</f>
        <v>1067616.1459715585</v>
      </c>
      <c r="F84" s="503">
        <f>SUM(F82:F83)</f>
        <v>1098911.5784144776</v>
      </c>
      <c r="G84" s="519"/>
      <c r="H84" s="519"/>
      <c r="I84" s="526" t="s">
        <v>40</v>
      </c>
      <c r="J84" s="480">
        <f t="shared" si="31"/>
        <v>78.542814089874113</v>
      </c>
      <c r="K84" s="532">
        <f t="shared" si="32"/>
        <v>24.652604715479988</v>
      </c>
      <c r="L84" s="480">
        <f t="shared" si="33"/>
        <v>53.890209374394125</v>
      </c>
      <c r="M84" s="533">
        <f t="shared" si="34"/>
        <v>0</v>
      </c>
      <c r="N84" s="534">
        <f t="shared" si="35"/>
        <v>24.652604715479988</v>
      </c>
      <c r="O84" s="180"/>
      <c r="P84" s="519"/>
      <c r="Q84" s="519"/>
      <c r="R84" s="519"/>
      <c r="S84" s="520"/>
    </row>
    <row r="85" spans="2:19" x14ac:dyDescent="0.35">
      <c r="B85" s="149" t="s">
        <v>198</v>
      </c>
      <c r="C85" s="537"/>
      <c r="D85" s="538">
        <f>LN(D84/C84)*4</f>
        <v>-1.5271998494973954E-2</v>
      </c>
      <c r="E85" s="538">
        <f>LN(E84/D84)*4</f>
        <v>4.9711371728462669E-2</v>
      </c>
      <c r="F85" s="538">
        <f>LN(F84/E84)*4</f>
        <v>0.11556781493560431</v>
      </c>
      <c r="G85" s="519"/>
      <c r="H85" s="519"/>
      <c r="I85" s="526" t="s">
        <v>41</v>
      </c>
      <c r="J85" s="480">
        <f t="shared" si="31"/>
        <v>111.97081385131793</v>
      </c>
      <c r="K85" s="532">
        <f t="shared" si="32"/>
        <v>41.113944367654639</v>
      </c>
      <c r="L85" s="480">
        <f t="shared" si="33"/>
        <v>70.856869483663289</v>
      </c>
      <c r="M85" s="533">
        <f t="shared" si="34"/>
        <v>0</v>
      </c>
      <c r="N85" s="534">
        <f t="shared" si="35"/>
        <v>41.113944367654639</v>
      </c>
      <c r="O85" s="180"/>
      <c r="P85" s="519"/>
      <c r="Q85" s="519"/>
      <c r="R85" s="519"/>
      <c r="S85" s="520"/>
    </row>
    <row r="86" spans="2:19" x14ac:dyDescent="0.35">
      <c r="B86" s="180"/>
      <c r="C86" s="180"/>
      <c r="D86" s="180"/>
      <c r="E86" s="180"/>
      <c r="F86" s="180"/>
      <c r="G86" s="519"/>
      <c r="H86" s="519"/>
      <c r="I86" s="526" t="s">
        <v>42</v>
      </c>
      <c r="J86" s="480">
        <f t="shared" si="31"/>
        <v>145.87213102968619</v>
      </c>
      <c r="K86" s="532">
        <f t="shared" si="32"/>
        <v>44.472723483922948</v>
      </c>
      <c r="L86" s="480">
        <f t="shared" si="33"/>
        <v>101.39940754576324</v>
      </c>
      <c r="M86" s="533">
        <f t="shared" si="34"/>
        <v>0</v>
      </c>
      <c r="N86" s="534">
        <f t="shared" si="35"/>
        <v>44.472723483922948</v>
      </c>
      <c r="O86" s="180"/>
      <c r="P86" s="519"/>
      <c r="Q86" s="519"/>
      <c r="R86" s="519"/>
      <c r="S86" s="520"/>
    </row>
    <row r="87" spans="2:19" x14ac:dyDescent="0.35">
      <c r="B87" s="180"/>
      <c r="C87" s="180"/>
      <c r="D87" s="180"/>
      <c r="E87" s="180"/>
      <c r="F87" s="180"/>
      <c r="G87" s="519"/>
      <c r="H87" s="519"/>
      <c r="I87" s="526" t="s">
        <v>180</v>
      </c>
      <c r="J87" s="480">
        <f t="shared" si="31"/>
        <v>3146.5780476536288</v>
      </c>
      <c r="K87" s="532">
        <f t="shared" si="32"/>
        <v>910.51013964651088</v>
      </c>
      <c r="L87" s="480">
        <f t="shared" si="33"/>
        <v>2236.0679080071177</v>
      </c>
      <c r="M87" s="533">
        <f t="shared" si="34"/>
        <v>0</v>
      </c>
      <c r="N87" s="534">
        <f t="shared" si="35"/>
        <v>910.51013964651088</v>
      </c>
      <c r="O87" s="180"/>
      <c r="P87" s="519"/>
      <c r="Q87" s="519"/>
      <c r="R87" s="519"/>
      <c r="S87" s="520"/>
    </row>
    <row r="88" spans="2:19" x14ac:dyDescent="0.35">
      <c r="B88" s="180"/>
      <c r="C88" s="522"/>
      <c r="D88" s="520"/>
      <c r="E88" s="522"/>
      <c r="F88" s="523"/>
      <c r="G88" s="519"/>
      <c r="H88" s="519"/>
      <c r="I88" s="539" t="s">
        <v>43</v>
      </c>
      <c r="J88" s="540">
        <f t="shared" si="31"/>
        <v>450.08015112007604</v>
      </c>
      <c r="K88" s="541">
        <f t="shared" si="32"/>
        <v>139.79299698377139</v>
      </c>
      <c r="L88" s="540">
        <f t="shared" si="33"/>
        <v>310.28715413630465</v>
      </c>
      <c r="M88" s="542">
        <f t="shared" si="34"/>
        <v>0</v>
      </c>
      <c r="N88" s="543">
        <f t="shared" si="35"/>
        <v>139.79299698377139</v>
      </c>
      <c r="O88" s="180"/>
      <c r="P88" s="519"/>
      <c r="Q88" s="519"/>
      <c r="R88" s="519"/>
      <c r="S88" s="520"/>
    </row>
    <row r="89" spans="2:19" x14ac:dyDescent="0.35">
      <c r="B89" s="180"/>
      <c r="C89" s="522"/>
      <c r="D89" s="520"/>
      <c r="E89" s="522"/>
      <c r="F89" s="523"/>
      <c r="G89" s="519"/>
      <c r="H89" s="519"/>
      <c r="I89" s="520"/>
      <c r="J89" s="180"/>
      <c r="K89" s="519"/>
      <c r="L89" s="519"/>
      <c r="M89" s="519"/>
      <c r="N89" s="520"/>
      <c r="O89" s="520"/>
      <c r="P89" s="519"/>
      <c r="Q89" s="519"/>
      <c r="R89" s="519"/>
      <c r="S89" s="520"/>
    </row>
    <row r="90" spans="2:19" x14ac:dyDescent="0.35">
      <c r="B90" s="180"/>
      <c r="C90" s="522"/>
      <c r="D90" s="520"/>
      <c r="E90" s="522"/>
      <c r="F90" s="523"/>
      <c r="G90" s="519"/>
      <c r="H90" s="519"/>
      <c r="I90" s="520"/>
      <c r="J90" s="180"/>
      <c r="K90" s="519"/>
      <c r="L90" s="519"/>
      <c r="M90" s="519"/>
      <c r="N90" s="520"/>
      <c r="O90" s="520"/>
      <c r="P90" s="519"/>
      <c r="Q90" s="519"/>
      <c r="R90" s="519"/>
      <c r="S90" s="520"/>
    </row>
    <row r="91" spans="2:19" x14ac:dyDescent="0.35">
      <c r="B91" s="180"/>
      <c r="C91" s="522"/>
      <c r="D91" s="520"/>
      <c r="E91" s="522"/>
      <c r="F91" s="523"/>
      <c r="G91" s="519"/>
      <c r="H91" s="519"/>
      <c r="I91" s="770" t="s">
        <v>181</v>
      </c>
      <c r="J91" s="772" t="s">
        <v>176</v>
      </c>
      <c r="K91" s="773"/>
      <c r="L91" s="774" t="s">
        <v>79</v>
      </c>
      <c r="M91" s="775"/>
      <c r="N91" s="775"/>
      <c r="O91" s="776"/>
      <c r="P91" s="774" t="s">
        <v>81</v>
      </c>
      <c r="Q91" s="775"/>
      <c r="R91" s="775"/>
      <c r="S91" s="776"/>
    </row>
    <row r="92" spans="2:19" ht="29.25" customHeight="1" x14ac:dyDescent="0.35">
      <c r="B92" s="180"/>
      <c r="C92" s="522"/>
      <c r="D92" s="520"/>
      <c r="E92" s="522"/>
      <c r="F92" s="523"/>
      <c r="G92" s="519"/>
      <c r="H92" s="519"/>
      <c r="I92" s="771"/>
      <c r="J92" s="384" t="s">
        <v>224</v>
      </c>
      <c r="K92" s="385" t="s">
        <v>207</v>
      </c>
      <c r="L92" s="383" t="s">
        <v>227</v>
      </c>
      <c r="M92" s="777" t="s">
        <v>224</v>
      </c>
      <c r="N92" s="778"/>
      <c r="O92" s="545" t="s">
        <v>209</v>
      </c>
      <c r="P92" s="383" t="s">
        <v>227</v>
      </c>
      <c r="Q92" s="777" t="s">
        <v>224</v>
      </c>
      <c r="R92" s="778"/>
      <c r="S92" s="545" t="s">
        <v>209</v>
      </c>
    </row>
    <row r="93" spans="2:19" x14ac:dyDescent="0.35">
      <c r="B93" s="180"/>
      <c r="C93" s="522"/>
      <c r="D93" s="520"/>
      <c r="E93" s="522"/>
      <c r="F93" s="523"/>
      <c r="G93" s="519"/>
      <c r="H93" s="519"/>
      <c r="I93" s="546" t="s">
        <v>39</v>
      </c>
      <c r="J93" s="547" t="s">
        <v>228</v>
      </c>
      <c r="K93" s="426">
        <f>J81</f>
        <v>7729.6373779317419</v>
      </c>
      <c r="L93" s="426">
        <f>J67</f>
        <v>20577.529156011147</v>
      </c>
      <c r="M93" s="446" t="s">
        <v>229</v>
      </c>
      <c r="N93" s="426">
        <f>-(L81)</f>
        <v>-5858.9529092034554</v>
      </c>
      <c r="O93" s="530">
        <f>K93+N93</f>
        <v>1870.6844687282864</v>
      </c>
      <c r="P93" s="473">
        <f>O67</f>
        <v>0</v>
      </c>
      <c r="Q93" s="446" t="s">
        <v>229</v>
      </c>
      <c r="R93" s="548">
        <f>-(N81)</f>
        <v>-1870.6844687282862</v>
      </c>
      <c r="S93" s="549">
        <f>O93+R93</f>
        <v>0</v>
      </c>
    </row>
    <row r="94" spans="2:19" x14ac:dyDescent="0.35">
      <c r="B94" s="180"/>
      <c r="C94" s="522"/>
      <c r="D94" s="520"/>
      <c r="E94" s="522"/>
      <c r="F94" s="523"/>
      <c r="G94" s="519"/>
      <c r="H94" s="519"/>
      <c r="I94" s="526" t="s">
        <v>0</v>
      </c>
      <c r="J94" s="550" t="s">
        <v>228</v>
      </c>
      <c r="K94" s="425">
        <f t="shared" ref="K94:K100" si="36">J82</f>
        <v>2174.6992011306425</v>
      </c>
      <c r="L94" s="425">
        <f t="shared" ref="L94:L100" si="37">J68</f>
        <v>20577.529156011147</v>
      </c>
      <c r="M94" s="451" t="s">
        <v>229</v>
      </c>
      <c r="N94" s="425">
        <f t="shared" ref="N94:N100" si="38">-(L82)</f>
        <v>-1519.3638776907969</v>
      </c>
      <c r="O94" s="534">
        <f t="shared" ref="O94:O100" si="39">K94+N94</f>
        <v>655.33532343984552</v>
      </c>
      <c r="P94" s="474">
        <f t="shared" ref="P94:P100" si="40">O68</f>
        <v>0</v>
      </c>
      <c r="Q94" s="451" t="s">
        <v>229</v>
      </c>
      <c r="R94" s="551">
        <f t="shared" ref="R94:R100" si="41">-(N82)</f>
        <v>-655.33532343984552</v>
      </c>
      <c r="S94" s="534">
        <f t="shared" ref="S94:S100" si="42">O94+R94</f>
        <v>0</v>
      </c>
    </row>
    <row r="95" spans="2:19" x14ac:dyDescent="0.35">
      <c r="B95" s="180"/>
      <c r="C95" s="522"/>
      <c r="D95" s="520"/>
      <c r="E95" s="522"/>
      <c r="F95" s="523"/>
      <c r="G95" s="519"/>
      <c r="H95" s="519"/>
      <c r="I95" s="526" t="s">
        <v>2</v>
      </c>
      <c r="J95" s="550" t="s">
        <v>228</v>
      </c>
      <c r="K95" s="425">
        <f t="shared" si="36"/>
        <v>220.09490522120709</v>
      </c>
      <c r="L95" s="425">
        <f t="shared" si="37"/>
        <v>20577.529156011147</v>
      </c>
      <c r="M95" s="451" t="s">
        <v>229</v>
      </c>
      <c r="N95" s="425">
        <f t="shared" si="38"/>
        <v>-156.16968261787952</v>
      </c>
      <c r="O95" s="534">
        <f t="shared" si="39"/>
        <v>63.925222603327569</v>
      </c>
      <c r="P95" s="474">
        <f t="shared" si="40"/>
        <v>0</v>
      </c>
      <c r="Q95" s="451" t="s">
        <v>229</v>
      </c>
      <c r="R95" s="551">
        <f t="shared" si="41"/>
        <v>-63.925222603327583</v>
      </c>
      <c r="S95" s="534">
        <f t="shared" si="42"/>
        <v>0</v>
      </c>
    </row>
    <row r="96" spans="2:19" x14ac:dyDescent="0.35">
      <c r="B96" s="180"/>
      <c r="C96" s="522"/>
      <c r="D96" s="520"/>
      <c r="E96" s="522"/>
      <c r="F96" s="523"/>
      <c r="G96" s="519"/>
      <c r="H96" s="519"/>
      <c r="I96" s="526" t="s">
        <v>40</v>
      </c>
      <c r="J96" s="550" t="s">
        <v>228</v>
      </c>
      <c r="K96" s="425">
        <f t="shared" si="36"/>
        <v>78.542814089874113</v>
      </c>
      <c r="L96" s="425">
        <f t="shared" si="37"/>
        <v>20577.529156011147</v>
      </c>
      <c r="M96" s="451" t="s">
        <v>229</v>
      </c>
      <c r="N96" s="425">
        <f t="shared" si="38"/>
        <v>-53.890209374394125</v>
      </c>
      <c r="O96" s="534">
        <f t="shared" si="39"/>
        <v>24.652604715479988</v>
      </c>
      <c r="P96" s="474">
        <f t="shared" si="40"/>
        <v>0</v>
      </c>
      <c r="Q96" s="451" t="s">
        <v>229</v>
      </c>
      <c r="R96" s="551">
        <f t="shared" si="41"/>
        <v>-24.652604715479988</v>
      </c>
      <c r="S96" s="534">
        <f t="shared" si="42"/>
        <v>0</v>
      </c>
    </row>
    <row r="97" spans="2:19" x14ac:dyDescent="0.35">
      <c r="B97" s="180"/>
      <c r="C97" s="522"/>
      <c r="D97" s="520"/>
      <c r="E97" s="522"/>
      <c r="F97" s="523"/>
      <c r="G97" s="519"/>
      <c r="H97" s="519"/>
      <c r="I97" s="526" t="s">
        <v>41</v>
      </c>
      <c r="J97" s="550" t="s">
        <v>228</v>
      </c>
      <c r="K97" s="425">
        <f t="shared" si="36"/>
        <v>111.97081385131793</v>
      </c>
      <c r="L97" s="425">
        <f t="shared" si="37"/>
        <v>20577.529156011147</v>
      </c>
      <c r="M97" s="451" t="s">
        <v>229</v>
      </c>
      <c r="N97" s="425">
        <f t="shared" si="38"/>
        <v>-70.856869483663289</v>
      </c>
      <c r="O97" s="534">
        <f t="shared" si="39"/>
        <v>41.113944367654639</v>
      </c>
      <c r="P97" s="474">
        <f t="shared" si="40"/>
        <v>0</v>
      </c>
      <c r="Q97" s="451" t="s">
        <v>229</v>
      </c>
      <c r="R97" s="551">
        <f t="shared" si="41"/>
        <v>-41.113944367654639</v>
      </c>
      <c r="S97" s="534">
        <f t="shared" si="42"/>
        <v>0</v>
      </c>
    </row>
    <row r="98" spans="2:19" x14ac:dyDescent="0.35">
      <c r="B98" s="180"/>
      <c r="C98" s="522"/>
      <c r="D98" s="520"/>
      <c r="E98" s="522"/>
      <c r="F98" s="523"/>
      <c r="G98" s="519"/>
      <c r="H98" s="519"/>
      <c r="I98" s="526" t="s">
        <v>42</v>
      </c>
      <c r="J98" s="550" t="s">
        <v>228</v>
      </c>
      <c r="K98" s="425">
        <f t="shared" si="36"/>
        <v>145.87213102968619</v>
      </c>
      <c r="L98" s="425">
        <f t="shared" si="37"/>
        <v>20577.529156011147</v>
      </c>
      <c r="M98" s="451" t="s">
        <v>229</v>
      </c>
      <c r="N98" s="425">
        <f t="shared" si="38"/>
        <v>-101.39940754576324</v>
      </c>
      <c r="O98" s="534">
        <f t="shared" si="39"/>
        <v>44.472723483922948</v>
      </c>
      <c r="P98" s="474">
        <f t="shared" si="40"/>
        <v>0</v>
      </c>
      <c r="Q98" s="451" t="s">
        <v>229</v>
      </c>
      <c r="R98" s="551">
        <f t="shared" si="41"/>
        <v>-44.472723483922948</v>
      </c>
      <c r="S98" s="534">
        <f t="shared" si="42"/>
        <v>0</v>
      </c>
    </row>
    <row r="99" spans="2:19" x14ac:dyDescent="0.35">
      <c r="B99" s="180"/>
      <c r="C99" s="522"/>
      <c r="D99" s="520"/>
      <c r="E99" s="522"/>
      <c r="F99" s="523"/>
      <c r="G99" s="519"/>
      <c r="H99" s="519"/>
      <c r="I99" s="526" t="s">
        <v>180</v>
      </c>
      <c r="J99" s="550" t="s">
        <v>228</v>
      </c>
      <c r="K99" s="425">
        <f t="shared" si="36"/>
        <v>3146.5780476536288</v>
      </c>
      <c r="L99" s="425">
        <f t="shared" si="37"/>
        <v>20577.529156011147</v>
      </c>
      <c r="M99" s="451" t="s">
        <v>229</v>
      </c>
      <c r="N99" s="425">
        <f t="shared" si="38"/>
        <v>-2236.0679080071177</v>
      </c>
      <c r="O99" s="534">
        <f t="shared" si="39"/>
        <v>910.51013964651111</v>
      </c>
      <c r="P99" s="474">
        <f t="shared" si="40"/>
        <v>0</v>
      </c>
      <c r="Q99" s="451" t="s">
        <v>229</v>
      </c>
      <c r="R99" s="551">
        <f t="shared" si="41"/>
        <v>-910.51013964651088</v>
      </c>
      <c r="S99" s="534">
        <f t="shared" si="42"/>
        <v>0</v>
      </c>
    </row>
    <row r="100" spans="2:19" x14ac:dyDescent="0.35">
      <c r="B100" s="180"/>
      <c r="C100" s="522"/>
      <c r="D100" s="520"/>
      <c r="E100" s="522"/>
      <c r="F100" s="523"/>
      <c r="G100" s="519"/>
      <c r="H100" s="519"/>
      <c r="I100" s="539" t="s">
        <v>43</v>
      </c>
      <c r="J100" s="552" t="s">
        <v>228</v>
      </c>
      <c r="K100" s="553">
        <f t="shared" si="36"/>
        <v>450.08015112007604</v>
      </c>
      <c r="L100" s="553">
        <f t="shared" si="37"/>
        <v>20577.529156011147</v>
      </c>
      <c r="M100" s="554" t="s">
        <v>229</v>
      </c>
      <c r="N100" s="553">
        <f t="shared" si="38"/>
        <v>-310.28715413630465</v>
      </c>
      <c r="O100" s="543">
        <f t="shared" si="39"/>
        <v>139.79299698377139</v>
      </c>
      <c r="P100" s="555">
        <f t="shared" si="40"/>
        <v>0</v>
      </c>
      <c r="Q100" s="554" t="s">
        <v>229</v>
      </c>
      <c r="R100" s="556">
        <f t="shared" si="41"/>
        <v>-139.79299698377139</v>
      </c>
      <c r="S100" s="543">
        <f t="shared" si="42"/>
        <v>0</v>
      </c>
    </row>
    <row r="101" spans="2:19" x14ac:dyDescent="0.35">
      <c r="B101" s="180"/>
      <c r="C101" s="522"/>
      <c r="D101" s="520"/>
      <c r="E101" s="522"/>
      <c r="F101" s="523"/>
      <c r="G101" s="519"/>
      <c r="H101" s="519"/>
      <c r="I101" s="557"/>
      <c r="J101" s="180"/>
      <c r="K101" s="558"/>
      <c r="L101" s="558"/>
      <c r="M101" s="180"/>
      <c r="N101" s="558"/>
      <c r="O101" s="559"/>
      <c r="P101" s="558"/>
      <c r="Q101" s="180"/>
      <c r="R101" s="560"/>
      <c r="S101" s="559"/>
    </row>
    <row r="102" spans="2:19" x14ac:dyDescent="0.35">
      <c r="B102" s="180"/>
      <c r="C102" s="522"/>
      <c r="D102" s="520"/>
      <c r="E102" s="522"/>
      <c r="F102" s="523"/>
      <c r="G102" s="519"/>
      <c r="H102" s="519"/>
      <c r="I102" s="557"/>
      <c r="J102" s="180"/>
      <c r="K102" s="558"/>
      <c r="L102" s="558"/>
      <c r="M102" s="180"/>
      <c r="N102" s="558"/>
      <c r="O102" s="559"/>
      <c r="P102" s="558"/>
      <c r="Q102" s="180"/>
      <c r="R102" s="560"/>
      <c r="S102" s="559"/>
    </row>
    <row r="103" spans="2:19" x14ac:dyDescent="0.35">
      <c r="B103" s="180"/>
      <c r="C103" s="522"/>
      <c r="D103" s="520"/>
      <c r="E103" s="522"/>
      <c r="F103" s="523"/>
      <c r="G103" s="519"/>
      <c r="H103" s="519"/>
      <c r="I103" s="557"/>
      <c r="J103" s="180"/>
      <c r="K103" s="558"/>
      <c r="L103" s="558"/>
      <c r="M103" s="180"/>
      <c r="N103" s="558"/>
      <c r="O103" s="559"/>
      <c r="P103" s="558"/>
      <c r="Q103" s="180"/>
      <c r="R103" s="560"/>
      <c r="S103" s="559"/>
    </row>
    <row r="104" spans="2:19" x14ac:dyDescent="0.35">
      <c r="B104" s="180"/>
      <c r="C104" s="522"/>
      <c r="D104" s="520"/>
      <c r="E104" s="522"/>
      <c r="F104" s="523"/>
      <c r="G104" s="519"/>
      <c r="H104" s="519"/>
      <c r="I104" s="557"/>
      <c r="J104" s="180"/>
      <c r="K104" s="558"/>
      <c r="L104" s="558"/>
      <c r="M104" s="180"/>
      <c r="N104" s="558"/>
      <c r="O104" s="559"/>
      <c r="P104" s="558"/>
      <c r="Q104" s="180"/>
      <c r="R104" s="560"/>
      <c r="S104" s="559"/>
    </row>
    <row r="105" spans="2:19" ht="15" thickBot="1" x14ac:dyDescent="0.4">
      <c r="B105" s="180"/>
      <c r="C105" s="522"/>
      <c r="D105" s="520"/>
      <c r="E105" s="522"/>
      <c r="F105" s="523"/>
      <c r="G105" s="519"/>
      <c r="H105" s="519"/>
      <c r="I105" s="557"/>
      <c r="J105" s="180"/>
      <c r="K105" s="558"/>
      <c r="L105" s="558"/>
      <c r="M105" s="180"/>
      <c r="N105" s="558"/>
      <c r="O105" s="559"/>
      <c r="P105" s="558"/>
      <c r="Q105" s="180"/>
      <c r="R105" s="560"/>
      <c r="S105" s="559"/>
    </row>
    <row r="106" spans="2:19" ht="22" thickTop="1" thickBot="1" x14ac:dyDescent="0.55000000000000004">
      <c r="B106" s="695" t="s">
        <v>230</v>
      </c>
      <c r="C106" s="695"/>
      <c r="D106" s="695"/>
      <c r="E106" s="695"/>
      <c r="F106" s="695"/>
      <c r="G106" s="695"/>
      <c r="H106" s="695"/>
      <c r="I106" s="695"/>
      <c r="J106" s="695"/>
      <c r="K106" s="695"/>
      <c r="L106" s="695"/>
      <c r="M106" s="180"/>
      <c r="N106" s="180"/>
      <c r="O106" s="180"/>
      <c r="P106" s="180"/>
      <c r="Q106" s="180"/>
      <c r="R106" s="180"/>
      <c r="S106" s="180"/>
    </row>
    <row r="107" spans="2:19" ht="15" thickTop="1" x14ac:dyDescent="0.35"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</row>
    <row r="108" spans="2:19" ht="18.5" x14ac:dyDescent="0.45">
      <c r="B108" s="561"/>
      <c r="C108" s="562"/>
      <c r="D108" s="562"/>
      <c r="E108" s="562"/>
      <c r="F108" s="562"/>
      <c r="G108" s="562"/>
      <c r="H108" s="562"/>
      <c r="I108" s="562"/>
      <c r="J108" s="562"/>
      <c r="K108" s="562"/>
      <c r="L108" s="180"/>
      <c r="M108" s="180"/>
      <c r="N108" s="180"/>
      <c r="O108" s="180"/>
      <c r="P108" s="180"/>
      <c r="Q108" s="180"/>
      <c r="R108" s="180"/>
      <c r="S108" s="180"/>
    </row>
    <row r="109" spans="2:19" x14ac:dyDescent="0.35">
      <c r="B109" s="722" t="s">
        <v>72</v>
      </c>
      <c r="C109" s="724"/>
      <c r="D109" s="722" t="s">
        <v>176</v>
      </c>
      <c r="E109" s="723"/>
      <c r="F109" s="724"/>
      <c r="G109" s="743" t="s">
        <v>79</v>
      </c>
      <c r="H109" s="744"/>
      <c r="I109" s="743" t="s">
        <v>81</v>
      </c>
      <c r="J109" s="744"/>
      <c r="K109" s="743" t="s">
        <v>77</v>
      </c>
      <c r="L109" s="744"/>
      <c r="M109" s="180"/>
      <c r="N109" s="180"/>
      <c r="O109" s="180"/>
      <c r="P109" s="180"/>
      <c r="Q109" s="180"/>
      <c r="R109" s="180"/>
      <c r="S109" s="180"/>
    </row>
    <row r="110" spans="2:19" x14ac:dyDescent="0.35">
      <c r="B110" s="745" t="s">
        <v>231</v>
      </c>
      <c r="C110" s="746"/>
      <c r="D110" s="312"/>
      <c r="E110" s="376"/>
      <c r="F110" s="319">
        <f>F6</f>
        <v>1000000</v>
      </c>
      <c r="G110" s="379"/>
      <c r="H110" s="380">
        <f>H122+H123</f>
        <v>998484.26631403796</v>
      </c>
      <c r="I110" s="379"/>
      <c r="J110" s="380">
        <f>J122+J123</f>
        <v>979141.30589146493</v>
      </c>
      <c r="K110" s="379"/>
      <c r="L110" s="380">
        <f>L122+L123</f>
        <v>1044836.8463085911</v>
      </c>
      <c r="M110" s="180"/>
      <c r="N110" s="180"/>
      <c r="O110" s="180"/>
      <c r="P110" s="180"/>
      <c r="Q110" s="180"/>
      <c r="R110" s="180"/>
      <c r="S110" s="180"/>
    </row>
    <row r="111" spans="2:19" x14ac:dyDescent="0.35">
      <c r="B111" s="745" t="s">
        <v>232</v>
      </c>
      <c r="C111" s="746"/>
      <c r="D111" s="312"/>
      <c r="E111" s="376"/>
      <c r="F111" s="563">
        <v>0.5</v>
      </c>
      <c r="G111" s="379"/>
      <c r="H111" s="380"/>
      <c r="I111" s="379"/>
      <c r="J111" s="380"/>
      <c r="K111" s="379"/>
      <c r="L111" s="380"/>
      <c r="M111" s="180"/>
      <c r="N111" s="180"/>
      <c r="O111" s="180"/>
      <c r="P111" s="180"/>
      <c r="Q111" s="180"/>
      <c r="R111" s="180"/>
      <c r="S111" s="180"/>
    </row>
    <row r="112" spans="2:19" x14ac:dyDescent="0.35">
      <c r="B112" s="757" t="s">
        <v>233</v>
      </c>
      <c r="C112" s="758"/>
      <c r="D112" s="312"/>
      <c r="E112" s="376"/>
      <c r="F112" s="563">
        <v>0.5</v>
      </c>
      <c r="G112" s="379"/>
      <c r="H112" s="380"/>
      <c r="I112" s="379"/>
      <c r="J112" s="380"/>
      <c r="K112" s="379"/>
      <c r="L112" s="380"/>
      <c r="M112" s="180"/>
      <c r="N112" s="180"/>
      <c r="O112" s="180"/>
      <c r="P112" s="180"/>
      <c r="Q112" s="180"/>
      <c r="R112" s="180"/>
      <c r="S112" s="180"/>
    </row>
    <row r="113" spans="2:19" ht="29" x14ac:dyDescent="0.35">
      <c r="B113" s="381" t="s">
        <v>181</v>
      </c>
      <c r="C113" s="564" t="s">
        <v>175</v>
      </c>
      <c r="D113" s="469" t="s">
        <v>205</v>
      </c>
      <c r="E113" s="381" t="s">
        <v>206</v>
      </c>
      <c r="F113" s="544" t="s">
        <v>207</v>
      </c>
      <c r="G113" s="381" t="s">
        <v>206</v>
      </c>
      <c r="H113" s="564" t="s">
        <v>195</v>
      </c>
      <c r="I113" s="381" t="s">
        <v>206</v>
      </c>
      <c r="J113" s="544" t="s">
        <v>195</v>
      </c>
      <c r="K113" s="381" t="s">
        <v>206</v>
      </c>
      <c r="L113" s="544" t="s">
        <v>195</v>
      </c>
      <c r="M113" s="180"/>
      <c r="N113" s="180"/>
      <c r="O113" s="180"/>
      <c r="P113" s="180"/>
      <c r="Q113" s="180"/>
      <c r="R113" s="180"/>
      <c r="S113" s="180"/>
    </row>
    <row r="114" spans="2:19" x14ac:dyDescent="0.35">
      <c r="B114" s="387" t="str">
        <f>B67</f>
        <v>UCB</v>
      </c>
      <c r="C114" s="579">
        <f>1/8</f>
        <v>0.125</v>
      </c>
      <c r="D114" s="527">
        <f t="shared" ref="D114:D121" si="43">$F$110*$F$111*C114</f>
        <v>62500</v>
      </c>
      <c r="E114" s="565">
        <f t="shared" ref="E114:E121" si="44">E9</f>
        <v>9.1999999999999993</v>
      </c>
      <c r="F114" s="527">
        <f>D114/E114</f>
        <v>6793.4782608695659</v>
      </c>
      <c r="G114" s="566">
        <f t="shared" ref="G114:G121" si="45">H9</f>
        <v>11</v>
      </c>
      <c r="H114" s="426">
        <f>G114*F114</f>
        <v>74728.260869565231</v>
      </c>
      <c r="I114" s="566">
        <f t="shared" ref="I114:I121" si="46">M9</f>
        <v>9.9</v>
      </c>
      <c r="J114" s="426">
        <f>I114*F114</f>
        <v>67255.434782608703</v>
      </c>
      <c r="K114" s="566">
        <f t="shared" ref="K114:K121" si="47">R9</f>
        <v>10.6</v>
      </c>
      <c r="L114" s="426">
        <f>K114*F114</f>
        <v>72010.869565217392</v>
      </c>
      <c r="M114" s="180"/>
      <c r="N114" s="180"/>
      <c r="O114" s="180"/>
      <c r="P114" s="180"/>
      <c r="Q114" s="180"/>
      <c r="R114" s="180"/>
      <c r="S114" s="180"/>
    </row>
    <row r="115" spans="2:19" x14ac:dyDescent="0.35">
      <c r="B115" s="393" t="str">
        <f t="shared" ref="B115:B121" si="48">B68</f>
        <v>IDLC</v>
      </c>
      <c r="C115" s="315">
        <f t="shared" ref="C115:C121" si="49">1/8</f>
        <v>0.125</v>
      </c>
      <c r="D115" s="480">
        <f t="shared" si="43"/>
        <v>62500</v>
      </c>
      <c r="E115" s="390">
        <f t="shared" si="44"/>
        <v>32.700000000000003</v>
      </c>
      <c r="F115" s="480">
        <f t="shared" ref="F115:F121" si="50">D115/E115</f>
        <v>1911.3149847094799</v>
      </c>
      <c r="G115" s="392">
        <f t="shared" si="45"/>
        <v>31.4</v>
      </c>
      <c r="H115" s="425">
        <f t="shared" ref="H115:H121" si="51">G115*F115</f>
        <v>60015.290519877664</v>
      </c>
      <c r="I115" s="392">
        <f t="shared" si="46"/>
        <v>29</v>
      </c>
      <c r="J115" s="425">
        <f t="shared" ref="J115:J121" si="52">I115*F115</f>
        <v>55428.134556574914</v>
      </c>
      <c r="K115" s="392">
        <f t="shared" si="47"/>
        <v>41.2</v>
      </c>
      <c r="L115" s="425">
        <f t="shared" ref="L115:L121" si="53">K115*F115</f>
        <v>78746.177370030578</v>
      </c>
      <c r="M115" s="180"/>
      <c r="N115" s="180"/>
      <c r="O115" s="180"/>
      <c r="P115" s="180"/>
      <c r="Q115" s="180"/>
      <c r="R115" s="180"/>
      <c r="S115" s="180"/>
    </row>
    <row r="116" spans="2:19" x14ac:dyDescent="0.35">
      <c r="B116" s="393" t="str">
        <f t="shared" si="48"/>
        <v>GP</v>
      </c>
      <c r="C116" s="315">
        <f t="shared" si="49"/>
        <v>0.125</v>
      </c>
      <c r="D116" s="480">
        <f t="shared" si="43"/>
        <v>62500</v>
      </c>
      <c r="E116" s="390">
        <f t="shared" si="44"/>
        <v>323.10000000000002</v>
      </c>
      <c r="F116" s="480">
        <f t="shared" si="50"/>
        <v>193.4385639121015</v>
      </c>
      <c r="G116" s="392">
        <f t="shared" si="45"/>
        <v>321.89999999999998</v>
      </c>
      <c r="H116" s="425">
        <f t="shared" si="51"/>
        <v>62267.873723305471</v>
      </c>
      <c r="I116" s="392">
        <f t="shared" si="46"/>
        <v>303.10000000000002</v>
      </c>
      <c r="J116" s="425">
        <f t="shared" si="52"/>
        <v>58631.228721757972</v>
      </c>
      <c r="K116" s="392">
        <f t="shared" si="47"/>
        <v>299</v>
      </c>
      <c r="L116" s="425">
        <f t="shared" si="53"/>
        <v>57838.130609718348</v>
      </c>
      <c r="M116" s="180"/>
      <c r="N116" s="180"/>
      <c r="O116" s="180"/>
      <c r="P116" s="180"/>
      <c r="Q116" s="180"/>
      <c r="R116" s="180"/>
      <c r="S116" s="180"/>
    </row>
    <row r="117" spans="2:19" x14ac:dyDescent="0.35">
      <c r="B117" s="393" t="str">
        <f t="shared" si="48"/>
        <v>BATASHOE</v>
      </c>
      <c r="C117" s="315">
        <f t="shared" si="49"/>
        <v>0.125</v>
      </c>
      <c r="D117" s="480">
        <f t="shared" si="43"/>
        <v>62500</v>
      </c>
      <c r="E117" s="390">
        <f t="shared" si="44"/>
        <v>905.4</v>
      </c>
      <c r="F117" s="480">
        <f t="shared" si="50"/>
        <v>69.030262867241007</v>
      </c>
      <c r="G117" s="392">
        <f t="shared" si="45"/>
        <v>834.7</v>
      </c>
      <c r="H117" s="425">
        <f t="shared" si="51"/>
        <v>57619.560415286069</v>
      </c>
      <c r="I117" s="392">
        <f t="shared" si="46"/>
        <v>802.7</v>
      </c>
      <c r="J117" s="425">
        <f t="shared" si="52"/>
        <v>55410.592003534359</v>
      </c>
      <c r="K117" s="392">
        <f t="shared" si="47"/>
        <v>877.7</v>
      </c>
      <c r="L117" s="425">
        <f t="shared" si="53"/>
        <v>60587.861718577435</v>
      </c>
      <c r="M117" s="180"/>
      <c r="N117" s="180"/>
      <c r="O117" s="180"/>
      <c r="P117" s="180"/>
      <c r="Q117" s="180"/>
      <c r="R117" s="180"/>
      <c r="S117" s="180"/>
    </row>
    <row r="118" spans="2:19" x14ac:dyDescent="0.35">
      <c r="B118" s="393" t="str">
        <f t="shared" si="48"/>
        <v>RENATA</v>
      </c>
      <c r="C118" s="315">
        <f t="shared" si="49"/>
        <v>0.125</v>
      </c>
      <c r="D118" s="480">
        <f t="shared" si="43"/>
        <v>62500</v>
      </c>
      <c r="E118" s="390">
        <f t="shared" si="44"/>
        <v>635.1</v>
      </c>
      <c r="F118" s="480">
        <f t="shared" si="50"/>
        <v>98.409699259959055</v>
      </c>
      <c r="G118" s="392">
        <f t="shared" si="45"/>
        <v>500.5</v>
      </c>
      <c r="H118" s="425">
        <f t="shared" si="51"/>
        <v>49254.054479609506</v>
      </c>
      <c r="I118" s="392">
        <f t="shared" si="46"/>
        <v>488.4</v>
      </c>
      <c r="J118" s="425">
        <f t="shared" si="52"/>
        <v>48063.297118563998</v>
      </c>
      <c r="K118" s="392">
        <f t="shared" si="47"/>
        <v>480.4</v>
      </c>
      <c r="L118" s="425">
        <f t="shared" si="53"/>
        <v>47276.019524484327</v>
      </c>
      <c r="M118" s="180"/>
      <c r="N118" s="180"/>
      <c r="O118" s="180"/>
      <c r="P118" s="180"/>
      <c r="Q118" s="180"/>
      <c r="R118" s="180"/>
      <c r="S118" s="180"/>
    </row>
    <row r="119" spans="2:19" x14ac:dyDescent="0.35">
      <c r="B119" s="393" t="str">
        <f t="shared" si="48"/>
        <v>WALTONHIL</v>
      </c>
      <c r="C119" s="315">
        <f t="shared" si="49"/>
        <v>0.125</v>
      </c>
      <c r="D119" s="480">
        <f t="shared" si="43"/>
        <v>62500</v>
      </c>
      <c r="E119" s="390">
        <f t="shared" si="44"/>
        <v>487.5</v>
      </c>
      <c r="F119" s="480">
        <f t="shared" si="50"/>
        <v>128.2051282051282</v>
      </c>
      <c r="G119" s="392">
        <f t="shared" si="45"/>
        <v>462.7</v>
      </c>
      <c r="H119" s="425">
        <f t="shared" si="51"/>
        <v>59320.51282051282</v>
      </c>
      <c r="I119" s="392">
        <f t="shared" si="46"/>
        <v>406.3</v>
      </c>
      <c r="J119" s="425">
        <f t="shared" si="52"/>
        <v>52089.743589743593</v>
      </c>
      <c r="K119" s="392">
        <f t="shared" si="47"/>
        <v>419.9</v>
      </c>
      <c r="L119" s="425">
        <f t="shared" si="53"/>
        <v>53833.333333333328</v>
      </c>
      <c r="M119" s="180"/>
      <c r="N119" s="180"/>
      <c r="O119" s="180"/>
      <c r="P119" s="180"/>
      <c r="Q119" s="180"/>
      <c r="R119" s="180"/>
      <c r="S119" s="180"/>
    </row>
    <row r="120" spans="2:19" x14ac:dyDescent="0.35">
      <c r="B120" s="393" t="str">
        <f t="shared" si="48"/>
        <v>RAKC</v>
      </c>
      <c r="C120" s="315">
        <f t="shared" si="49"/>
        <v>0.125</v>
      </c>
      <c r="D120" s="480">
        <f t="shared" si="43"/>
        <v>62500</v>
      </c>
      <c r="E120" s="390">
        <f t="shared" si="44"/>
        <v>22.6</v>
      </c>
      <c r="F120" s="480">
        <f t="shared" si="50"/>
        <v>2765.4867256637167</v>
      </c>
      <c r="G120" s="392">
        <f t="shared" si="45"/>
        <v>22.6</v>
      </c>
      <c r="H120" s="425">
        <f t="shared" si="51"/>
        <v>62500</v>
      </c>
      <c r="I120" s="392">
        <f t="shared" si="46"/>
        <v>19.2</v>
      </c>
      <c r="J120" s="425">
        <f t="shared" si="52"/>
        <v>53097.345132743358</v>
      </c>
      <c r="K120" s="392">
        <f t="shared" si="47"/>
        <v>25.1</v>
      </c>
      <c r="L120" s="425">
        <f t="shared" si="53"/>
        <v>69413.716814159299</v>
      </c>
      <c r="M120" s="180"/>
      <c r="N120" s="180"/>
      <c r="O120" s="180"/>
      <c r="P120" s="180"/>
      <c r="Q120" s="180"/>
      <c r="R120" s="180"/>
      <c r="S120" s="180"/>
    </row>
    <row r="121" spans="2:19" x14ac:dyDescent="0.35">
      <c r="B121" s="394" t="str">
        <f t="shared" si="48"/>
        <v>OLYMPIC</v>
      </c>
      <c r="C121" s="315">
        <f t="shared" si="49"/>
        <v>0.125</v>
      </c>
      <c r="D121" s="480">
        <f t="shared" si="43"/>
        <v>62500</v>
      </c>
      <c r="E121" s="390">
        <f t="shared" si="44"/>
        <v>158</v>
      </c>
      <c r="F121" s="480">
        <f t="shared" si="50"/>
        <v>395.56962025316454</v>
      </c>
      <c r="G121" s="392">
        <f t="shared" si="45"/>
        <v>147.19999999999999</v>
      </c>
      <c r="H121" s="425">
        <f t="shared" si="51"/>
        <v>58227.848101265816</v>
      </c>
      <c r="I121" s="392">
        <f t="shared" si="46"/>
        <v>153.5</v>
      </c>
      <c r="J121" s="425">
        <f t="shared" si="52"/>
        <v>60719.936708860754</v>
      </c>
      <c r="K121" s="392">
        <f t="shared" si="47"/>
        <v>154.69999999999999</v>
      </c>
      <c r="L121" s="425">
        <f t="shared" si="53"/>
        <v>61194.620253164554</v>
      </c>
      <c r="M121" s="180"/>
      <c r="N121" s="180"/>
      <c r="O121" s="180"/>
      <c r="P121" s="180"/>
      <c r="Q121" s="180"/>
      <c r="R121" s="180"/>
      <c r="S121" s="180"/>
    </row>
    <row r="122" spans="2:19" x14ac:dyDescent="0.35">
      <c r="B122" s="514" t="s">
        <v>210</v>
      </c>
      <c r="C122" s="398"/>
      <c r="D122" s="430">
        <f>SUM(D114:D121)</f>
        <v>500000</v>
      </c>
      <c r="E122" s="398"/>
      <c r="F122" s="398"/>
      <c r="G122" s="400"/>
      <c r="H122" s="430">
        <f>SUM(H114:H121)</f>
        <v>483933.40092942258</v>
      </c>
      <c r="I122" s="400"/>
      <c r="J122" s="430">
        <f>SUM(J114:J121)</f>
        <v>450695.71261438768</v>
      </c>
      <c r="K122" s="400"/>
      <c r="L122" s="430">
        <f>SUM(L114:L121)</f>
        <v>500900.72918868525</v>
      </c>
      <c r="M122" s="180"/>
      <c r="N122" s="180"/>
      <c r="O122" s="180"/>
      <c r="P122" s="180"/>
      <c r="Q122" s="180"/>
      <c r="R122" s="180"/>
      <c r="S122" s="180"/>
    </row>
    <row r="123" spans="2:19" x14ac:dyDescent="0.35">
      <c r="B123" s="514" t="s">
        <v>234</v>
      </c>
      <c r="C123" s="491"/>
      <c r="D123" s="515">
        <f>F110*F112</f>
        <v>500000</v>
      </c>
      <c r="E123" s="491"/>
      <c r="F123" s="491"/>
      <c r="G123" s="516"/>
      <c r="H123" s="515">
        <f>D123*EXP(D59)</f>
        <v>514550.86538461538</v>
      </c>
      <c r="I123" s="516"/>
      <c r="J123" s="515">
        <f>H123*EXP(E59)</f>
        <v>528445.59327707731</v>
      </c>
      <c r="K123" s="516"/>
      <c r="L123" s="515">
        <f>J123*EXP(F59)</f>
        <v>543936.11711990577</v>
      </c>
      <c r="M123" s="180"/>
      <c r="N123" s="180"/>
      <c r="O123" s="180"/>
      <c r="P123" s="180"/>
      <c r="Q123" s="180"/>
      <c r="R123" s="180"/>
      <c r="S123" s="180"/>
    </row>
    <row r="124" spans="2:19" x14ac:dyDescent="0.35"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</row>
    <row r="125" spans="2:19" x14ac:dyDescent="0.35"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</row>
    <row r="126" spans="2:19" x14ac:dyDescent="0.35">
      <c r="B126" s="374" t="s">
        <v>60</v>
      </c>
      <c r="C126" s="326" t="s">
        <v>176</v>
      </c>
      <c r="D126" s="325" t="s">
        <v>79</v>
      </c>
      <c r="E126" s="325" t="s">
        <v>81</v>
      </c>
      <c r="F126" s="327" t="s">
        <v>77</v>
      </c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</row>
    <row r="127" spans="2:19" x14ac:dyDescent="0.35">
      <c r="B127" s="92" t="s">
        <v>235</v>
      </c>
      <c r="C127" s="389">
        <f>D122</f>
        <v>500000</v>
      </c>
      <c r="D127" s="480">
        <f>H122</f>
        <v>483933.40092942258</v>
      </c>
      <c r="E127" s="480">
        <f>J122</f>
        <v>450695.71261438768</v>
      </c>
      <c r="F127" s="391">
        <f>L122</f>
        <v>500900.72918868525</v>
      </c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</row>
    <row r="128" spans="2:19" x14ac:dyDescent="0.35">
      <c r="B128" s="92" t="s">
        <v>222</v>
      </c>
      <c r="C128" s="389">
        <f>D123</f>
        <v>500000</v>
      </c>
      <c r="D128" s="480">
        <f>H123</f>
        <v>514550.86538461538</v>
      </c>
      <c r="E128" s="480">
        <f>J123</f>
        <v>528445.59327707731</v>
      </c>
      <c r="F128" s="391">
        <f>L123</f>
        <v>543936.11711990577</v>
      </c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</row>
    <row r="129" spans="2:19" x14ac:dyDescent="0.35">
      <c r="B129" s="567" t="s">
        <v>236</v>
      </c>
      <c r="C129" s="568">
        <f>SUM(C127:C128)</f>
        <v>1000000</v>
      </c>
      <c r="D129" s="569">
        <f>SUM(D127:D128)</f>
        <v>998484.26631403796</v>
      </c>
      <c r="E129" s="569">
        <f>SUM(E127:E128)</f>
        <v>979141.30589146493</v>
      </c>
      <c r="F129" s="570">
        <f>SUM(F127:F128)</f>
        <v>1044836.8463085911</v>
      </c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</row>
    <row r="130" spans="2:19" x14ac:dyDescent="0.35">
      <c r="B130" s="571" t="s">
        <v>198</v>
      </c>
      <c r="C130" s="312"/>
      <c r="D130" s="314">
        <f>LN(D129/C129)*4</f>
        <v>-6.0675342894399723E-3</v>
      </c>
      <c r="E130" s="314">
        <f>LN(E129/D129)*4</f>
        <v>-7.8249705308224546E-2</v>
      </c>
      <c r="F130" s="315">
        <f>LN(F129/E129)*4</f>
        <v>0.2597602207703727</v>
      </c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</row>
    <row r="131" spans="2:19" x14ac:dyDescent="0.35">
      <c r="B131" s="149" t="s">
        <v>237</v>
      </c>
      <c r="C131" s="537"/>
      <c r="D131" s="572"/>
      <c r="E131" s="573">
        <f>E130-D130</f>
        <v>-7.2182171018784574E-2</v>
      </c>
      <c r="F131" s="574">
        <f>F130-E130</f>
        <v>0.33800992607859726</v>
      </c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</row>
    <row r="132" spans="2:19" x14ac:dyDescent="0.35">
      <c r="B132" s="521"/>
      <c r="C132" s="522"/>
      <c r="D132" s="520"/>
      <c r="E132" s="522"/>
      <c r="F132" s="523"/>
      <c r="G132" s="519"/>
      <c r="H132" s="519"/>
      <c r="I132" s="557"/>
      <c r="J132" s="180"/>
      <c r="K132" s="558"/>
      <c r="L132" s="558"/>
      <c r="M132" s="180"/>
      <c r="N132" s="558"/>
      <c r="O132" s="559"/>
      <c r="P132" s="558"/>
      <c r="Q132" s="180"/>
      <c r="R132" s="560"/>
      <c r="S132" s="559"/>
    </row>
    <row r="134" spans="2:19" ht="15" thickBot="1" x14ac:dyDescent="0.4"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</row>
    <row r="135" spans="2:19" ht="24.5" thickTop="1" thickBot="1" x14ac:dyDescent="0.6">
      <c r="B135" s="712" t="s">
        <v>238</v>
      </c>
      <c r="C135" s="712"/>
      <c r="D135" s="712"/>
      <c r="E135" s="712"/>
      <c r="F135" s="712"/>
      <c r="G135" s="712"/>
      <c r="H135" s="712"/>
      <c r="I135" s="712"/>
      <c r="J135" s="712"/>
      <c r="K135" s="712"/>
      <c r="L135" s="712"/>
      <c r="M135" s="712"/>
      <c r="N135" s="712"/>
      <c r="O135" s="712"/>
      <c r="P135" s="712"/>
      <c r="Q135" s="712"/>
      <c r="R135" s="712"/>
      <c r="S135" s="712"/>
    </row>
    <row r="136" spans="2:19" ht="15" thickTop="1" x14ac:dyDescent="0.35"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</row>
    <row r="137" spans="2:19" x14ac:dyDescent="0.35"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</row>
    <row r="138" spans="2:19" x14ac:dyDescent="0.35">
      <c r="B138" s="722" t="s">
        <v>72</v>
      </c>
      <c r="C138" s="724"/>
      <c r="D138" s="722" t="s">
        <v>176</v>
      </c>
      <c r="E138" s="723"/>
      <c r="F138" s="724"/>
      <c r="G138" s="743" t="s">
        <v>79</v>
      </c>
      <c r="H138" s="742"/>
      <c r="I138" s="742"/>
      <c r="J138" s="742"/>
      <c r="K138" s="744"/>
      <c r="L138" s="743" t="s">
        <v>81</v>
      </c>
      <c r="M138" s="742"/>
      <c r="N138" s="742"/>
      <c r="O138" s="742"/>
      <c r="P138" s="744"/>
      <c r="Q138" s="753" t="s">
        <v>77</v>
      </c>
      <c r="R138" s="754"/>
      <c r="S138" s="755"/>
    </row>
    <row r="139" spans="2:19" x14ac:dyDescent="0.35">
      <c r="B139" s="745" t="s">
        <v>231</v>
      </c>
      <c r="C139" s="746"/>
      <c r="D139" s="415"/>
      <c r="E139" s="416"/>
      <c r="F139" s="319">
        <f>F6</f>
        <v>1000000</v>
      </c>
      <c r="G139" s="379"/>
      <c r="H139" s="377"/>
      <c r="I139" s="377"/>
      <c r="J139" s="377"/>
      <c r="K139" s="465">
        <f>I151+I152</f>
        <v>998484.26631403796</v>
      </c>
      <c r="L139" s="379"/>
      <c r="M139" s="377"/>
      <c r="N139" s="377"/>
      <c r="O139" s="377"/>
      <c r="P139" s="465">
        <f>N151+N152</f>
        <v>979085.13549248572</v>
      </c>
      <c r="Q139" s="379"/>
      <c r="R139" s="377"/>
      <c r="S139" s="380">
        <f>S151+S152</f>
        <v>1048723.3942013737</v>
      </c>
    </row>
    <row r="140" spans="2:19" x14ac:dyDescent="0.35">
      <c r="B140" s="745" t="s">
        <v>232</v>
      </c>
      <c r="C140" s="746"/>
      <c r="D140" s="415"/>
      <c r="E140" s="416"/>
      <c r="F140" s="563">
        <v>0.5</v>
      </c>
      <c r="G140" s="379"/>
      <c r="H140" s="377"/>
      <c r="I140" s="377"/>
      <c r="J140" s="377"/>
      <c r="K140" s="563">
        <f>F140</f>
        <v>0.5</v>
      </c>
      <c r="L140" s="379"/>
      <c r="M140" s="377"/>
      <c r="N140" s="377"/>
      <c r="O140" s="377"/>
      <c r="P140" s="575">
        <f>F140</f>
        <v>0.5</v>
      </c>
      <c r="Q140" s="379"/>
      <c r="R140" s="377"/>
      <c r="S140" s="380"/>
    </row>
    <row r="141" spans="2:19" x14ac:dyDescent="0.35">
      <c r="B141" s="757" t="s">
        <v>233</v>
      </c>
      <c r="C141" s="758"/>
      <c r="D141" s="415"/>
      <c r="E141" s="416"/>
      <c r="F141" s="563">
        <v>0.5</v>
      </c>
      <c r="G141" s="379"/>
      <c r="H141" s="377"/>
      <c r="I141" s="377"/>
      <c r="J141" s="377"/>
      <c r="K141" s="563">
        <f>F141</f>
        <v>0.5</v>
      </c>
      <c r="L141" s="379"/>
      <c r="M141" s="377"/>
      <c r="N141" s="377"/>
      <c r="O141" s="377"/>
      <c r="P141" s="575">
        <f>F141</f>
        <v>0.5</v>
      </c>
      <c r="Q141" s="379"/>
      <c r="R141" s="377"/>
      <c r="S141" s="380"/>
    </row>
    <row r="142" spans="2:19" ht="29" x14ac:dyDescent="0.35">
      <c r="B142" s="469" t="s">
        <v>181</v>
      </c>
      <c r="C142" s="383" t="s">
        <v>175</v>
      </c>
      <c r="D142" s="383" t="s">
        <v>205</v>
      </c>
      <c r="E142" s="384" t="s">
        <v>206</v>
      </c>
      <c r="F142" s="385" t="s">
        <v>207</v>
      </c>
      <c r="G142" s="383" t="s">
        <v>208</v>
      </c>
      <c r="H142" s="384" t="s">
        <v>206</v>
      </c>
      <c r="I142" s="382" t="s">
        <v>195</v>
      </c>
      <c r="J142" s="384" t="s">
        <v>205</v>
      </c>
      <c r="K142" s="385" t="s">
        <v>209</v>
      </c>
      <c r="L142" s="383" t="s">
        <v>208</v>
      </c>
      <c r="M142" s="384" t="s">
        <v>206</v>
      </c>
      <c r="N142" s="382" t="s">
        <v>195</v>
      </c>
      <c r="O142" s="384" t="s">
        <v>205</v>
      </c>
      <c r="P142" s="384" t="s">
        <v>209</v>
      </c>
      <c r="Q142" s="383" t="s">
        <v>208</v>
      </c>
      <c r="R142" s="384" t="s">
        <v>206</v>
      </c>
      <c r="S142" s="384" t="s">
        <v>195</v>
      </c>
    </row>
    <row r="143" spans="2:19" x14ac:dyDescent="0.35">
      <c r="B143" s="387" t="str">
        <f>B114</f>
        <v>UCB</v>
      </c>
      <c r="C143" s="388">
        <f>1/8</f>
        <v>0.125</v>
      </c>
      <c r="D143" s="389">
        <f>$F$139*$F$140*C143</f>
        <v>62500</v>
      </c>
      <c r="E143" s="390">
        <f t="shared" ref="E143:E150" si="54">E9</f>
        <v>9.1999999999999993</v>
      </c>
      <c r="F143" s="391">
        <f>D143/E143</f>
        <v>6793.4782608695659</v>
      </c>
      <c r="G143" s="424">
        <f>F143</f>
        <v>6793.4782608695659</v>
      </c>
      <c r="H143" s="392">
        <f t="shared" ref="H143:H150" si="55">H9</f>
        <v>11</v>
      </c>
      <c r="I143" s="378">
        <f>H143*G143</f>
        <v>74728.260869565231</v>
      </c>
      <c r="J143" s="425">
        <f>$K$139*$K$140*C143</f>
        <v>62405.266644627372</v>
      </c>
      <c r="K143" s="380">
        <f>J143/H143</f>
        <v>5673.2060586024882</v>
      </c>
      <c r="L143" s="424">
        <f>K143</f>
        <v>5673.2060586024882</v>
      </c>
      <c r="M143" s="392">
        <f t="shared" ref="M143:M150" si="56">M9</f>
        <v>9.9</v>
      </c>
      <c r="N143" s="378">
        <f>L143*M143</f>
        <v>56164.739980164632</v>
      </c>
      <c r="O143" s="470">
        <f>$P$139*$P$140*C143</f>
        <v>61192.820968280357</v>
      </c>
      <c r="P143" s="471">
        <f>O143/M143</f>
        <v>6181.0930270990257</v>
      </c>
      <c r="Q143" s="472">
        <f>P143</f>
        <v>6181.0930270990257</v>
      </c>
      <c r="R143" s="392">
        <f t="shared" ref="R143:R150" si="57">R9</f>
        <v>10.6</v>
      </c>
      <c r="S143" s="473">
        <f>R143*Q143</f>
        <v>65519.586087249671</v>
      </c>
    </row>
    <row r="144" spans="2:19" x14ac:dyDescent="0.35">
      <c r="B144" s="393" t="str">
        <f t="shared" ref="B144:B150" si="58">B115</f>
        <v>IDLC</v>
      </c>
      <c r="C144" s="388">
        <f t="shared" ref="C144:C150" si="59">1/8</f>
        <v>0.125</v>
      </c>
      <c r="D144" s="389">
        <f t="shared" ref="D144:D150" si="60">$F$139*$F$140*C144</f>
        <v>62500</v>
      </c>
      <c r="E144" s="390">
        <f t="shared" si="54"/>
        <v>32.700000000000003</v>
      </c>
      <c r="F144" s="391">
        <f t="shared" ref="F144:F150" si="61">D144/E144</f>
        <v>1911.3149847094799</v>
      </c>
      <c r="G144" s="424">
        <f t="shared" ref="G144:G150" si="62">F144</f>
        <v>1911.3149847094799</v>
      </c>
      <c r="H144" s="392">
        <f t="shared" si="55"/>
        <v>31.4</v>
      </c>
      <c r="I144" s="378">
        <f t="shared" ref="I144:I150" si="63">H144*G144</f>
        <v>60015.290519877664</v>
      </c>
      <c r="J144" s="425">
        <f t="shared" ref="J144:J150" si="64">$K$139*$K$140*C144</f>
        <v>62405.266644627372</v>
      </c>
      <c r="K144" s="380">
        <f t="shared" ref="K144:K150" si="65">J144/H144</f>
        <v>1987.428874032719</v>
      </c>
      <c r="L144" s="424">
        <f t="shared" ref="L144:L150" si="66">K144</f>
        <v>1987.428874032719</v>
      </c>
      <c r="M144" s="392">
        <f t="shared" si="56"/>
        <v>29</v>
      </c>
      <c r="N144" s="378">
        <f t="shared" ref="N144:N150" si="67">L144*M144</f>
        <v>57635.437346948849</v>
      </c>
      <c r="O144" s="470">
        <f t="shared" ref="O144:O150" si="68">$P$139*$P$140*C144</f>
        <v>61192.820968280357</v>
      </c>
      <c r="P144" s="471">
        <f t="shared" ref="P144:P150" si="69">O144/M144</f>
        <v>2110.0972747682881</v>
      </c>
      <c r="Q144" s="472">
        <f t="shared" ref="Q144:Q150" si="70">P144</f>
        <v>2110.0972747682881</v>
      </c>
      <c r="R144" s="392">
        <f t="shared" si="57"/>
        <v>41.2</v>
      </c>
      <c r="S144" s="474">
        <f t="shared" ref="S144:S150" si="71">R144*Q144</f>
        <v>86936.007720453475</v>
      </c>
    </row>
    <row r="145" spans="2:19" x14ac:dyDescent="0.35">
      <c r="B145" s="393" t="str">
        <f t="shared" si="58"/>
        <v>GP</v>
      </c>
      <c r="C145" s="388">
        <f t="shared" si="59"/>
        <v>0.125</v>
      </c>
      <c r="D145" s="389">
        <f t="shared" si="60"/>
        <v>62500</v>
      </c>
      <c r="E145" s="390">
        <f t="shared" si="54"/>
        <v>323.10000000000002</v>
      </c>
      <c r="F145" s="391">
        <f t="shared" si="61"/>
        <v>193.4385639121015</v>
      </c>
      <c r="G145" s="424">
        <f t="shared" si="62"/>
        <v>193.4385639121015</v>
      </c>
      <c r="H145" s="392">
        <f t="shared" si="55"/>
        <v>321.89999999999998</v>
      </c>
      <c r="I145" s="378">
        <f t="shared" si="63"/>
        <v>62267.873723305471</v>
      </c>
      <c r="J145" s="425">
        <f t="shared" si="64"/>
        <v>62405.266644627372</v>
      </c>
      <c r="K145" s="380">
        <f t="shared" si="65"/>
        <v>193.86538255553705</v>
      </c>
      <c r="L145" s="424">
        <f t="shared" si="66"/>
        <v>193.86538255553705</v>
      </c>
      <c r="M145" s="392">
        <f t="shared" si="56"/>
        <v>303.10000000000002</v>
      </c>
      <c r="N145" s="378">
        <f t="shared" si="67"/>
        <v>58760.597452583286</v>
      </c>
      <c r="O145" s="470">
        <f t="shared" si="68"/>
        <v>61192.820968280357</v>
      </c>
      <c r="P145" s="471">
        <f t="shared" si="69"/>
        <v>201.88987452418459</v>
      </c>
      <c r="Q145" s="472">
        <f t="shared" si="70"/>
        <v>201.88987452418459</v>
      </c>
      <c r="R145" s="392">
        <f t="shared" si="57"/>
        <v>299</v>
      </c>
      <c r="S145" s="474">
        <f t="shared" si="71"/>
        <v>60365.072482731193</v>
      </c>
    </row>
    <row r="146" spans="2:19" x14ac:dyDescent="0.35">
      <c r="B146" s="393" t="str">
        <f t="shared" si="58"/>
        <v>BATASHOE</v>
      </c>
      <c r="C146" s="388">
        <f t="shared" si="59"/>
        <v>0.125</v>
      </c>
      <c r="D146" s="389">
        <f t="shared" si="60"/>
        <v>62500</v>
      </c>
      <c r="E146" s="390">
        <f t="shared" si="54"/>
        <v>905.4</v>
      </c>
      <c r="F146" s="391">
        <f t="shared" si="61"/>
        <v>69.030262867241007</v>
      </c>
      <c r="G146" s="424">
        <f t="shared" si="62"/>
        <v>69.030262867241007</v>
      </c>
      <c r="H146" s="392">
        <f t="shared" si="55"/>
        <v>834.7</v>
      </c>
      <c r="I146" s="378">
        <f t="shared" si="63"/>
        <v>57619.560415286069</v>
      </c>
      <c r="J146" s="425">
        <f t="shared" si="64"/>
        <v>62405.266644627372</v>
      </c>
      <c r="K146" s="380">
        <f t="shared" si="65"/>
        <v>74.763707493263894</v>
      </c>
      <c r="L146" s="424">
        <f t="shared" si="66"/>
        <v>74.763707493263894</v>
      </c>
      <c r="M146" s="392">
        <f t="shared" si="56"/>
        <v>802.7</v>
      </c>
      <c r="N146" s="378">
        <f t="shared" si="67"/>
        <v>60012.82800484293</v>
      </c>
      <c r="O146" s="470">
        <f t="shared" si="68"/>
        <v>61192.820968280357</v>
      </c>
      <c r="P146" s="471">
        <f t="shared" si="69"/>
        <v>76.233737346804972</v>
      </c>
      <c r="Q146" s="472">
        <f t="shared" si="70"/>
        <v>76.233737346804972</v>
      </c>
      <c r="R146" s="392">
        <f t="shared" si="57"/>
        <v>877.7</v>
      </c>
      <c r="S146" s="474">
        <f t="shared" si="71"/>
        <v>66910.351269290724</v>
      </c>
    </row>
    <row r="147" spans="2:19" x14ac:dyDescent="0.35">
      <c r="B147" s="393" t="str">
        <f t="shared" si="58"/>
        <v>RENATA</v>
      </c>
      <c r="C147" s="388">
        <f t="shared" si="59"/>
        <v>0.125</v>
      </c>
      <c r="D147" s="389">
        <f t="shared" si="60"/>
        <v>62500</v>
      </c>
      <c r="E147" s="390">
        <f t="shared" si="54"/>
        <v>635.1</v>
      </c>
      <c r="F147" s="391">
        <f t="shared" si="61"/>
        <v>98.409699259959055</v>
      </c>
      <c r="G147" s="424">
        <f t="shared" si="62"/>
        <v>98.409699259959055</v>
      </c>
      <c r="H147" s="392">
        <f t="shared" si="55"/>
        <v>500.5</v>
      </c>
      <c r="I147" s="378">
        <f t="shared" si="63"/>
        <v>49254.054479609506</v>
      </c>
      <c r="J147" s="425">
        <f t="shared" si="64"/>
        <v>62405.266644627372</v>
      </c>
      <c r="K147" s="380">
        <f t="shared" si="65"/>
        <v>124.68584744181294</v>
      </c>
      <c r="L147" s="424">
        <f t="shared" si="66"/>
        <v>124.68584744181294</v>
      </c>
      <c r="M147" s="392">
        <f t="shared" si="56"/>
        <v>488.4</v>
      </c>
      <c r="N147" s="378">
        <f t="shared" si="67"/>
        <v>60896.567890581435</v>
      </c>
      <c r="O147" s="470">
        <f t="shared" si="68"/>
        <v>61192.820968280357</v>
      </c>
      <c r="P147" s="471">
        <f t="shared" si="69"/>
        <v>125.29242622498026</v>
      </c>
      <c r="Q147" s="472">
        <f t="shared" si="70"/>
        <v>125.29242622498026</v>
      </c>
      <c r="R147" s="392">
        <f t="shared" si="57"/>
        <v>480.4</v>
      </c>
      <c r="S147" s="474">
        <f t="shared" si="71"/>
        <v>60190.481558480511</v>
      </c>
    </row>
    <row r="148" spans="2:19" x14ac:dyDescent="0.35">
      <c r="B148" s="393" t="str">
        <f t="shared" si="58"/>
        <v>WALTONHIL</v>
      </c>
      <c r="C148" s="388">
        <f t="shared" si="59"/>
        <v>0.125</v>
      </c>
      <c r="D148" s="389">
        <f t="shared" si="60"/>
        <v>62500</v>
      </c>
      <c r="E148" s="390">
        <f t="shared" si="54"/>
        <v>487.5</v>
      </c>
      <c r="F148" s="391">
        <f t="shared" si="61"/>
        <v>128.2051282051282</v>
      </c>
      <c r="G148" s="424">
        <f t="shared" si="62"/>
        <v>128.2051282051282</v>
      </c>
      <c r="H148" s="392">
        <f t="shared" si="55"/>
        <v>462.7</v>
      </c>
      <c r="I148" s="378">
        <f t="shared" si="63"/>
        <v>59320.51282051282</v>
      </c>
      <c r="J148" s="425">
        <f t="shared" si="64"/>
        <v>62405.266644627372</v>
      </c>
      <c r="K148" s="380">
        <f t="shared" si="65"/>
        <v>134.8719832388748</v>
      </c>
      <c r="L148" s="424">
        <f t="shared" si="66"/>
        <v>134.8719832388748</v>
      </c>
      <c r="M148" s="392">
        <f t="shared" si="56"/>
        <v>406.3</v>
      </c>
      <c r="N148" s="378">
        <f t="shared" si="67"/>
        <v>54798.486789954834</v>
      </c>
      <c r="O148" s="470">
        <f t="shared" si="68"/>
        <v>61192.820968280357</v>
      </c>
      <c r="P148" s="471">
        <f t="shared" si="69"/>
        <v>150.60994577474861</v>
      </c>
      <c r="Q148" s="472">
        <f t="shared" si="70"/>
        <v>150.60994577474861</v>
      </c>
      <c r="R148" s="392">
        <f t="shared" si="57"/>
        <v>419.9</v>
      </c>
      <c r="S148" s="474">
        <f t="shared" si="71"/>
        <v>63241.116230816937</v>
      </c>
    </row>
    <row r="149" spans="2:19" x14ac:dyDescent="0.35">
      <c r="B149" s="393" t="str">
        <f t="shared" si="58"/>
        <v>RAKC</v>
      </c>
      <c r="C149" s="388">
        <f t="shared" si="59"/>
        <v>0.125</v>
      </c>
      <c r="D149" s="389">
        <f t="shared" si="60"/>
        <v>62500</v>
      </c>
      <c r="E149" s="390">
        <f t="shared" si="54"/>
        <v>22.6</v>
      </c>
      <c r="F149" s="391">
        <f t="shared" si="61"/>
        <v>2765.4867256637167</v>
      </c>
      <c r="G149" s="424">
        <f t="shared" si="62"/>
        <v>2765.4867256637167</v>
      </c>
      <c r="H149" s="392">
        <f t="shared" si="55"/>
        <v>22.6</v>
      </c>
      <c r="I149" s="378">
        <f t="shared" si="63"/>
        <v>62500</v>
      </c>
      <c r="J149" s="425">
        <f t="shared" si="64"/>
        <v>62405.266644627372</v>
      </c>
      <c r="K149" s="380">
        <f t="shared" si="65"/>
        <v>2761.2949842755474</v>
      </c>
      <c r="L149" s="424">
        <f t="shared" si="66"/>
        <v>2761.2949842755474</v>
      </c>
      <c r="M149" s="392">
        <f t="shared" si="56"/>
        <v>19.2</v>
      </c>
      <c r="N149" s="378">
        <f t="shared" si="67"/>
        <v>53016.863698090507</v>
      </c>
      <c r="O149" s="470">
        <f t="shared" si="68"/>
        <v>61192.820968280357</v>
      </c>
      <c r="P149" s="471">
        <f t="shared" si="69"/>
        <v>3187.1260920979353</v>
      </c>
      <c r="Q149" s="472">
        <f t="shared" si="70"/>
        <v>3187.1260920979353</v>
      </c>
      <c r="R149" s="392">
        <f t="shared" si="57"/>
        <v>25.1</v>
      </c>
      <c r="S149" s="474">
        <f t="shared" si="71"/>
        <v>79996.86491165818</v>
      </c>
    </row>
    <row r="150" spans="2:19" x14ac:dyDescent="0.35">
      <c r="B150" s="394" t="str">
        <f t="shared" si="58"/>
        <v>OLYMPIC</v>
      </c>
      <c r="C150" s="388">
        <f t="shared" si="59"/>
        <v>0.125</v>
      </c>
      <c r="D150" s="389">
        <f t="shared" si="60"/>
        <v>62500</v>
      </c>
      <c r="E150" s="390">
        <f t="shared" si="54"/>
        <v>158</v>
      </c>
      <c r="F150" s="391">
        <f t="shared" si="61"/>
        <v>395.56962025316454</v>
      </c>
      <c r="G150" s="424">
        <f t="shared" si="62"/>
        <v>395.56962025316454</v>
      </c>
      <c r="H150" s="392">
        <f t="shared" si="55"/>
        <v>147.19999999999999</v>
      </c>
      <c r="I150" s="378">
        <f t="shared" si="63"/>
        <v>58227.848101265816</v>
      </c>
      <c r="J150" s="425">
        <f t="shared" si="64"/>
        <v>62405.266644627372</v>
      </c>
      <c r="K150" s="380">
        <f t="shared" si="65"/>
        <v>423.94882231404466</v>
      </c>
      <c r="L150" s="424">
        <f t="shared" si="66"/>
        <v>423.94882231404466</v>
      </c>
      <c r="M150" s="392">
        <f t="shared" si="56"/>
        <v>153.5</v>
      </c>
      <c r="N150" s="378">
        <f t="shared" si="67"/>
        <v>65076.144225205855</v>
      </c>
      <c r="O150" s="470">
        <f t="shared" si="68"/>
        <v>61192.820968280357</v>
      </c>
      <c r="P150" s="471">
        <f t="shared" si="69"/>
        <v>398.65029946762445</v>
      </c>
      <c r="Q150" s="472">
        <f t="shared" si="70"/>
        <v>398.65029946762445</v>
      </c>
      <c r="R150" s="392">
        <f t="shared" si="57"/>
        <v>154.69999999999999</v>
      </c>
      <c r="S150" s="474">
        <f t="shared" si="71"/>
        <v>61671.201327641495</v>
      </c>
    </row>
    <row r="151" spans="2:19" x14ac:dyDescent="0.35">
      <c r="B151" s="475" t="s">
        <v>210</v>
      </c>
      <c r="C151" s="428"/>
      <c r="D151" s="397">
        <f>SUM(D143:D150)</f>
        <v>500000</v>
      </c>
      <c r="E151" s="398"/>
      <c r="F151" s="399"/>
      <c r="G151" s="429"/>
      <c r="H151" s="400"/>
      <c r="I151" s="401">
        <f>SUM(I143:I150)</f>
        <v>483933.40092942258</v>
      </c>
      <c r="J151" s="430">
        <f>SUM(J143:J150)</f>
        <v>499242.13315701898</v>
      </c>
      <c r="K151" s="431"/>
      <c r="L151" s="429"/>
      <c r="M151" s="400"/>
      <c r="N151" s="401">
        <f>SUM(N143:N150)</f>
        <v>466361.66538837232</v>
      </c>
      <c r="O151" s="576">
        <f>SUM(O143:O150)</f>
        <v>489542.56774624292</v>
      </c>
      <c r="P151" s="477"/>
      <c r="Q151" s="478"/>
      <c r="R151" s="400"/>
      <c r="S151" s="479">
        <f>SUM(S143:S150)</f>
        <v>544830.68158832216</v>
      </c>
    </row>
    <row r="152" spans="2:19" s="61" customFormat="1" x14ac:dyDescent="0.35">
      <c r="B152" s="577" t="s">
        <v>234</v>
      </c>
      <c r="C152" s="428"/>
      <c r="D152" s="397">
        <f>$F$139*$F$141</f>
        <v>500000</v>
      </c>
      <c r="E152" s="398"/>
      <c r="F152" s="399"/>
      <c r="G152" s="429"/>
      <c r="H152" s="400"/>
      <c r="I152" s="401">
        <f>D152*EXP(D59)</f>
        <v>514550.86538461538</v>
      </c>
      <c r="J152" s="430">
        <f>K139*K141</f>
        <v>499242.13315701898</v>
      </c>
      <c r="K152" s="431"/>
      <c r="L152" s="429"/>
      <c r="M152" s="400"/>
      <c r="N152" s="401">
        <f>J152*EXP(E59)</f>
        <v>512723.4701041134</v>
      </c>
      <c r="O152" s="576">
        <f>P139*P141</f>
        <v>489542.56774624286</v>
      </c>
      <c r="P152" s="477"/>
      <c r="Q152" s="478"/>
      <c r="R152" s="400"/>
      <c r="S152" s="576">
        <f>O152*EXP(F59)</f>
        <v>503892.71261305141</v>
      </c>
    </row>
    <row r="153" spans="2:19" x14ac:dyDescent="0.35"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</row>
    <row r="154" spans="2:19" x14ac:dyDescent="0.35"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</row>
    <row r="155" spans="2:19" x14ac:dyDescent="0.35">
      <c r="B155" s="374" t="s">
        <v>60</v>
      </c>
      <c r="C155" s="326" t="s">
        <v>176</v>
      </c>
      <c r="D155" s="325" t="s">
        <v>79</v>
      </c>
      <c r="E155" s="325" t="s">
        <v>81</v>
      </c>
      <c r="F155" s="327" t="s">
        <v>77</v>
      </c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</row>
    <row r="156" spans="2:19" x14ac:dyDescent="0.35">
      <c r="B156" s="92" t="s">
        <v>235</v>
      </c>
      <c r="C156" s="389">
        <f>D151</f>
        <v>500000</v>
      </c>
      <c r="D156" s="480">
        <f>I151</f>
        <v>483933.40092942258</v>
      </c>
      <c r="E156" s="480">
        <f>N151</f>
        <v>466361.66538837232</v>
      </c>
      <c r="F156" s="391">
        <f>S151</f>
        <v>544830.68158832216</v>
      </c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</row>
    <row r="157" spans="2:19" x14ac:dyDescent="0.35">
      <c r="B157" s="92" t="s">
        <v>222</v>
      </c>
      <c r="C157" s="389">
        <f>D152</f>
        <v>500000</v>
      </c>
      <c r="D157" s="480">
        <f>I152</f>
        <v>514550.86538461538</v>
      </c>
      <c r="E157" s="480">
        <f>N152</f>
        <v>512723.4701041134</v>
      </c>
      <c r="F157" s="391">
        <f>S152</f>
        <v>503892.71261305141</v>
      </c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</row>
    <row r="158" spans="2:19" x14ac:dyDescent="0.35">
      <c r="B158" s="567" t="s">
        <v>236</v>
      </c>
      <c r="C158" s="568">
        <f>SUM(C156:C157)</f>
        <v>1000000</v>
      </c>
      <c r="D158" s="569">
        <f>SUM(D156:D157)</f>
        <v>998484.26631403796</v>
      </c>
      <c r="E158" s="569">
        <f>SUM(E156:E157)</f>
        <v>979085.13549248572</v>
      </c>
      <c r="F158" s="570">
        <f>SUM(F156:F157)</f>
        <v>1048723.3942013737</v>
      </c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</row>
    <row r="159" spans="2:19" x14ac:dyDescent="0.35">
      <c r="B159" s="571" t="s">
        <v>198</v>
      </c>
      <c r="C159" s="312"/>
      <c r="D159" s="314">
        <f>LN(D158/C158)*4</f>
        <v>-6.0675342894399723E-3</v>
      </c>
      <c r="E159" s="314">
        <f>LN(E158/D158)*4</f>
        <v>-7.8479179889131195E-2</v>
      </c>
      <c r="F159" s="315">
        <f>LN(F158/E158)*4</f>
        <v>0.27484115186011454</v>
      </c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</row>
    <row r="160" spans="2:19" x14ac:dyDescent="0.35">
      <c r="B160" s="149" t="s">
        <v>199</v>
      </c>
      <c r="C160" s="537"/>
      <c r="D160" s="572"/>
      <c r="E160" s="573">
        <f>E159-D159</f>
        <v>-7.2411645599691224E-2</v>
      </c>
      <c r="F160" s="574">
        <f>F159-E159</f>
        <v>0.35332033174924571</v>
      </c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</row>
    <row r="161" spans="2:19" x14ac:dyDescent="0.35"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</row>
    <row r="162" spans="2:19" x14ac:dyDescent="0.35"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</row>
    <row r="163" spans="2:19" ht="15" thickBot="1" x14ac:dyDescent="0.4"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</row>
    <row r="164" spans="2:19" ht="22" thickTop="1" thickBot="1" x14ac:dyDescent="0.55000000000000004">
      <c r="B164" s="695" t="s">
        <v>239</v>
      </c>
      <c r="C164" s="695"/>
      <c r="D164" s="695"/>
      <c r="E164" s="695"/>
      <c r="F164" s="695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</row>
    <row r="165" spans="2:19" ht="15" thickTop="1" x14ac:dyDescent="0.35"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</row>
    <row r="166" spans="2:19" x14ac:dyDescent="0.35"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</row>
    <row r="167" spans="2:19" x14ac:dyDescent="0.35">
      <c r="B167" s="374" t="s">
        <v>60</v>
      </c>
      <c r="C167" s="326" t="s">
        <v>176</v>
      </c>
      <c r="D167" s="325" t="s">
        <v>79</v>
      </c>
      <c r="E167" s="325" t="s">
        <v>81</v>
      </c>
      <c r="F167" s="327" t="s">
        <v>77</v>
      </c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</row>
    <row r="168" spans="2:19" x14ac:dyDescent="0.35">
      <c r="B168" s="92" t="s">
        <v>222</v>
      </c>
      <c r="C168" s="389">
        <f>F6</f>
        <v>1000000</v>
      </c>
      <c r="D168" s="480">
        <f>C168*EXP(D59)</f>
        <v>1029101.7307692308</v>
      </c>
      <c r="E168" s="480">
        <f>D168*EXP(E59)</f>
        <v>1056891.1865541546</v>
      </c>
      <c r="F168" s="391">
        <f>E168*EXP(F59)</f>
        <v>1087872.2342398115</v>
      </c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</row>
    <row r="169" spans="2:19" x14ac:dyDescent="0.35">
      <c r="B169" s="92" t="s">
        <v>240</v>
      </c>
      <c r="C169" s="409">
        <v>0</v>
      </c>
      <c r="D169" s="533">
        <v>0</v>
      </c>
      <c r="E169" s="533">
        <v>0</v>
      </c>
      <c r="F169" s="408">
        <v>0</v>
      </c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</row>
    <row r="170" spans="2:19" x14ac:dyDescent="0.35">
      <c r="B170" s="567" t="s">
        <v>236</v>
      </c>
      <c r="C170" s="568">
        <f>SUM(C168:C169)</f>
        <v>1000000</v>
      </c>
      <c r="D170" s="569">
        <f>SUM(D168:D169)</f>
        <v>1029101.7307692308</v>
      </c>
      <c r="E170" s="569">
        <f>SUM(E168:E169)</f>
        <v>1056891.1865541546</v>
      </c>
      <c r="F170" s="570">
        <f>SUM(F168:F169)</f>
        <v>1087872.2342398115</v>
      </c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</row>
    <row r="171" spans="2:19" x14ac:dyDescent="0.35">
      <c r="B171" s="571" t="s">
        <v>198</v>
      </c>
      <c r="C171" s="312"/>
      <c r="D171" s="314">
        <f>LN(D170/C170)*4</f>
        <v>0.11474526274611838</v>
      </c>
      <c r="E171" s="314">
        <f>LN(E170/D170)*4</f>
        <v>0.1065817614111661</v>
      </c>
      <c r="F171" s="315">
        <f>LN(F170/E170)*4</f>
        <v>0.11556781493560431</v>
      </c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</row>
    <row r="172" spans="2:19" x14ac:dyDescent="0.35">
      <c r="B172" s="149" t="s">
        <v>199</v>
      </c>
      <c r="C172" s="537"/>
      <c r="D172" s="572"/>
      <c r="E172" s="573">
        <f>E171-D171</f>
        <v>-8.1635013349522778E-3</v>
      </c>
      <c r="F172" s="574">
        <f>F171-E171</f>
        <v>8.9860535244382089E-3</v>
      </c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</row>
  </sheetData>
  <mergeCells count="51">
    <mergeCell ref="B139:C139"/>
    <mergeCell ref="B140:C140"/>
    <mergeCell ref="B141:C141"/>
    <mergeCell ref="B164:F164"/>
    <mergeCell ref="B110:C110"/>
    <mergeCell ref="B111:C111"/>
    <mergeCell ref="B112:C112"/>
    <mergeCell ref="B135:S135"/>
    <mergeCell ref="B138:C138"/>
    <mergeCell ref="D138:F138"/>
    <mergeCell ref="G138:K138"/>
    <mergeCell ref="L138:P138"/>
    <mergeCell ref="Q138:S138"/>
    <mergeCell ref="B106:L106"/>
    <mergeCell ref="B109:C109"/>
    <mergeCell ref="D109:F109"/>
    <mergeCell ref="G109:H109"/>
    <mergeCell ref="I109:J109"/>
    <mergeCell ref="K109:L109"/>
    <mergeCell ref="I91:I92"/>
    <mergeCell ref="J91:K91"/>
    <mergeCell ref="L91:O91"/>
    <mergeCell ref="P91:S91"/>
    <mergeCell ref="M92:N92"/>
    <mergeCell ref="Q92:R92"/>
    <mergeCell ref="M79:N79"/>
    <mergeCell ref="B55:S55"/>
    <mergeCell ref="B58:C58"/>
    <mergeCell ref="B59:C59"/>
    <mergeCell ref="B62:C62"/>
    <mergeCell ref="D62:F62"/>
    <mergeCell ref="G62:K62"/>
    <mergeCell ref="L62:P62"/>
    <mergeCell ref="Q62:S62"/>
    <mergeCell ref="B63:C63"/>
    <mergeCell ref="B64:C64"/>
    <mergeCell ref="B65:C65"/>
    <mergeCell ref="I79:I80"/>
    <mergeCell ref="K79:L79"/>
    <mergeCell ref="B6:C6"/>
    <mergeCell ref="B7:C7"/>
    <mergeCell ref="H20:N20"/>
    <mergeCell ref="I21:J21"/>
    <mergeCell ref="K21:L21"/>
    <mergeCell ref="M21:N21"/>
    <mergeCell ref="B2:S2"/>
    <mergeCell ref="B5:C5"/>
    <mergeCell ref="D5:F5"/>
    <mergeCell ref="G5:K5"/>
    <mergeCell ref="L5:P5"/>
    <mergeCell ref="Q5:S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5C9C-69CC-40E3-AD3F-9772B497EBB3}">
  <dimension ref="B1:AC113"/>
  <sheetViews>
    <sheetView showGridLines="0" zoomScale="73" zoomScaleNormal="100" workbookViewId="0">
      <selection activeCell="J3" sqref="J3"/>
    </sheetView>
  </sheetViews>
  <sheetFormatPr defaultRowHeight="14.5" x14ac:dyDescent="0.35"/>
  <cols>
    <col min="1" max="1" width="6.81640625" style="7" customWidth="1"/>
    <col min="2" max="2" width="57.1796875" style="7" bestFit="1" customWidth="1"/>
    <col min="3" max="3" width="29.90625" style="7" bestFit="1" customWidth="1"/>
    <col min="4" max="4" width="13.453125" style="7" customWidth="1"/>
    <col min="5" max="5" width="10.54296875" style="7" bestFit="1" customWidth="1"/>
    <col min="6" max="6" width="14" style="7" bestFit="1" customWidth="1"/>
    <col min="7" max="8" width="10.54296875" style="7" bestFit="1" customWidth="1"/>
    <col min="9" max="10" width="8.7265625" style="7"/>
    <col min="11" max="11" width="59.90625" style="7" customWidth="1"/>
    <col min="12" max="12" width="14.36328125" style="61" customWidth="1"/>
    <col min="13" max="13" width="15.08984375" style="7" customWidth="1"/>
    <col min="14" max="14" width="11.08984375" style="7" customWidth="1"/>
    <col min="15" max="15" width="14.453125" style="7" customWidth="1"/>
    <col min="16" max="16" width="15.453125" style="7" customWidth="1"/>
    <col min="17" max="16384" width="8.7265625" style="7"/>
  </cols>
  <sheetData>
    <row r="1" spans="2:29" ht="15" thickBot="1" x14ac:dyDescent="0.4"/>
    <row r="2" spans="2:29" ht="22" thickTop="1" thickBot="1" x14ac:dyDescent="0.4">
      <c r="B2" s="756" t="s">
        <v>247</v>
      </c>
      <c r="C2" s="756"/>
      <c r="D2" s="756"/>
      <c r="E2" s="756"/>
      <c r="F2" s="756"/>
      <c r="G2" s="756"/>
      <c r="H2" s="756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5"/>
      <c r="AC2" s="305"/>
    </row>
    <row r="3" spans="2:29" ht="15" thickTop="1" x14ac:dyDescent="0.35"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304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</row>
    <row r="4" spans="2:29" x14ac:dyDescent="0.35">
      <c r="B4" s="325" t="s">
        <v>248</v>
      </c>
      <c r="C4" s="326" t="s">
        <v>60</v>
      </c>
      <c r="D4" s="325" t="s">
        <v>249</v>
      </c>
      <c r="E4" s="325" t="s">
        <v>176</v>
      </c>
      <c r="F4" s="326" t="s">
        <v>79</v>
      </c>
      <c r="G4" s="325" t="s">
        <v>81</v>
      </c>
      <c r="H4" s="327" t="s">
        <v>77</v>
      </c>
      <c r="I4" s="180"/>
      <c r="J4" s="180"/>
      <c r="L4" s="7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</row>
    <row r="5" spans="2:29" x14ac:dyDescent="0.35">
      <c r="B5" s="786" t="s">
        <v>251</v>
      </c>
      <c r="C5" s="306" t="s">
        <v>252</v>
      </c>
      <c r="D5" s="307"/>
      <c r="E5" s="308">
        <f>'Dynamic Asset Allocation'!J121</f>
        <v>1000000</v>
      </c>
      <c r="F5" s="309">
        <f>'Dynamic Asset Allocation'!L121</f>
        <v>1169344.8349991189</v>
      </c>
      <c r="G5" s="309">
        <f>'Dynamic Asset Allocation'!N121</f>
        <v>1181856.4256737451</v>
      </c>
      <c r="H5" s="310">
        <f>'Dynamic Asset Allocation'!P121</f>
        <v>1216500.6262697438</v>
      </c>
      <c r="I5" s="180"/>
      <c r="J5" s="180"/>
      <c r="L5" s="7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</row>
    <row r="6" spans="2:29" x14ac:dyDescent="0.35">
      <c r="B6" s="786"/>
      <c r="C6" s="311" t="s">
        <v>198</v>
      </c>
      <c r="D6" s="312"/>
      <c r="E6" s="313"/>
      <c r="F6" s="314">
        <f>LN(F5/E5)*4</f>
        <v>0.62577448752655596</v>
      </c>
      <c r="G6" s="314">
        <f>LN(G5/F5)*4</f>
        <v>4.2571289773697653E-2</v>
      </c>
      <c r="H6" s="315">
        <f>LN(H5/G5)*4</f>
        <v>0.1155678149160876</v>
      </c>
      <c r="I6" s="180"/>
      <c r="J6" s="180"/>
      <c r="L6" s="7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</row>
    <row r="7" spans="2:29" x14ac:dyDescent="0.35">
      <c r="B7" s="786"/>
      <c r="C7" s="311" t="s">
        <v>253</v>
      </c>
      <c r="D7" s="316">
        <f>AVERAGE(F6:H6)</f>
        <v>0.26130453073878041</v>
      </c>
      <c r="E7" s="317"/>
      <c r="F7" s="318"/>
      <c r="G7" s="318"/>
      <c r="H7" s="319"/>
      <c r="I7" s="180"/>
      <c r="J7" s="180"/>
      <c r="L7" s="7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</row>
    <row r="8" spans="2:29" x14ac:dyDescent="0.35">
      <c r="B8" s="786"/>
      <c r="C8" s="311" t="s">
        <v>250</v>
      </c>
      <c r="D8" s="317">
        <f>_xlfn.STDEV.P(F6:H6)</f>
        <v>0.25943642152606888</v>
      </c>
      <c r="E8" s="317"/>
      <c r="F8" s="318"/>
      <c r="G8" s="318"/>
      <c r="H8" s="319"/>
      <c r="I8" s="180"/>
      <c r="J8" s="180"/>
      <c r="L8" s="7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</row>
    <row r="9" spans="2:29" x14ac:dyDescent="0.35">
      <c r="B9" s="787"/>
      <c r="C9" s="320" t="s">
        <v>256</v>
      </c>
      <c r="D9" s="321">
        <f>D8/D7</f>
        <v>0.99285083497239845</v>
      </c>
      <c r="E9" s="322"/>
      <c r="F9" s="323"/>
      <c r="G9" s="323"/>
      <c r="H9" s="324"/>
      <c r="I9" s="180"/>
      <c r="J9" s="180"/>
      <c r="L9" s="7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</row>
    <row r="10" spans="2:29" x14ac:dyDescent="0.35">
      <c r="B10" s="180"/>
      <c r="C10" s="180"/>
      <c r="D10" s="180"/>
      <c r="E10" s="180"/>
      <c r="F10" s="180"/>
      <c r="G10" s="180"/>
      <c r="H10" s="180"/>
      <c r="I10" s="180"/>
      <c r="J10" s="180"/>
      <c r="L10" s="7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</row>
    <row r="11" spans="2:29" x14ac:dyDescent="0.35">
      <c r="B11" s="180"/>
      <c r="C11" s="180"/>
      <c r="D11" s="180"/>
      <c r="E11" s="180"/>
      <c r="F11" s="180"/>
      <c r="G11" s="180"/>
      <c r="H11" s="180"/>
      <c r="I11" s="180"/>
      <c r="J11" s="180"/>
      <c r="L11" s="7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</row>
    <row r="12" spans="2:29" x14ac:dyDescent="0.35">
      <c r="B12" s="325" t="s">
        <v>248</v>
      </c>
      <c r="C12" s="326" t="s">
        <v>60</v>
      </c>
      <c r="D12" s="325" t="s">
        <v>249</v>
      </c>
      <c r="E12" s="325" t="s">
        <v>176</v>
      </c>
      <c r="F12" s="326" t="s">
        <v>79</v>
      </c>
      <c r="G12" s="325" t="s">
        <v>81</v>
      </c>
      <c r="H12" s="327" t="s">
        <v>77</v>
      </c>
      <c r="I12" s="180"/>
      <c r="J12" s="180"/>
      <c r="L12" s="7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</row>
    <row r="13" spans="2:29" ht="15" customHeight="1" x14ac:dyDescent="0.35">
      <c r="B13" s="782" t="s">
        <v>254</v>
      </c>
      <c r="C13" s="329" t="s">
        <v>252</v>
      </c>
      <c r="D13" s="330"/>
      <c r="E13" s="331">
        <f>'Static Asset Allocation'!C39</f>
        <v>1000000</v>
      </c>
      <c r="F13" s="332">
        <f>'Static Asset Allocation'!D39</f>
        <v>998484.26631154527</v>
      </c>
      <c r="G13" s="332">
        <f>'Static Asset Allocation'!E39</f>
        <v>979141.30588652706</v>
      </c>
      <c r="H13" s="333">
        <f>'Static Asset Allocation'!F39</f>
        <v>1044836.8463008546</v>
      </c>
      <c r="I13" s="180"/>
      <c r="J13" s="180"/>
      <c r="L13" s="7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</row>
    <row r="14" spans="2:29" x14ac:dyDescent="0.35">
      <c r="B14" s="782"/>
      <c r="C14" s="249" t="s">
        <v>198</v>
      </c>
      <c r="D14" s="334"/>
      <c r="E14" s="335"/>
      <c r="F14" s="336">
        <f>LN(F13/E13)*4</f>
        <v>-6.0675342994257996E-3</v>
      </c>
      <c r="G14" s="336">
        <f>LN(G13/F13)*4</f>
        <v>-7.8249705318410773E-2</v>
      </c>
      <c r="H14" s="337">
        <f>LN(H13/G13)*4</f>
        <v>0.25976022076092653</v>
      </c>
      <c r="I14" s="180"/>
      <c r="J14" s="180"/>
      <c r="L14" s="7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</row>
    <row r="15" spans="2:29" x14ac:dyDescent="0.35">
      <c r="B15" s="782"/>
      <c r="C15" s="249" t="s">
        <v>253</v>
      </c>
      <c r="D15" s="338">
        <f>AVERAGE(F14:H14)</f>
        <v>5.848099371436332E-2</v>
      </c>
      <c r="E15" s="339"/>
      <c r="F15" s="340"/>
      <c r="G15" s="340"/>
      <c r="H15" s="341"/>
      <c r="I15" s="180"/>
      <c r="J15" s="180"/>
      <c r="L15" s="7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</row>
    <row r="16" spans="2:29" ht="15" customHeight="1" x14ac:dyDescent="0.35">
      <c r="B16" s="782"/>
      <c r="C16" s="249" t="s">
        <v>250</v>
      </c>
      <c r="D16" s="339">
        <f>_xlfn.STDEV.P(F14:H14)</f>
        <v>0.14534456046145416</v>
      </c>
      <c r="E16" s="339"/>
      <c r="F16" s="340"/>
      <c r="G16" s="340"/>
      <c r="H16" s="341"/>
      <c r="I16" s="180"/>
      <c r="J16" s="180"/>
      <c r="L16" s="7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</row>
    <row r="17" spans="2:29" x14ac:dyDescent="0.35">
      <c r="B17" s="783"/>
      <c r="C17" s="342" t="s">
        <v>256</v>
      </c>
      <c r="D17" s="343">
        <f>D16/D15</f>
        <v>2.4853298692453061</v>
      </c>
      <c r="E17" s="344"/>
      <c r="F17" s="345"/>
      <c r="G17" s="345"/>
      <c r="H17" s="346"/>
      <c r="I17" s="180"/>
      <c r="J17" s="180"/>
      <c r="L17" s="7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</row>
    <row r="18" spans="2:29" x14ac:dyDescent="0.35">
      <c r="B18" s="180"/>
      <c r="C18" s="180"/>
      <c r="D18" s="180"/>
      <c r="E18" s="180"/>
      <c r="F18" s="180"/>
      <c r="G18" s="180"/>
      <c r="H18" s="180"/>
      <c r="I18" s="180"/>
      <c r="J18" s="180"/>
      <c r="L18" s="7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</row>
    <row r="19" spans="2:29" x14ac:dyDescent="0.35">
      <c r="B19" s="180"/>
      <c r="C19" s="180"/>
      <c r="D19" s="180"/>
      <c r="E19" s="180"/>
      <c r="F19" s="180"/>
      <c r="G19" s="180"/>
      <c r="H19" s="180"/>
      <c r="I19" s="180"/>
      <c r="J19" s="180"/>
      <c r="L19" s="7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</row>
    <row r="20" spans="2:29" x14ac:dyDescent="0.35">
      <c r="B20" s="325" t="s">
        <v>248</v>
      </c>
      <c r="C20" s="326" t="s">
        <v>60</v>
      </c>
      <c r="D20" s="325" t="s">
        <v>249</v>
      </c>
      <c r="E20" s="325" t="s">
        <v>176</v>
      </c>
      <c r="F20" s="326" t="s">
        <v>79</v>
      </c>
      <c r="G20" s="325" t="s">
        <v>81</v>
      </c>
      <c r="H20" s="327" t="s">
        <v>77</v>
      </c>
      <c r="I20" s="180"/>
      <c r="J20" s="180"/>
      <c r="L20" s="7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</row>
    <row r="21" spans="2:29" ht="15" customHeight="1" x14ac:dyDescent="0.35">
      <c r="B21" s="782" t="s">
        <v>255</v>
      </c>
      <c r="C21" s="329" t="s">
        <v>262</v>
      </c>
      <c r="D21" s="330"/>
      <c r="E21" s="331">
        <f>'100% Equity Investments'!C23</f>
        <v>1000000</v>
      </c>
      <c r="F21" s="332">
        <f>'100% Equity Investments'!D23</f>
        <v>967866.80185884517</v>
      </c>
      <c r="G21" s="332">
        <f>'100% Equity Investments'!E23</f>
        <v>901391.42522877536</v>
      </c>
      <c r="H21" s="333">
        <f>'100% Equity Investments'!F23</f>
        <v>1001801.4583773705</v>
      </c>
      <c r="I21" s="180"/>
      <c r="J21" s="180"/>
      <c r="L21" s="7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</row>
    <row r="22" spans="2:29" ht="15" customHeight="1" x14ac:dyDescent="0.35">
      <c r="B22" s="782"/>
      <c r="C22" s="249" t="s">
        <v>198</v>
      </c>
      <c r="D22" s="334"/>
      <c r="E22" s="335"/>
      <c r="F22" s="336">
        <f>LN(F21/E21)*4</f>
        <v>-0.13064321023595882</v>
      </c>
      <c r="G22" s="336">
        <f>LN(G21/F21)*4</f>
        <v>-0.28461951575141908</v>
      </c>
      <c r="H22" s="337">
        <f>LN(H21/G21)*4</f>
        <v>0.42246207677668868</v>
      </c>
      <c r="I22" s="180"/>
      <c r="J22" s="180"/>
      <c r="L22" s="7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</row>
    <row r="23" spans="2:29" x14ac:dyDescent="0.35">
      <c r="B23" s="782"/>
      <c r="C23" s="249" t="s">
        <v>253</v>
      </c>
      <c r="D23" s="338">
        <f>AVERAGE(F22:H22)</f>
        <v>2.3997835964369254E-3</v>
      </c>
      <c r="E23" s="339"/>
      <c r="F23" s="340"/>
      <c r="G23" s="340"/>
      <c r="H23" s="341"/>
      <c r="I23" s="180"/>
      <c r="J23" s="180"/>
      <c r="L23" s="7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</row>
    <row r="24" spans="2:29" x14ac:dyDescent="0.35">
      <c r="B24" s="782"/>
      <c r="C24" s="249" t="s">
        <v>250</v>
      </c>
      <c r="D24" s="339">
        <f>_xlfn.STDEV.P(F22:H22)</f>
        <v>0.30360766709569598</v>
      </c>
      <c r="E24" s="339"/>
      <c r="F24" s="340"/>
      <c r="G24" s="340"/>
      <c r="H24" s="341"/>
      <c r="I24" s="180"/>
      <c r="J24" s="180"/>
      <c r="L24" s="7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</row>
    <row r="25" spans="2:29" x14ac:dyDescent="0.35">
      <c r="B25" s="783"/>
      <c r="C25" s="342" t="s">
        <v>256</v>
      </c>
      <c r="D25" s="343">
        <f>D24/D23</f>
        <v>126.51460221099808</v>
      </c>
      <c r="E25" s="344"/>
      <c r="F25" s="345"/>
      <c r="G25" s="345"/>
      <c r="H25" s="346"/>
      <c r="I25" s="180"/>
      <c r="J25" s="180"/>
      <c r="L25" s="7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</row>
    <row r="26" spans="2:29" x14ac:dyDescent="0.35">
      <c r="B26" s="180"/>
      <c r="C26" s="180"/>
      <c r="D26" s="180"/>
      <c r="E26" s="180"/>
      <c r="F26" s="180"/>
      <c r="G26" s="180"/>
      <c r="H26" s="180"/>
      <c r="I26" s="180"/>
      <c r="J26" s="180"/>
      <c r="L26" s="7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</row>
    <row r="27" spans="2:29" x14ac:dyDescent="0.35">
      <c r="B27" s="180"/>
      <c r="C27" s="180"/>
      <c r="D27" s="180"/>
      <c r="E27" s="180"/>
      <c r="F27" s="180"/>
      <c r="G27" s="180"/>
      <c r="H27" s="180"/>
      <c r="I27" s="180"/>
      <c r="J27" s="180"/>
      <c r="L27" s="7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</row>
    <row r="28" spans="2:29" ht="15" customHeight="1" x14ac:dyDescent="0.35">
      <c r="B28" s="325" t="s">
        <v>248</v>
      </c>
      <c r="C28" s="326" t="s">
        <v>60</v>
      </c>
      <c r="D28" s="325" t="s">
        <v>249</v>
      </c>
      <c r="E28" s="325" t="s">
        <v>176</v>
      </c>
      <c r="F28" s="326" t="s">
        <v>79</v>
      </c>
      <c r="G28" s="325" t="s">
        <v>81</v>
      </c>
      <c r="H28" s="327" t="s">
        <v>77</v>
      </c>
      <c r="I28" s="180"/>
      <c r="J28" s="180"/>
      <c r="L28" s="7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</row>
    <row r="29" spans="2:29" ht="15" customHeight="1" x14ac:dyDescent="0.35">
      <c r="B29" s="782" t="s">
        <v>257</v>
      </c>
      <c r="C29" s="329" t="s">
        <v>262</v>
      </c>
      <c r="D29" s="330"/>
      <c r="E29" s="331">
        <f>'100% Equity Investments'!C49</f>
        <v>1000000</v>
      </c>
      <c r="F29" s="332">
        <f>'100% Equity Investments'!D49</f>
        <v>967866.80185884517</v>
      </c>
      <c r="G29" s="332">
        <f>'100% Equity Investments'!E49</f>
        <v>904122.35588907008</v>
      </c>
      <c r="H29" s="333">
        <f>'100% Equity Investments'!F51</f>
        <v>1006232.4133855922</v>
      </c>
      <c r="I29" s="180"/>
      <c r="J29" s="180"/>
      <c r="L29" s="7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</row>
    <row r="30" spans="2:29" x14ac:dyDescent="0.35">
      <c r="B30" s="782"/>
      <c r="C30" s="249" t="s">
        <v>198</v>
      </c>
      <c r="D30" s="334"/>
      <c r="E30" s="335"/>
      <c r="F30" s="336">
        <f>LN(F29/E29)*4</f>
        <v>-0.13064321023595882</v>
      </c>
      <c r="G30" s="336">
        <f>LN(G29/F29)*4</f>
        <v>-0.27251910302026827</v>
      </c>
      <c r="H30" s="337">
        <f>LN(H29/G29)*4</f>
        <v>0.42801460212473519</v>
      </c>
      <c r="I30" s="180"/>
      <c r="J30" s="180"/>
      <c r="L30" s="7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</row>
    <row r="31" spans="2:29" x14ac:dyDescent="0.35">
      <c r="B31" s="782"/>
      <c r="C31" s="249" t="s">
        <v>253</v>
      </c>
      <c r="D31" s="338">
        <f>AVERAGE(F30:H30)</f>
        <v>8.2840962895026991E-3</v>
      </c>
      <c r="E31" s="339"/>
      <c r="F31" s="340"/>
      <c r="G31" s="340"/>
      <c r="H31" s="341"/>
      <c r="I31" s="180"/>
      <c r="J31" s="180"/>
      <c r="L31" s="7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</row>
    <row r="32" spans="2:29" x14ac:dyDescent="0.35">
      <c r="B32" s="782"/>
      <c r="C32" s="249" t="s">
        <v>250</v>
      </c>
      <c r="D32" s="339">
        <f>_xlfn.STDEV.P(F30:H30)</f>
        <v>0.30239319368978451</v>
      </c>
      <c r="E32" s="339"/>
      <c r="F32" s="340"/>
      <c r="G32" s="340"/>
      <c r="H32" s="341"/>
      <c r="I32" s="180"/>
      <c r="J32" s="180"/>
      <c r="L32" s="7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</row>
    <row r="33" spans="2:29" x14ac:dyDescent="0.35">
      <c r="B33" s="783"/>
      <c r="C33" s="342" t="s">
        <v>256</v>
      </c>
      <c r="D33" s="343">
        <f>D32/D31</f>
        <v>36.502858383353896</v>
      </c>
      <c r="E33" s="344"/>
      <c r="F33" s="345"/>
      <c r="G33" s="345"/>
      <c r="H33" s="346"/>
      <c r="I33" s="180"/>
      <c r="J33" s="180"/>
      <c r="L33" s="7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</row>
    <row r="34" spans="2:29" x14ac:dyDescent="0.35">
      <c r="B34" s="180"/>
      <c r="C34" s="180"/>
      <c r="D34" s="180"/>
      <c r="E34" s="180"/>
      <c r="F34" s="180"/>
      <c r="G34" s="180"/>
      <c r="H34" s="180"/>
      <c r="I34" s="180"/>
      <c r="J34" s="180"/>
      <c r="L34" s="7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</row>
    <row r="35" spans="2:29" x14ac:dyDescent="0.35">
      <c r="B35" s="180"/>
      <c r="C35" s="180"/>
      <c r="D35" s="180"/>
      <c r="E35" s="180"/>
      <c r="F35" s="180"/>
      <c r="G35" s="180"/>
      <c r="H35" s="180"/>
      <c r="I35" s="180"/>
      <c r="J35" s="180"/>
      <c r="L35" s="7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</row>
    <row r="36" spans="2:29" x14ac:dyDescent="0.35">
      <c r="B36" s="325" t="s">
        <v>248</v>
      </c>
      <c r="C36" s="326" t="s">
        <v>60</v>
      </c>
      <c r="D36" s="325" t="s">
        <v>249</v>
      </c>
      <c r="E36" s="325" t="s">
        <v>176</v>
      </c>
      <c r="F36" s="326" t="s">
        <v>79</v>
      </c>
      <c r="G36" s="325" t="s">
        <v>81</v>
      </c>
      <c r="H36" s="327" t="s">
        <v>77</v>
      </c>
      <c r="I36" s="180"/>
      <c r="J36" s="180"/>
      <c r="L36" s="7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</row>
    <row r="37" spans="2:29" ht="15" customHeight="1" x14ac:dyDescent="0.35">
      <c r="B37" s="782" t="s">
        <v>258</v>
      </c>
      <c r="C37" s="329" t="s">
        <v>252</v>
      </c>
      <c r="D37" s="330"/>
      <c r="E37" s="331">
        <f>'Actual Path and Others'!C84</f>
        <v>1058463.5957920665</v>
      </c>
      <c r="F37" s="332">
        <f>'Actual Path and Others'!D84</f>
        <v>1054430.0870487627</v>
      </c>
      <c r="G37" s="332">
        <f>'Actual Path and Others'!E84</f>
        <v>1067616.1459715585</v>
      </c>
      <c r="H37" s="332">
        <f>'Actual Path and Others'!F84</f>
        <v>1098911.5784144776</v>
      </c>
      <c r="I37" s="180"/>
      <c r="J37" s="180"/>
      <c r="L37" s="7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</row>
    <row r="38" spans="2:29" x14ac:dyDescent="0.35">
      <c r="B38" s="782"/>
      <c r="C38" s="249" t="s">
        <v>198</v>
      </c>
      <c r="D38" s="334"/>
      <c r="E38" s="335"/>
      <c r="F38" s="336">
        <f>LN(F37/E37)*4</f>
        <v>-1.5271998494973954E-2</v>
      </c>
      <c r="G38" s="336">
        <f>LN(G37/F37)*4</f>
        <v>4.9711371728462669E-2</v>
      </c>
      <c r="H38" s="337">
        <f>LN(H37/G37)*4</f>
        <v>0.11556781493560431</v>
      </c>
      <c r="I38" s="180"/>
      <c r="J38" s="180"/>
      <c r="L38" s="7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</row>
    <row r="39" spans="2:29" x14ac:dyDescent="0.35">
      <c r="B39" s="782"/>
      <c r="C39" s="249" t="s">
        <v>253</v>
      </c>
      <c r="D39" s="338">
        <f>AVERAGE(F38:H38)</f>
        <v>5.0002396056364341E-2</v>
      </c>
      <c r="E39" s="339"/>
      <c r="F39" s="340"/>
      <c r="G39" s="340"/>
      <c r="H39" s="341"/>
      <c r="I39" s="180"/>
      <c r="J39" s="180"/>
      <c r="L39" s="7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</row>
    <row r="40" spans="2:29" ht="18.75" customHeight="1" x14ac:dyDescent="0.35">
      <c r="B40" s="782"/>
      <c r="C40" s="249" t="s">
        <v>250</v>
      </c>
      <c r="D40" s="339">
        <f>_xlfn.STDEV.P(F38:H38)</f>
        <v>5.3415526556777497E-2</v>
      </c>
      <c r="E40" s="339"/>
      <c r="F40" s="340"/>
      <c r="G40" s="340"/>
      <c r="H40" s="341"/>
      <c r="I40" s="180"/>
      <c r="J40" s="180"/>
      <c r="L40" s="7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</row>
    <row r="41" spans="2:29" x14ac:dyDescent="0.35">
      <c r="B41" s="783"/>
      <c r="C41" s="342" t="s">
        <v>256</v>
      </c>
      <c r="D41" s="343">
        <f>D40/D39</f>
        <v>1.0682593389437931</v>
      </c>
      <c r="E41" s="344"/>
      <c r="F41" s="345"/>
      <c r="G41" s="345"/>
      <c r="H41" s="346"/>
      <c r="I41" s="180"/>
      <c r="J41" s="180"/>
      <c r="L41" s="7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</row>
    <row r="42" spans="2:29" ht="18" customHeight="1" x14ac:dyDescent="0.35">
      <c r="B42" s="180"/>
      <c r="C42" s="180"/>
      <c r="D42" s="180"/>
      <c r="E42" s="180"/>
      <c r="F42" s="180"/>
      <c r="G42" s="180"/>
      <c r="H42" s="180"/>
      <c r="I42" s="180"/>
      <c r="J42" s="180"/>
      <c r="L42" s="7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</row>
    <row r="43" spans="2:29" x14ac:dyDescent="0.35">
      <c r="B43" s="180"/>
      <c r="C43" s="180"/>
      <c r="D43" s="180"/>
      <c r="E43" s="180"/>
      <c r="F43" s="180"/>
      <c r="G43" s="180"/>
      <c r="H43" s="180"/>
      <c r="I43" s="180"/>
      <c r="J43" s="180"/>
      <c r="L43" s="7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</row>
    <row r="44" spans="2:29" ht="18" customHeight="1" x14ac:dyDescent="0.35">
      <c r="B44" s="325" t="s">
        <v>248</v>
      </c>
      <c r="C44" s="326" t="s">
        <v>60</v>
      </c>
      <c r="D44" s="325" t="s">
        <v>249</v>
      </c>
      <c r="E44" s="325" t="s">
        <v>176</v>
      </c>
      <c r="F44" s="326" t="s">
        <v>79</v>
      </c>
      <c r="G44" s="325" t="s">
        <v>81</v>
      </c>
      <c r="H44" s="327" t="s">
        <v>77</v>
      </c>
      <c r="I44" s="180"/>
      <c r="J44" s="180"/>
      <c r="L44" s="7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</row>
    <row r="45" spans="2:29" ht="15.75" customHeight="1" x14ac:dyDescent="0.35">
      <c r="B45" s="782" t="s">
        <v>259</v>
      </c>
      <c r="C45" s="329" t="s">
        <v>252</v>
      </c>
      <c r="D45" s="330"/>
      <c r="E45" s="331">
        <f>'Actual Path and Others'!C129</f>
        <v>1000000</v>
      </c>
      <c r="F45" s="332">
        <f>'Actual Path and Others'!D129</f>
        <v>998484.26631403796</v>
      </c>
      <c r="G45" s="332">
        <f>'Actual Path and Others'!E129</f>
        <v>979141.30589146493</v>
      </c>
      <c r="H45" s="332">
        <f>'Actual Path and Others'!F129</f>
        <v>1044836.8463085911</v>
      </c>
      <c r="I45" s="180"/>
      <c r="J45" s="180"/>
      <c r="L45" s="7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</row>
    <row r="46" spans="2:29" ht="15.75" customHeight="1" x14ac:dyDescent="0.35">
      <c r="B46" s="782"/>
      <c r="C46" s="249" t="s">
        <v>198</v>
      </c>
      <c r="D46" s="334"/>
      <c r="E46" s="335"/>
      <c r="F46" s="336">
        <f>LN(F45/E45)*4</f>
        <v>-6.0675342894399723E-3</v>
      </c>
      <c r="G46" s="336">
        <f>LN(G45/F45)*4</f>
        <v>-7.8249705308224546E-2</v>
      </c>
      <c r="H46" s="337">
        <f>LN(H45/G45)*4</f>
        <v>0.2597602207703727</v>
      </c>
      <c r="I46" s="180"/>
      <c r="J46" s="180"/>
      <c r="L46" s="7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</row>
    <row r="47" spans="2:29" ht="15.75" customHeight="1" x14ac:dyDescent="0.35">
      <c r="B47" s="782"/>
      <c r="C47" s="249" t="s">
        <v>253</v>
      </c>
      <c r="D47" s="338">
        <f>AVERAGE(F46:H46)</f>
        <v>5.8480993724236062E-2</v>
      </c>
      <c r="E47" s="339"/>
      <c r="F47" s="340"/>
      <c r="G47" s="340"/>
      <c r="H47" s="341"/>
      <c r="I47" s="180"/>
      <c r="J47" s="180"/>
      <c r="L47" s="7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</row>
    <row r="48" spans="2:29" ht="15.75" customHeight="1" x14ac:dyDescent="0.35">
      <c r="B48" s="782"/>
      <c r="C48" s="249" t="s">
        <v>250</v>
      </c>
      <c r="D48" s="339">
        <f>_xlfn.STDEV.P(F46:H46)</f>
        <v>0.14534456046114222</v>
      </c>
      <c r="E48" s="339"/>
      <c r="F48" s="340"/>
      <c r="G48" s="340"/>
      <c r="H48" s="341"/>
      <c r="I48" s="180"/>
      <c r="J48" s="180"/>
      <c r="L48" s="7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</row>
    <row r="49" spans="2:29" ht="15.75" customHeight="1" x14ac:dyDescent="0.35">
      <c r="B49" s="783"/>
      <c r="C49" s="342" t="s">
        <v>256</v>
      </c>
      <c r="D49" s="343">
        <f>D48/D47</f>
        <v>2.4853298688203993</v>
      </c>
      <c r="E49" s="344"/>
      <c r="F49" s="345"/>
      <c r="G49" s="345"/>
      <c r="H49" s="346"/>
      <c r="I49" s="180"/>
      <c r="J49" s="180"/>
      <c r="L49" s="7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</row>
    <row r="50" spans="2:29" x14ac:dyDescent="0.35"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304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  <c r="AC50" s="180"/>
    </row>
    <row r="51" spans="2:29" x14ac:dyDescent="0.35"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304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</row>
    <row r="52" spans="2:29" x14ac:dyDescent="0.35">
      <c r="B52" s="325" t="s">
        <v>248</v>
      </c>
      <c r="C52" s="326" t="s">
        <v>60</v>
      </c>
      <c r="D52" s="325" t="s">
        <v>249</v>
      </c>
      <c r="E52" s="325" t="s">
        <v>176</v>
      </c>
      <c r="F52" s="326" t="s">
        <v>79</v>
      </c>
      <c r="G52" s="325" t="s">
        <v>81</v>
      </c>
      <c r="H52" s="327" t="s">
        <v>77</v>
      </c>
      <c r="I52" s="180"/>
      <c r="J52" s="180"/>
      <c r="K52" s="180"/>
      <c r="L52" s="304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</row>
    <row r="53" spans="2:29" ht="15" customHeight="1" x14ac:dyDescent="0.35">
      <c r="B53" s="782" t="s">
        <v>260</v>
      </c>
      <c r="C53" s="329" t="s">
        <v>252</v>
      </c>
      <c r="D53" s="330"/>
      <c r="E53" s="331">
        <f>'Actual Path and Others'!C158</f>
        <v>1000000</v>
      </c>
      <c r="F53" s="331">
        <f>'Actual Path and Others'!D158</f>
        <v>998484.26631403796</v>
      </c>
      <c r="G53" s="331">
        <f>'Actual Path and Others'!E158</f>
        <v>979085.13549248572</v>
      </c>
      <c r="H53" s="332">
        <f>'Actual Path and Others'!F158</f>
        <v>1048723.3942013737</v>
      </c>
      <c r="I53" s="180"/>
      <c r="J53" s="180"/>
      <c r="K53" s="180"/>
      <c r="L53" s="304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  <c r="AC53" s="180"/>
    </row>
    <row r="54" spans="2:29" x14ac:dyDescent="0.35">
      <c r="B54" s="782"/>
      <c r="C54" s="249" t="s">
        <v>198</v>
      </c>
      <c r="D54" s="334"/>
      <c r="E54" s="335"/>
      <c r="F54" s="336">
        <f>LN(F53/E53)*4</f>
        <v>-6.0675342894399723E-3</v>
      </c>
      <c r="G54" s="336">
        <f>LN(G53/F53)*4</f>
        <v>-7.8479179889131195E-2</v>
      </c>
      <c r="H54" s="337">
        <f>LN(H53/G53)*4</f>
        <v>0.27484115186011454</v>
      </c>
      <c r="I54" s="180"/>
      <c r="J54" s="180"/>
      <c r="K54" s="180"/>
      <c r="L54" s="304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</row>
    <row r="55" spans="2:29" x14ac:dyDescent="0.35">
      <c r="B55" s="782"/>
      <c r="C55" s="249" t="s">
        <v>253</v>
      </c>
      <c r="D55" s="338">
        <f>AVERAGE(F54:H54)</f>
        <v>6.343147922718112E-2</v>
      </c>
      <c r="E55" s="339"/>
      <c r="F55" s="340"/>
      <c r="G55" s="340"/>
      <c r="H55" s="341"/>
      <c r="I55" s="180"/>
      <c r="J55" s="180"/>
      <c r="K55" s="180"/>
      <c r="L55" s="304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  <c r="AC55" s="180"/>
    </row>
    <row r="56" spans="2:29" x14ac:dyDescent="0.35">
      <c r="B56" s="782"/>
      <c r="C56" s="249" t="s">
        <v>250</v>
      </c>
      <c r="D56" s="339">
        <f>_xlfn.STDEV.P(F54:H54)</f>
        <v>0.15238416117756876</v>
      </c>
      <c r="E56" s="339"/>
      <c r="F56" s="340"/>
      <c r="G56" s="340"/>
      <c r="H56" s="341"/>
      <c r="I56" s="180"/>
      <c r="J56" s="180"/>
      <c r="K56" s="180"/>
      <c r="L56" s="304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</row>
    <row r="57" spans="2:29" x14ac:dyDescent="0.35">
      <c r="B57" s="783"/>
      <c r="C57" s="342" t="s">
        <v>256</v>
      </c>
      <c r="D57" s="343">
        <f>D56/D55</f>
        <v>2.4023428593207137</v>
      </c>
      <c r="E57" s="344"/>
      <c r="F57" s="345"/>
      <c r="G57" s="345"/>
      <c r="H57" s="346"/>
      <c r="I57" s="180"/>
      <c r="J57" s="180"/>
      <c r="K57" s="180"/>
      <c r="L57" s="304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</row>
    <row r="58" spans="2:29" x14ac:dyDescent="0.35"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304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</row>
    <row r="59" spans="2:29" x14ac:dyDescent="0.3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304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</row>
    <row r="60" spans="2:29" x14ac:dyDescent="0.35">
      <c r="B60" s="325" t="s">
        <v>248</v>
      </c>
      <c r="C60" s="326" t="s">
        <v>60</v>
      </c>
      <c r="D60" s="325" t="s">
        <v>249</v>
      </c>
      <c r="E60" s="325" t="s">
        <v>176</v>
      </c>
      <c r="F60" s="326" t="s">
        <v>79</v>
      </c>
      <c r="G60" s="325" t="s">
        <v>81</v>
      </c>
      <c r="H60" s="327" t="s">
        <v>77</v>
      </c>
      <c r="I60" s="180"/>
      <c r="J60" s="180"/>
      <c r="K60" s="180"/>
      <c r="L60" s="304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</row>
    <row r="61" spans="2:29" ht="15" customHeight="1" x14ac:dyDescent="0.35">
      <c r="B61" s="782" t="s">
        <v>261</v>
      </c>
      <c r="C61" s="329" t="s">
        <v>265</v>
      </c>
      <c r="D61" s="330"/>
      <c r="E61" s="331">
        <f>'Actual Path and Others'!C170</f>
        <v>1000000</v>
      </c>
      <c r="F61" s="331">
        <f>'Actual Path and Others'!D170</f>
        <v>1029101.7307692308</v>
      </c>
      <c r="G61" s="331">
        <f>'Actual Path and Others'!E170</f>
        <v>1056891.1865541546</v>
      </c>
      <c r="H61" s="332">
        <f>'Actual Path and Others'!F170</f>
        <v>1087872.2342398115</v>
      </c>
      <c r="I61" s="180"/>
      <c r="J61" s="180"/>
      <c r="K61" s="180"/>
      <c r="L61" s="304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</row>
    <row r="62" spans="2:29" x14ac:dyDescent="0.35">
      <c r="B62" s="782"/>
      <c r="C62" s="249" t="s">
        <v>198</v>
      </c>
      <c r="D62" s="334"/>
      <c r="E62" s="335"/>
      <c r="F62" s="336">
        <f>LN(F61/E61)*4</f>
        <v>0.11474526274611838</v>
      </c>
      <c r="G62" s="336">
        <f>LN(G61/F61)*4</f>
        <v>0.1065817614111661</v>
      </c>
      <c r="H62" s="337">
        <f>LN(H61/G61)*4</f>
        <v>0.11556781493560431</v>
      </c>
      <c r="I62" s="180"/>
      <c r="J62" s="180"/>
      <c r="K62" s="180"/>
      <c r="L62" s="304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</row>
    <row r="63" spans="2:29" x14ac:dyDescent="0.35">
      <c r="B63" s="782"/>
      <c r="C63" s="249" t="s">
        <v>253</v>
      </c>
      <c r="D63" s="338">
        <f>AVERAGE(F62:H62)</f>
        <v>0.11229827969762958</v>
      </c>
      <c r="E63" s="339"/>
      <c r="F63" s="340"/>
      <c r="G63" s="340"/>
      <c r="H63" s="341"/>
      <c r="I63" s="180"/>
      <c r="J63" s="180"/>
      <c r="K63" s="180"/>
      <c r="L63" s="304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</row>
    <row r="64" spans="2:29" x14ac:dyDescent="0.35">
      <c r="B64" s="782"/>
      <c r="C64" s="249" t="s">
        <v>250</v>
      </c>
      <c r="D64" s="339">
        <f>_xlfn.STDEV.P(F62:H62)</f>
        <v>4.0561134119343591E-3</v>
      </c>
      <c r="E64" s="339"/>
      <c r="F64" s="340"/>
      <c r="G64" s="340"/>
      <c r="H64" s="341"/>
      <c r="I64" s="180"/>
      <c r="J64" s="180"/>
      <c r="K64" s="180"/>
      <c r="L64" s="304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</row>
    <row r="65" spans="2:29" x14ac:dyDescent="0.35">
      <c r="B65" s="783"/>
      <c r="C65" s="342" t="s">
        <v>256</v>
      </c>
      <c r="D65" s="343">
        <f>D64/D63</f>
        <v>3.6119105500598124E-2</v>
      </c>
      <c r="E65" s="344"/>
      <c r="F65" s="345"/>
      <c r="G65" s="345"/>
      <c r="H65" s="346"/>
      <c r="I65" s="180"/>
      <c r="J65" s="180"/>
      <c r="K65" s="180"/>
      <c r="L65" s="304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</row>
    <row r="66" spans="2:29" x14ac:dyDescent="0.35"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304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</row>
    <row r="67" spans="2:29" x14ac:dyDescent="0.35"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304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</row>
    <row r="69" spans="2:29" x14ac:dyDescent="0.35">
      <c r="B69" s="250" t="s">
        <v>248</v>
      </c>
      <c r="C69" s="370" t="s">
        <v>250</v>
      </c>
      <c r="D69" s="180"/>
      <c r="E69" s="180"/>
      <c r="F69" s="180"/>
      <c r="G69" s="180"/>
    </row>
    <row r="70" spans="2:29" x14ac:dyDescent="0.35">
      <c r="B70" s="181" t="s">
        <v>251</v>
      </c>
      <c r="C70" s="40">
        <f>D8</f>
        <v>0.25943642152606888</v>
      </c>
      <c r="D70" s="180"/>
      <c r="E70" s="180"/>
      <c r="F70" s="180"/>
      <c r="G70" s="180"/>
    </row>
    <row r="71" spans="2:29" x14ac:dyDescent="0.35">
      <c r="B71" s="181" t="s">
        <v>254</v>
      </c>
      <c r="C71" s="40">
        <f>D16</f>
        <v>0.14534456046145416</v>
      </c>
      <c r="D71" s="180"/>
      <c r="E71" s="180"/>
      <c r="F71" s="180"/>
      <c r="G71" s="180"/>
    </row>
    <row r="72" spans="2:29" x14ac:dyDescent="0.35">
      <c r="B72" s="181" t="s">
        <v>255</v>
      </c>
      <c r="C72" s="40">
        <f>D24</f>
        <v>0.30360766709569598</v>
      </c>
      <c r="D72" s="180"/>
      <c r="E72" s="180"/>
      <c r="F72" s="180"/>
      <c r="G72" s="180"/>
    </row>
    <row r="73" spans="2:29" x14ac:dyDescent="0.35">
      <c r="B73" s="181" t="s">
        <v>257</v>
      </c>
      <c r="C73" s="40">
        <f>D32</f>
        <v>0.30239319368978451</v>
      </c>
      <c r="D73" s="180"/>
      <c r="E73" s="180"/>
      <c r="F73" s="180"/>
      <c r="G73" s="180"/>
    </row>
    <row r="74" spans="2:29" x14ac:dyDescent="0.35">
      <c r="B74" s="181" t="s">
        <v>258</v>
      </c>
      <c r="C74" s="40">
        <f>D40</f>
        <v>5.3415526556777497E-2</v>
      </c>
      <c r="D74" s="180"/>
      <c r="E74" s="180"/>
      <c r="F74" s="180"/>
      <c r="G74" s="180"/>
    </row>
    <row r="75" spans="2:29" x14ac:dyDescent="0.35">
      <c r="B75" s="181" t="s">
        <v>259</v>
      </c>
      <c r="C75" s="40">
        <f>D48</f>
        <v>0.14534456046114222</v>
      </c>
      <c r="D75" s="180"/>
      <c r="E75" s="180"/>
      <c r="F75" s="180"/>
      <c r="G75" s="180"/>
    </row>
    <row r="76" spans="2:29" x14ac:dyDescent="0.35">
      <c r="B76" s="181" t="s">
        <v>260</v>
      </c>
      <c r="C76" s="40">
        <f>D56</f>
        <v>0.15238416117756876</v>
      </c>
      <c r="D76" s="180"/>
      <c r="E76" s="180"/>
      <c r="F76" s="180"/>
      <c r="G76" s="180"/>
    </row>
    <row r="77" spans="2:29" x14ac:dyDescent="0.35">
      <c r="B77" s="354" t="s">
        <v>261</v>
      </c>
      <c r="C77" s="43">
        <f>D64</f>
        <v>4.0561134119343591E-3</v>
      </c>
      <c r="D77" s="180"/>
      <c r="E77" s="180"/>
      <c r="F77" s="180"/>
      <c r="G77" s="180"/>
    </row>
    <row r="78" spans="2:29" x14ac:dyDescent="0.35">
      <c r="B78" s="180"/>
      <c r="C78" s="304"/>
      <c r="D78" s="180"/>
      <c r="E78" s="180"/>
      <c r="F78" s="180"/>
      <c r="G78" s="180"/>
    </row>
    <row r="79" spans="2:29" x14ac:dyDescent="0.35">
      <c r="B79" s="180"/>
      <c r="C79" s="304"/>
      <c r="D79" s="180"/>
      <c r="E79" s="180"/>
      <c r="F79" s="180"/>
      <c r="G79" s="180"/>
    </row>
    <row r="80" spans="2:29" x14ac:dyDescent="0.35">
      <c r="B80" s="596" t="s">
        <v>282</v>
      </c>
      <c r="C80" s="753" t="s">
        <v>198</v>
      </c>
      <c r="D80" s="754"/>
      <c r="E80" s="755"/>
      <c r="F80" s="594"/>
      <c r="G80" s="180"/>
    </row>
    <row r="81" spans="2:7" x14ac:dyDescent="0.35">
      <c r="B81" s="597" t="s">
        <v>283</v>
      </c>
      <c r="C81" s="371" t="s">
        <v>79</v>
      </c>
      <c r="D81" s="372" t="s">
        <v>81</v>
      </c>
      <c r="E81" s="373" t="s">
        <v>77</v>
      </c>
      <c r="F81" s="595" t="s">
        <v>177</v>
      </c>
      <c r="G81" s="180"/>
    </row>
    <row r="82" spans="2:7" x14ac:dyDescent="0.35">
      <c r="B82" s="181" t="s">
        <v>251</v>
      </c>
      <c r="C82" s="347">
        <f>F6</f>
        <v>0.62577448752655596</v>
      </c>
      <c r="D82" s="348">
        <f>G6</f>
        <v>4.2571289773697653E-2</v>
      </c>
      <c r="E82" s="349">
        <f>H6</f>
        <v>0.1155678149160876</v>
      </c>
      <c r="F82" s="350">
        <f>AVERAGE(C82:E82)</f>
        <v>0.26130453073878041</v>
      </c>
      <c r="G82" s="180"/>
    </row>
    <row r="83" spans="2:7" x14ac:dyDescent="0.35">
      <c r="B83" s="181" t="s">
        <v>254</v>
      </c>
      <c r="C83" s="347">
        <f>F14</f>
        <v>-6.0675342994257996E-3</v>
      </c>
      <c r="D83" s="348">
        <f>G14</f>
        <v>-7.8249705318410773E-2</v>
      </c>
      <c r="E83" s="349">
        <f>H14</f>
        <v>0.25976022076092653</v>
      </c>
      <c r="F83" s="40">
        <f t="shared" ref="F83:F89" si="0">AVERAGE(C83:E83)</f>
        <v>5.848099371436332E-2</v>
      </c>
      <c r="G83" s="180"/>
    </row>
    <row r="84" spans="2:7" x14ac:dyDescent="0.35">
      <c r="B84" s="181" t="s">
        <v>255</v>
      </c>
      <c r="C84" s="347">
        <f>F22</f>
        <v>-0.13064321023595882</v>
      </c>
      <c r="D84" s="348">
        <f>G22</f>
        <v>-0.28461951575141908</v>
      </c>
      <c r="E84" s="349">
        <f>H22</f>
        <v>0.42246207677668868</v>
      </c>
      <c r="F84" s="40">
        <f t="shared" si="0"/>
        <v>2.3997835964369254E-3</v>
      </c>
      <c r="G84" s="180"/>
    </row>
    <row r="85" spans="2:7" x14ac:dyDescent="0.35">
      <c r="B85" s="181" t="s">
        <v>257</v>
      </c>
      <c r="C85" s="351">
        <f>F30</f>
        <v>-0.13064321023595882</v>
      </c>
      <c r="D85" s="352">
        <f>G30</f>
        <v>-0.27251910302026827</v>
      </c>
      <c r="E85" s="353">
        <f>H30</f>
        <v>0.42801460212473519</v>
      </c>
      <c r="F85" s="40">
        <f t="shared" si="0"/>
        <v>8.2840962895026991E-3</v>
      </c>
      <c r="G85" s="180"/>
    </row>
    <row r="86" spans="2:7" x14ac:dyDescent="0.35">
      <c r="B86" s="181" t="s">
        <v>258</v>
      </c>
      <c r="C86" s="351">
        <f>F38</f>
        <v>-1.5271998494973954E-2</v>
      </c>
      <c r="D86" s="352">
        <f>G38</f>
        <v>4.9711371728462669E-2</v>
      </c>
      <c r="E86" s="353">
        <f>H38</f>
        <v>0.11556781493560431</v>
      </c>
      <c r="F86" s="40">
        <f t="shared" si="0"/>
        <v>5.0002396056364341E-2</v>
      </c>
      <c r="G86" s="180"/>
    </row>
    <row r="87" spans="2:7" x14ac:dyDescent="0.35">
      <c r="B87" s="181" t="s">
        <v>259</v>
      </c>
      <c r="C87" s="351">
        <f>F46</f>
        <v>-6.0675342894399723E-3</v>
      </c>
      <c r="D87" s="352">
        <f>G46</f>
        <v>-7.8249705308224546E-2</v>
      </c>
      <c r="E87" s="353">
        <f>H46</f>
        <v>0.2597602207703727</v>
      </c>
      <c r="F87" s="40">
        <f t="shared" si="0"/>
        <v>5.8480993724236062E-2</v>
      </c>
      <c r="G87" s="180"/>
    </row>
    <row r="88" spans="2:7" x14ac:dyDescent="0.35">
      <c r="B88" s="181" t="s">
        <v>260</v>
      </c>
      <c r="C88" s="347">
        <f>F54</f>
        <v>-6.0675342894399723E-3</v>
      </c>
      <c r="D88" s="348">
        <f>G54</f>
        <v>-7.8479179889131195E-2</v>
      </c>
      <c r="E88" s="349">
        <f>H54</f>
        <v>0.27484115186011454</v>
      </c>
      <c r="F88" s="40">
        <f t="shared" si="0"/>
        <v>6.343147922718112E-2</v>
      </c>
      <c r="G88" s="180"/>
    </row>
    <row r="89" spans="2:7" x14ac:dyDescent="0.35">
      <c r="B89" s="354" t="s">
        <v>261</v>
      </c>
      <c r="C89" s="355">
        <f>F62</f>
        <v>0.11474526274611838</v>
      </c>
      <c r="D89" s="356">
        <f>G62</f>
        <v>0.1065817614111661</v>
      </c>
      <c r="E89" s="357">
        <f>H62</f>
        <v>0.11556781493560431</v>
      </c>
      <c r="F89" s="43">
        <f t="shared" si="0"/>
        <v>0.11229827969762958</v>
      </c>
      <c r="G89" s="180"/>
    </row>
    <row r="90" spans="2:7" x14ac:dyDescent="0.35">
      <c r="B90" s="180"/>
      <c r="C90" s="304"/>
      <c r="D90" s="180"/>
      <c r="E90" s="180"/>
      <c r="F90" s="180"/>
      <c r="G90" s="180"/>
    </row>
    <row r="91" spans="2:7" x14ac:dyDescent="0.35">
      <c r="B91" s="180"/>
      <c r="C91" s="304"/>
      <c r="D91" s="180"/>
      <c r="E91" s="180"/>
      <c r="F91" s="180"/>
      <c r="G91" s="180"/>
    </row>
    <row r="92" spans="2:7" x14ac:dyDescent="0.35">
      <c r="B92" s="596" t="s">
        <v>282</v>
      </c>
      <c r="C92" s="722" t="s">
        <v>263</v>
      </c>
      <c r="D92" s="723"/>
      <c r="E92" s="724"/>
      <c r="F92" s="370"/>
    </row>
    <row r="93" spans="2:7" ht="14.5" customHeight="1" x14ac:dyDescent="0.35">
      <c r="B93" s="598" t="s">
        <v>283</v>
      </c>
      <c r="C93" s="372" t="s">
        <v>79</v>
      </c>
      <c r="D93" s="372" t="s">
        <v>81</v>
      </c>
      <c r="E93" s="375" t="s">
        <v>77</v>
      </c>
      <c r="F93" s="593" t="s">
        <v>264</v>
      </c>
    </row>
    <row r="94" spans="2:7" x14ac:dyDescent="0.35">
      <c r="B94" s="601" t="s">
        <v>251</v>
      </c>
      <c r="C94" s="360">
        <f>F5</f>
        <v>1169344.8349991189</v>
      </c>
      <c r="D94" s="359">
        <f>G5</f>
        <v>1181856.4256737451</v>
      </c>
      <c r="E94" s="360">
        <f>H5</f>
        <v>1216500.6262697438</v>
      </c>
      <c r="F94" s="358">
        <f t="shared" ref="F94:F101" si="1">AVERAGE(C94:E94)</f>
        <v>1189233.9623142027</v>
      </c>
    </row>
    <row r="95" spans="2:7" x14ac:dyDescent="0.35">
      <c r="B95" s="602" t="s">
        <v>254</v>
      </c>
      <c r="C95" s="363">
        <f>F13</f>
        <v>998484.26631154527</v>
      </c>
      <c r="D95" s="362">
        <f>G13</f>
        <v>979141.30588652706</v>
      </c>
      <c r="E95" s="363">
        <f>H13</f>
        <v>1044836.8463008546</v>
      </c>
      <c r="F95" s="361">
        <f t="shared" si="1"/>
        <v>1007487.4728329756</v>
      </c>
    </row>
    <row r="96" spans="2:7" x14ac:dyDescent="0.35">
      <c r="B96" s="602" t="s">
        <v>255</v>
      </c>
      <c r="C96" s="363">
        <f>F21</f>
        <v>967866.80185884517</v>
      </c>
      <c r="D96" s="362">
        <f>G21</f>
        <v>901391.42522877536</v>
      </c>
      <c r="E96" s="363">
        <f>H21</f>
        <v>1001801.4583773705</v>
      </c>
      <c r="F96" s="361">
        <f t="shared" si="1"/>
        <v>957019.89515499712</v>
      </c>
    </row>
    <row r="97" spans="2:7" x14ac:dyDescent="0.35">
      <c r="B97" s="181" t="s">
        <v>257</v>
      </c>
      <c r="C97" s="363">
        <f>F29</f>
        <v>967866.80185884517</v>
      </c>
      <c r="D97" s="364">
        <f>G29</f>
        <v>904122.35588907008</v>
      </c>
      <c r="E97" s="365">
        <f>H29</f>
        <v>1006232.4133855922</v>
      </c>
      <c r="F97" s="366">
        <f t="shared" si="1"/>
        <v>959407.19037783577</v>
      </c>
    </row>
    <row r="98" spans="2:7" x14ac:dyDescent="0.35">
      <c r="B98" s="181" t="s">
        <v>258</v>
      </c>
      <c r="C98" s="363">
        <f>F37</f>
        <v>1054430.0870487627</v>
      </c>
      <c r="D98" s="364">
        <f>G37</f>
        <v>1067616.1459715585</v>
      </c>
      <c r="E98" s="365">
        <f>H37</f>
        <v>1098911.5784144776</v>
      </c>
      <c r="F98" s="366">
        <f t="shared" si="1"/>
        <v>1073652.6038115995</v>
      </c>
    </row>
    <row r="99" spans="2:7" x14ac:dyDescent="0.35">
      <c r="B99" s="181" t="s">
        <v>259</v>
      </c>
      <c r="C99" s="363">
        <f>F45</f>
        <v>998484.26631403796</v>
      </c>
      <c r="D99" s="364">
        <f>G45</f>
        <v>979141.30589146493</v>
      </c>
      <c r="E99" s="365">
        <f>H45</f>
        <v>1044836.8463085911</v>
      </c>
      <c r="F99" s="366">
        <f t="shared" si="1"/>
        <v>1007487.4728380315</v>
      </c>
    </row>
    <row r="100" spans="2:7" x14ac:dyDescent="0.35">
      <c r="B100" s="602" t="s">
        <v>260</v>
      </c>
      <c r="C100" s="363">
        <f>F53</f>
        <v>998484.26631403796</v>
      </c>
      <c r="D100" s="362">
        <f>G53</f>
        <v>979085.13549248572</v>
      </c>
      <c r="E100" s="363">
        <f>H53</f>
        <v>1048723.3942013737</v>
      </c>
      <c r="F100" s="361">
        <f t="shared" si="1"/>
        <v>1008764.2653359658</v>
      </c>
    </row>
    <row r="101" spans="2:7" x14ac:dyDescent="0.35">
      <c r="B101" s="603" t="s">
        <v>261</v>
      </c>
      <c r="C101" s="369">
        <f>F61</f>
        <v>1029101.7307692308</v>
      </c>
      <c r="D101" s="368">
        <f>G61</f>
        <v>1056891.1865541546</v>
      </c>
      <c r="E101" s="369">
        <f>H61</f>
        <v>1087872.2342398115</v>
      </c>
      <c r="F101" s="367">
        <f t="shared" si="1"/>
        <v>1057955.0505210657</v>
      </c>
    </row>
    <row r="102" spans="2:7" x14ac:dyDescent="0.35">
      <c r="B102" s="180"/>
      <c r="C102" s="304"/>
      <c r="D102" s="180"/>
      <c r="E102" s="180"/>
      <c r="G102" s="180"/>
    </row>
    <row r="103" spans="2:7" x14ac:dyDescent="0.35">
      <c r="B103" s="180"/>
      <c r="C103" s="304"/>
      <c r="D103" s="180"/>
      <c r="E103" s="180"/>
      <c r="F103" s="180"/>
      <c r="G103" s="180"/>
    </row>
    <row r="104" spans="2:7" ht="14.5" customHeight="1" x14ac:dyDescent="0.35">
      <c r="E104" s="180"/>
      <c r="F104" s="180"/>
      <c r="G104" s="180"/>
    </row>
    <row r="105" spans="2:7" x14ac:dyDescent="0.35">
      <c r="B105" s="599" t="s">
        <v>248</v>
      </c>
      <c r="C105" s="600"/>
      <c r="D105" s="606" t="s">
        <v>264</v>
      </c>
      <c r="E105" s="180"/>
      <c r="F105" s="180"/>
      <c r="G105" s="180"/>
    </row>
    <row r="106" spans="2:7" x14ac:dyDescent="0.35">
      <c r="B106" s="684" t="s">
        <v>251</v>
      </c>
      <c r="C106" s="779"/>
      <c r="D106" s="604">
        <f>F94</f>
        <v>1189233.9623142027</v>
      </c>
      <c r="E106" s="180"/>
      <c r="F106" s="180"/>
      <c r="G106" s="180"/>
    </row>
    <row r="107" spans="2:7" x14ac:dyDescent="0.35">
      <c r="B107" s="684" t="s">
        <v>254</v>
      </c>
      <c r="C107" s="779"/>
      <c r="D107" s="604">
        <f t="shared" ref="D107:D113" si="2">F95</f>
        <v>1007487.4728329756</v>
      </c>
      <c r="E107" s="180"/>
      <c r="F107" s="180"/>
      <c r="G107" s="180"/>
    </row>
    <row r="108" spans="2:7" x14ac:dyDescent="0.35">
      <c r="B108" s="684" t="s">
        <v>255</v>
      </c>
      <c r="C108" s="779"/>
      <c r="D108" s="604">
        <f t="shared" si="2"/>
        <v>957019.89515499712</v>
      </c>
      <c r="E108" s="180"/>
      <c r="F108" s="180"/>
      <c r="G108" s="180"/>
    </row>
    <row r="109" spans="2:7" x14ac:dyDescent="0.35">
      <c r="B109" s="784" t="s">
        <v>257</v>
      </c>
      <c r="C109" s="785"/>
      <c r="D109" s="604">
        <f t="shared" si="2"/>
        <v>959407.19037783577</v>
      </c>
      <c r="E109" s="180"/>
      <c r="F109" s="180"/>
      <c r="G109" s="180"/>
    </row>
    <row r="110" spans="2:7" x14ac:dyDescent="0.35">
      <c r="B110" s="784" t="s">
        <v>258</v>
      </c>
      <c r="C110" s="785"/>
      <c r="D110" s="604">
        <f t="shared" si="2"/>
        <v>1073652.6038115995</v>
      </c>
      <c r="E110" s="180"/>
      <c r="F110" s="180"/>
      <c r="G110" s="180"/>
    </row>
    <row r="111" spans="2:7" x14ac:dyDescent="0.35">
      <c r="B111" s="784" t="s">
        <v>259</v>
      </c>
      <c r="C111" s="785"/>
      <c r="D111" s="604">
        <f t="shared" si="2"/>
        <v>1007487.4728380315</v>
      </c>
      <c r="E111" s="180"/>
      <c r="F111" s="180"/>
      <c r="G111" s="180"/>
    </row>
    <row r="112" spans="2:7" x14ac:dyDescent="0.35">
      <c r="B112" s="684" t="s">
        <v>260</v>
      </c>
      <c r="C112" s="779"/>
      <c r="D112" s="604">
        <f t="shared" si="2"/>
        <v>1008764.2653359658</v>
      </c>
      <c r="E112" s="180"/>
      <c r="F112" s="180"/>
      <c r="G112" s="180"/>
    </row>
    <row r="113" spans="2:7" x14ac:dyDescent="0.35">
      <c r="B113" s="780" t="s">
        <v>261</v>
      </c>
      <c r="C113" s="781"/>
      <c r="D113" s="605">
        <f t="shared" si="2"/>
        <v>1057955.0505210657</v>
      </c>
      <c r="E113" s="180"/>
      <c r="F113" s="180"/>
      <c r="G113" s="180"/>
    </row>
  </sheetData>
  <mergeCells count="19">
    <mergeCell ref="B2:H2"/>
    <mergeCell ref="B106:C106"/>
    <mergeCell ref="B107:C107"/>
    <mergeCell ref="B5:B9"/>
    <mergeCell ref="B13:B17"/>
    <mergeCell ref="B21:B25"/>
    <mergeCell ref="B29:B33"/>
    <mergeCell ref="B112:C112"/>
    <mergeCell ref="B113:C113"/>
    <mergeCell ref="B37:B41"/>
    <mergeCell ref="C80:E80"/>
    <mergeCell ref="B108:C108"/>
    <mergeCell ref="B45:B49"/>
    <mergeCell ref="B109:C109"/>
    <mergeCell ref="B110:C110"/>
    <mergeCell ref="B111:C111"/>
    <mergeCell ref="B53:B57"/>
    <mergeCell ref="B61:B65"/>
    <mergeCell ref="C92:E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Profile and Overview</vt:lpstr>
      <vt:lpstr>Assumptions</vt:lpstr>
      <vt:lpstr>Stock Selection</vt:lpstr>
      <vt:lpstr>Data</vt:lpstr>
      <vt:lpstr>DSEX Data</vt:lpstr>
      <vt:lpstr>Returns</vt:lpstr>
      <vt:lpstr>Forcast 2025Q1</vt:lpstr>
      <vt:lpstr>Forcast 2025Q2</vt:lpstr>
      <vt:lpstr>Forcast 2025Q3</vt:lpstr>
      <vt:lpstr>91Day T-Bill</vt:lpstr>
      <vt:lpstr>Up &amp; Down Probability</vt:lpstr>
      <vt:lpstr>Put Option Dynamics</vt:lpstr>
      <vt:lpstr>100% Equity Portfolio</vt:lpstr>
      <vt:lpstr>Insured Portfolio</vt:lpstr>
      <vt:lpstr>Call Option Dynamics</vt:lpstr>
      <vt:lpstr>Delta 1</vt:lpstr>
      <vt:lpstr>Delta 2</vt:lpstr>
      <vt:lpstr>Dynamic Asset Allocation</vt:lpstr>
      <vt:lpstr>Static Asset Allocation</vt:lpstr>
      <vt:lpstr>100% Equity and DAA</vt:lpstr>
      <vt:lpstr>100% Equity Investments</vt:lpstr>
      <vt:lpstr>Actual Path and Others</vt:lpstr>
      <vt:lpstr>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Ifta Hider Rahman</dc:creator>
  <cp:lastModifiedBy>Ifta Hider Rahman</cp:lastModifiedBy>
  <dcterms:created xsi:type="dcterms:W3CDTF">2025-10-28T13:00:51Z</dcterms:created>
  <dcterms:modified xsi:type="dcterms:W3CDTF">2025-11-20T15:53:47Z</dcterms:modified>
</cp:coreProperties>
</file>